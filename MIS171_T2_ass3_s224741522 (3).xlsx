
<file path=[Content_Types].xml><?xml version="1.0" encoding="utf-8"?>
<Types xmlns="http://schemas.openxmlformats.org/package/2006/content-types">
  <Default Extension="bin" ContentType="application/vnd.openxmlformats-officedocument.oleObjec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diasa\Downloads\"/>
    </mc:Choice>
  </mc:AlternateContent>
  <xr:revisionPtr revIDLastSave="0" documentId="8_{E1E291CC-5CA0-45D4-BC41-C8715006B3A0}" xr6:coauthVersionLast="47" xr6:coauthVersionMax="47" xr10:uidLastSave="{00000000-0000-0000-0000-000000000000}"/>
  <bookViews>
    <workbookView xWindow="20" yWindow="20" windowWidth="24940" windowHeight="15900" firstSheet="2" activeTab="3" xr2:uid="{3A1D91DB-9AB5-41B2-9661-A3841914C8A9}"/>
  </bookViews>
  <sheets>
    <sheet name="Data Description" sheetId="2" r:id="rId1"/>
    <sheet name="ePowerDynamics Data" sheetId="4" r:id="rId2"/>
    <sheet name="Correlation" sheetId="14" r:id="rId3"/>
    <sheet name="Regression Model" sheetId="15" r:id="rId4"/>
  </sheets>
  <definedNames>
    <definedName name="_xlnm._FilterDatabase" localSheetId="1" hidden="1">'ePowerDynamics Data'!$A$1:$G$366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92" i="14" l="1"/>
  <c r="AC91" i="14"/>
  <c r="P92" i="14"/>
  <c r="P91" i="14"/>
  <c r="F92" i="14"/>
  <c r="F91" i="14"/>
  <c r="F59" i="15" l="1"/>
  <c r="F60" i="15"/>
  <c r="H71" i="15"/>
  <c r="H73" i="15"/>
  <c r="H74" i="15"/>
  <c r="H75" i="15"/>
  <c r="J6" i="15"/>
  <c r="Q65" i="15" l="1"/>
  <c r="Q66" i="15" s="1"/>
  <c r="Q63" i="15"/>
  <c r="Q59" i="15"/>
  <c r="Q62" i="15" s="1"/>
  <c r="M66" i="15"/>
  <c r="M60" i="15"/>
  <c r="M59" i="15"/>
  <c r="M62" i="15" s="1"/>
  <c r="M65" i="15" s="1"/>
  <c r="F63" i="15"/>
  <c r="F62" i="15"/>
  <c r="F61" i="15"/>
  <c r="M6" i="15"/>
  <c r="L6" i="15"/>
  <c r="K6" i="15"/>
  <c r="I6" i="15"/>
  <c r="H6" i="15"/>
  <c r="G6" i="15"/>
  <c r="F6" i="15"/>
  <c r="E6" i="15"/>
  <c r="G43" i="15"/>
  <c r="AE164" i="15"/>
  <c r="AE137" i="15"/>
  <c r="AE106" i="15"/>
  <c r="AE76" i="15"/>
  <c r="AE44" i="15"/>
  <c r="F64" i="15" l="1"/>
  <c r="D8" i="15" l="1"/>
  <c r="I77" i="15"/>
  <c r="M68" i="15" s="1"/>
  <c r="P87" i="14"/>
  <c r="P88" i="14"/>
  <c r="P89" i="14" s="1"/>
  <c r="J36" i="14"/>
  <c r="J35" i="14"/>
  <c r="J37" i="14" s="1"/>
  <c r="J34" i="14"/>
  <c r="G36" i="14"/>
  <c r="G34" i="14"/>
  <c r="Q68" i="15" l="1"/>
  <c r="M70" i="15"/>
  <c r="E11" i="15" s="1"/>
  <c r="M69" i="15"/>
  <c r="D11" i="15" s="1"/>
  <c r="BC3" i="14"/>
  <c r="BC4" i="14"/>
  <c r="BC5" i="14"/>
  <c r="BC6" i="14"/>
  <c r="BC7" i="14"/>
  <c r="BC8" i="14"/>
  <c r="BC9" i="14"/>
  <c r="BC10" i="14"/>
  <c r="BC11" i="14"/>
  <c r="BC12" i="14"/>
  <c r="BC13" i="14"/>
  <c r="BC14" i="14"/>
  <c r="BC15" i="14"/>
  <c r="BC16" i="14"/>
  <c r="BC17" i="14"/>
  <c r="BC18" i="14"/>
  <c r="BC19" i="14"/>
  <c r="BC20" i="14"/>
  <c r="BC21" i="14"/>
  <c r="BC22" i="14"/>
  <c r="BC23" i="14"/>
  <c r="BC24" i="14"/>
  <c r="BC25" i="14"/>
  <c r="BC26" i="14"/>
  <c r="BC27" i="14"/>
  <c r="BC28" i="14"/>
  <c r="BC29" i="14"/>
  <c r="BC30" i="14"/>
  <c r="BC31" i="14"/>
  <c r="BC32" i="14"/>
  <c r="BC33" i="14"/>
  <c r="BC34" i="14"/>
  <c r="BC35" i="14"/>
  <c r="BC36" i="14"/>
  <c r="BC37" i="14"/>
  <c r="BC38" i="14"/>
  <c r="BC39" i="14"/>
  <c r="BC40" i="14"/>
  <c r="BC41" i="14"/>
  <c r="BC42" i="14"/>
  <c r="BC43" i="14"/>
  <c r="BC44" i="14"/>
  <c r="BC45" i="14"/>
  <c r="BC46" i="14"/>
  <c r="BC47" i="14"/>
  <c r="BC48" i="14"/>
  <c r="BC49" i="14"/>
  <c r="BC50" i="14"/>
  <c r="BC51" i="14"/>
  <c r="BC52" i="14"/>
  <c r="BC53" i="14"/>
  <c r="BC54" i="14"/>
  <c r="BC55" i="14"/>
  <c r="BC56" i="14"/>
  <c r="BC57" i="14"/>
  <c r="BC58" i="14"/>
  <c r="BC59" i="14"/>
  <c r="BC60" i="14"/>
  <c r="BC61" i="14"/>
  <c r="BC62" i="14"/>
  <c r="BC63" i="14"/>
  <c r="BC64" i="14"/>
  <c r="BC65" i="14"/>
  <c r="BC66" i="14"/>
  <c r="BC67" i="14"/>
  <c r="BC68" i="14"/>
  <c r="BC69" i="14"/>
  <c r="BC70" i="14"/>
  <c r="BC71" i="14"/>
  <c r="BC72" i="14"/>
  <c r="BC73" i="14"/>
  <c r="BC74" i="14"/>
  <c r="BC75" i="14"/>
  <c r="BC76" i="14"/>
  <c r="BC77" i="14"/>
  <c r="BC78" i="14"/>
  <c r="BC79" i="14"/>
  <c r="BC80" i="14"/>
  <c r="BC81" i="14"/>
  <c r="BC82" i="14"/>
  <c r="BC83" i="14"/>
  <c r="BC84" i="14"/>
  <c r="BC85" i="14"/>
  <c r="BC86" i="14"/>
  <c r="BC87" i="14"/>
  <c r="BC88" i="14"/>
  <c r="BC89" i="14"/>
  <c r="BC90" i="14"/>
  <c r="BC91" i="14"/>
  <c r="BC92" i="14"/>
  <c r="BC93" i="14"/>
  <c r="BC94" i="14"/>
  <c r="BC95" i="14"/>
  <c r="BC96" i="14"/>
  <c r="BC97" i="14"/>
  <c r="BC98" i="14"/>
  <c r="BC99" i="14"/>
  <c r="BC100" i="14"/>
  <c r="BC101" i="14"/>
  <c r="BC102" i="14"/>
  <c r="BC103" i="14"/>
  <c r="BC104" i="14"/>
  <c r="BC105" i="14"/>
  <c r="BC106" i="14"/>
  <c r="BC107" i="14"/>
  <c r="BC108" i="14"/>
  <c r="BC109" i="14"/>
  <c r="BC110" i="14"/>
  <c r="BC111" i="14"/>
  <c r="BC112" i="14"/>
  <c r="BC113" i="14"/>
  <c r="BC114" i="14"/>
  <c r="BC115" i="14"/>
  <c r="BC116" i="14"/>
  <c r="BC117" i="14"/>
  <c r="BC118" i="14"/>
  <c r="BC119" i="14"/>
  <c r="BC120" i="14"/>
  <c r="BC121" i="14"/>
  <c r="BC122" i="14"/>
  <c r="BC123" i="14"/>
  <c r="BC124" i="14"/>
  <c r="BC125" i="14"/>
  <c r="BC126" i="14"/>
  <c r="BC127" i="14"/>
  <c r="BC128" i="14"/>
  <c r="BC129" i="14"/>
  <c r="BC130" i="14"/>
  <c r="BC131" i="14"/>
  <c r="BC132" i="14"/>
  <c r="BC133" i="14"/>
  <c r="BC134" i="14"/>
  <c r="BC135" i="14"/>
  <c r="BC136" i="14"/>
  <c r="BC137" i="14"/>
  <c r="BC138" i="14"/>
  <c r="BC139" i="14"/>
  <c r="BC140" i="14"/>
  <c r="BC141" i="14"/>
  <c r="BC142" i="14"/>
  <c r="BC143" i="14"/>
  <c r="BC144" i="14"/>
  <c r="BC145" i="14"/>
  <c r="BC146" i="14"/>
  <c r="BC147" i="14"/>
  <c r="BC148" i="14"/>
  <c r="BC149" i="14"/>
  <c r="BC150" i="14"/>
  <c r="BC151" i="14"/>
  <c r="BC152" i="14"/>
  <c r="BC153" i="14"/>
  <c r="BC154" i="14"/>
  <c r="BC155" i="14"/>
  <c r="BC156" i="14"/>
  <c r="BC157" i="14"/>
  <c r="BC158" i="14"/>
  <c r="BC159" i="14"/>
  <c r="BC160" i="14"/>
  <c r="BC161" i="14"/>
  <c r="BC162" i="14"/>
  <c r="BC163" i="14"/>
  <c r="BC164" i="14"/>
  <c r="BC165" i="14"/>
  <c r="BC166" i="14"/>
  <c r="BC167" i="14"/>
  <c r="BC168" i="14"/>
  <c r="BC169" i="14"/>
  <c r="BC170" i="14"/>
  <c r="BC171" i="14"/>
  <c r="BC172" i="14"/>
  <c r="BC173" i="14"/>
  <c r="BC174" i="14"/>
  <c r="BC175" i="14"/>
  <c r="BC176" i="14"/>
  <c r="BC177" i="14"/>
  <c r="BC178" i="14"/>
  <c r="BC179" i="14"/>
  <c r="BC180" i="14"/>
  <c r="BC181" i="14"/>
  <c r="BC182" i="14"/>
  <c r="BC183" i="14"/>
  <c r="BC184" i="14"/>
  <c r="BC185" i="14"/>
  <c r="BC186" i="14"/>
  <c r="BC187" i="14"/>
  <c r="BC188" i="14"/>
  <c r="BC189" i="14"/>
  <c r="BC190" i="14"/>
  <c r="BC191" i="14"/>
  <c r="BC192" i="14"/>
  <c r="BC193" i="14"/>
  <c r="BC194" i="14"/>
  <c r="BC195" i="14"/>
  <c r="BC196" i="14"/>
  <c r="BC197" i="14"/>
  <c r="BC198" i="14"/>
  <c r="BC199" i="14"/>
  <c r="BC200" i="14"/>
  <c r="BC201" i="14"/>
  <c r="BC202" i="14"/>
  <c r="BC203" i="14"/>
  <c r="BC204" i="14"/>
  <c r="BC205" i="14"/>
  <c r="BC206" i="14"/>
  <c r="BC207" i="14"/>
  <c r="BC208" i="14"/>
  <c r="BC209" i="14"/>
  <c r="BC210" i="14"/>
  <c r="BC211" i="14"/>
  <c r="BC212" i="14"/>
  <c r="BC213" i="14"/>
  <c r="BC214" i="14"/>
  <c r="BC215" i="14"/>
  <c r="BC216" i="14"/>
  <c r="BC217" i="14"/>
  <c r="BC218" i="14"/>
  <c r="BC219" i="14"/>
  <c r="BC220" i="14"/>
  <c r="BC221" i="14"/>
  <c r="BC222" i="14"/>
  <c r="BC223" i="14"/>
  <c r="BC224" i="14"/>
  <c r="BC225" i="14"/>
  <c r="BC226" i="14"/>
  <c r="BC227" i="14"/>
  <c r="BC228" i="14"/>
  <c r="BC229" i="14"/>
  <c r="BC230" i="14"/>
  <c r="BC231" i="14"/>
  <c r="BC232" i="14"/>
  <c r="BC233" i="14"/>
  <c r="BC234" i="14"/>
  <c r="BC235" i="14"/>
  <c r="BC236" i="14"/>
  <c r="BC237" i="14"/>
  <c r="BC238" i="14"/>
  <c r="BC239" i="14"/>
  <c r="BC240" i="14"/>
  <c r="BC241" i="14"/>
  <c r="BC242" i="14"/>
  <c r="BC243" i="14"/>
  <c r="BC244" i="14"/>
  <c r="BC245" i="14"/>
  <c r="BC246" i="14"/>
  <c r="BC247" i="14"/>
  <c r="BC248" i="14"/>
  <c r="BC249" i="14"/>
  <c r="BC250" i="14"/>
  <c r="BC251" i="14"/>
  <c r="BC252" i="14"/>
  <c r="BC253" i="14"/>
  <c r="BC254" i="14"/>
  <c r="BC255" i="14"/>
  <c r="BC256" i="14"/>
  <c r="BC257" i="14"/>
  <c r="BC258" i="14"/>
  <c r="BC259" i="14"/>
  <c r="BC260" i="14"/>
  <c r="BC261" i="14"/>
  <c r="BC262" i="14"/>
  <c r="BC263" i="14"/>
  <c r="BC264" i="14"/>
  <c r="BC265" i="14"/>
  <c r="BC266" i="14"/>
  <c r="BC267" i="14"/>
  <c r="BC268" i="14"/>
  <c r="BC269" i="14"/>
  <c r="BC270" i="14"/>
  <c r="BC271" i="14"/>
  <c r="BC272" i="14"/>
  <c r="BC273" i="14"/>
  <c r="BC274" i="14"/>
  <c r="BC275" i="14"/>
  <c r="BC276" i="14"/>
  <c r="BC277" i="14"/>
  <c r="BC278" i="14"/>
  <c r="BC279" i="14"/>
  <c r="BC280" i="14"/>
  <c r="BC281" i="14"/>
  <c r="BC282" i="14"/>
  <c r="BC283" i="14"/>
  <c r="BC284" i="14"/>
  <c r="BC285" i="14"/>
  <c r="BC286" i="14"/>
  <c r="BC287" i="14"/>
  <c r="BC288" i="14"/>
  <c r="BC289" i="14"/>
  <c r="BC290" i="14"/>
  <c r="BC291" i="14"/>
  <c r="BC292" i="14"/>
  <c r="BC293" i="14"/>
  <c r="BC294" i="14"/>
  <c r="BC295" i="14"/>
  <c r="BC296" i="14"/>
  <c r="BC297" i="14"/>
  <c r="BC298" i="14"/>
  <c r="BC299" i="14"/>
  <c r="BC300" i="14"/>
  <c r="BC301" i="14"/>
  <c r="BC302" i="14"/>
  <c r="BC303" i="14"/>
  <c r="BC304" i="14"/>
  <c r="BC305" i="14"/>
  <c r="BC306" i="14"/>
  <c r="BC307" i="14"/>
  <c r="BC308" i="14"/>
  <c r="BC309" i="14"/>
  <c r="BC310" i="14"/>
  <c r="BC311" i="14"/>
  <c r="BC312" i="14"/>
  <c r="BC313" i="14"/>
  <c r="BC314" i="14"/>
  <c r="BC315" i="14"/>
  <c r="BC316" i="14"/>
  <c r="BC317" i="14"/>
  <c r="BC318" i="14"/>
  <c r="BC319" i="14"/>
  <c r="BC320" i="14"/>
  <c r="BC321" i="14"/>
  <c r="BC322" i="14"/>
  <c r="BC323" i="14"/>
  <c r="BC324" i="14"/>
  <c r="BC325" i="14"/>
  <c r="BC326" i="14"/>
  <c r="BC327" i="14"/>
  <c r="BC328" i="14"/>
  <c r="BC329" i="14"/>
  <c r="BC330" i="14"/>
  <c r="BC331" i="14"/>
  <c r="BC332" i="14"/>
  <c r="BC333" i="14"/>
  <c r="BC334" i="14"/>
  <c r="BC335" i="14"/>
  <c r="BC336" i="14"/>
  <c r="BC337" i="14"/>
  <c r="BC338" i="14"/>
  <c r="BC339" i="14"/>
  <c r="BC340" i="14"/>
  <c r="BC341" i="14"/>
  <c r="BC342" i="14"/>
  <c r="BC343" i="14"/>
  <c r="BC344" i="14"/>
  <c r="BC345" i="14"/>
  <c r="BC346" i="14"/>
  <c r="BC347" i="14"/>
  <c r="BC348" i="14"/>
  <c r="BC349" i="14"/>
  <c r="BC350" i="14"/>
  <c r="BC351" i="14"/>
  <c r="BC352" i="14"/>
  <c r="BC353" i="14"/>
  <c r="BC354" i="14"/>
  <c r="BC355" i="14"/>
  <c r="BC356" i="14"/>
  <c r="BC357" i="14"/>
  <c r="BC358" i="14"/>
  <c r="BC359" i="14"/>
  <c r="BC360" i="14"/>
  <c r="BC361" i="14"/>
  <c r="BC362" i="14"/>
  <c r="BC363" i="14"/>
  <c r="BC364" i="14"/>
  <c r="BC365" i="14"/>
  <c r="BC366" i="14"/>
  <c r="BC2" i="14"/>
  <c r="BB3" i="14"/>
  <c r="BB4" i="14"/>
  <c r="BB5" i="14"/>
  <c r="BB6" i="14"/>
  <c r="BB7" i="14"/>
  <c r="BB8" i="14"/>
  <c r="BB9" i="14"/>
  <c r="BB10" i="14"/>
  <c r="BB11" i="14"/>
  <c r="BB12" i="14"/>
  <c r="BB13" i="14"/>
  <c r="BB14" i="14"/>
  <c r="BB15" i="14"/>
  <c r="BB16" i="14"/>
  <c r="BB17" i="14"/>
  <c r="BB18" i="14"/>
  <c r="BB19" i="14"/>
  <c r="BB20" i="14"/>
  <c r="BB21" i="14"/>
  <c r="BB22" i="14"/>
  <c r="BB23" i="14"/>
  <c r="BB24" i="14"/>
  <c r="BB25" i="14"/>
  <c r="BB26" i="14"/>
  <c r="BB27" i="14"/>
  <c r="BB28" i="14"/>
  <c r="BB29" i="14"/>
  <c r="BB30" i="14"/>
  <c r="BB31" i="14"/>
  <c r="BB32" i="14"/>
  <c r="BB33" i="14"/>
  <c r="BB34" i="14"/>
  <c r="BB35" i="14"/>
  <c r="BB36" i="14"/>
  <c r="BB37" i="14"/>
  <c r="BB38" i="14"/>
  <c r="BB39" i="14"/>
  <c r="BB40" i="14"/>
  <c r="BB41" i="14"/>
  <c r="BB42" i="14"/>
  <c r="BB43" i="14"/>
  <c r="BB44" i="14"/>
  <c r="BB45" i="14"/>
  <c r="BB46" i="14"/>
  <c r="BB47" i="14"/>
  <c r="BB48" i="14"/>
  <c r="BB49" i="14"/>
  <c r="BB50" i="14"/>
  <c r="BB51" i="14"/>
  <c r="BB52" i="14"/>
  <c r="BB53" i="14"/>
  <c r="BB54" i="14"/>
  <c r="BB55" i="14"/>
  <c r="BB56" i="14"/>
  <c r="BB57" i="14"/>
  <c r="BB58" i="14"/>
  <c r="BB59" i="14"/>
  <c r="BB60" i="14"/>
  <c r="BB61" i="14"/>
  <c r="BB62" i="14"/>
  <c r="BB63" i="14"/>
  <c r="BB64" i="14"/>
  <c r="BB65" i="14"/>
  <c r="BB66" i="14"/>
  <c r="BB67" i="14"/>
  <c r="BB68" i="14"/>
  <c r="BB69" i="14"/>
  <c r="BB70" i="14"/>
  <c r="BB71" i="14"/>
  <c r="BB72" i="14"/>
  <c r="BB73" i="14"/>
  <c r="BB74" i="14"/>
  <c r="BB75" i="14"/>
  <c r="BB76" i="14"/>
  <c r="BB77" i="14"/>
  <c r="BB78" i="14"/>
  <c r="BB79" i="14"/>
  <c r="BB80" i="14"/>
  <c r="BB81" i="14"/>
  <c r="BB82" i="14"/>
  <c r="BB83" i="14"/>
  <c r="BB84" i="14"/>
  <c r="BB85" i="14"/>
  <c r="BB86" i="14"/>
  <c r="BB87" i="14"/>
  <c r="BB88" i="14"/>
  <c r="BB89" i="14"/>
  <c r="BB90" i="14"/>
  <c r="BB91" i="14"/>
  <c r="BB92" i="14"/>
  <c r="BB93" i="14"/>
  <c r="BB94" i="14"/>
  <c r="BB95" i="14"/>
  <c r="BB96" i="14"/>
  <c r="BB97" i="14"/>
  <c r="BB98" i="14"/>
  <c r="BB99" i="14"/>
  <c r="BB100" i="14"/>
  <c r="BB101" i="14"/>
  <c r="BB102" i="14"/>
  <c r="BB103" i="14"/>
  <c r="BB104" i="14"/>
  <c r="BB105" i="14"/>
  <c r="BB106" i="14"/>
  <c r="BB107" i="14"/>
  <c r="BB108" i="14"/>
  <c r="BB109" i="14"/>
  <c r="BB110" i="14"/>
  <c r="BB111" i="14"/>
  <c r="BB112" i="14"/>
  <c r="BB113" i="14"/>
  <c r="BB114" i="14"/>
  <c r="BB115" i="14"/>
  <c r="BB116" i="14"/>
  <c r="BB117" i="14"/>
  <c r="BB118" i="14"/>
  <c r="BB119" i="14"/>
  <c r="BB120" i="14"/>
  <c r="BB121" i="14"/>
  <c r="BB122" i="14"/>
  <c r="BB123" i="14"/>
  <c r="BB124" i="14"/>
  <c r="BB125" i="14"/>
  <c r="BB126" i="14"/>
  <c r="BB127" i="14"/>
  <c r="BB128" i="14"/>
  <c r="BB129" i="14"/>
  <c r="BB130" i="14"/>
  <c r="BB131" i="14"/>
  <c r="BB132" i="14"/>
  <c r="BB133" i="14"/>
  <c r="BB134" i="14"/>
  <c r="BB135" i="14"/>
  <c r="BB136" i="14"/>
  <c r="BB137" i="14"/>
  <c r="BB138" i="14"/>
  <c r="BB139" i="14"/>
  <c r="BB140" i="14"/>
  <c r="BB141" i="14"/>
  <c r="BB142" i="14"/>
  <c r="BB143" i="14"/>
  <c r="BB144" i="14"/>
  <c r="BB145" i="14"/>
  <c r="BB146" i="14"/>
  <c r="BB147" i="14"/>
  <c r="BB148" i="14"/>
  <c r="BB149" i="14"/>
  <c r="BB150" i="14"/>
  <c r="BB151" i="14"/>
  <c r="BB152" i="14"/>
  <c r="BB153" i="14"/>
  <c r="BB154" i="14"/>
  <c r="BB155" i="14"/>
  <c r="BB156" i="14"/>
  <c r="BB157" i="14"/>
  <c r="BB158" i="14"/>
  <c r="BB159" i="14"/>
  <c r="BB160" i="14"/>
  <c r="BB161" i="14"/>
  <c r="BB162" i="14"/>
  <c r="BB163" i="14"/>
  <c r="BB164" i="14"/>
  <c r="BB165" i="14"/>
  <c r="BB166" i="14"/>
  <c r="BB167" i="14"/>
  <c r="BB168" i="14"/>
  <c r="BB169" i="14"/>
  <c r="BB170" i="14"/>
  <c r="BB171" i="14"/>
  <c r="BB172" i="14"/>
  <c r="BB173" i="14"/>
  <c r="BB174" i="14"/>
  <c r="BB175" i="14"/>
  <c r="BB176" i="14"/>
  <c r="BB177" i="14"/>
  <c r="BB178" i="14"/>
  <c r="BB179" i="14"/>
  <c r="BB180" i="14"/>
  <c r="BB181" i="14"/>
  <c r="BB182" i="14"/>
  <c r="BB183" i="14"/>
  <c r="BB184" i="14"/>
  <c r="BB185" i="14"/>
  <c r="BB186" i="14"/>
  <c r="BB187" i="14"/>
  <c r="BB188" i="14"/>
  <c r="BB189" i="14"/>
  <c r="BB190" i="14"/>
  <c r="BB191" i="14"/>
  <c r="BB192" i="14"/>
  <c r="BB193" i="14"/>
  <c r="BB194" i="14"/>
  <c r="BB195" i="14"/>
  <c r="BB196" i="14"/>
  <c r="BB197" i="14"/>
  <c r="BB198" i="14"/>
  <c r="BB199" i="14"/>
  <c r="BB200" i="14"/>
  <c r="BB201" i="14"/>
  <c r="BB202" i="14"/>
  <c r="BB203" i="14"/>
  <c r="BB204" i="14"/>
  <c r="BB205" i="14"/>
  <c r="BB206" i="14"/>
  <c r="BB207" i="14"/>
  <c r="BB208" i="14"/>
  <c r="BB209" i="14"/>
  <c r="BB210" i="14"/>
  <c r="BB211" i="14"/>
  <c r="BB212" i="14"/>
  <c r="BB213" i="14"/>
  <c r="BB214" i="14"/>
  <c r="BB215" i="14"/>
  <c r="BB216" i="14"/>
  <c r="BB217" i="14"/>
  <c r="BB218" i="14"/>
  <c r="BB219" i="14"/>
  <c r="BB220" i="14"/>
  <c r="BB221" i="14"/>
  <c r="BB222" i="14"/>
  <c r="BB223" i="14"/>
  <c r="BB224" i="14"/>
  <c r="BB225" i="14"/>
  <c r="BB226" i="14"/>
  <c r="BB227" i="14"/>
  <c r="BB228" i="14"/>
  <c r="BB229" i="14"/>
  <c r="BB230" i="14"/>
  <c r="BB231" i="14"/>
  <c r="BB232" i="14"/>
  <c r="BB233" i="14"/>
  <c r="BB234" i="14"/>
  <c r="BB235" i="14"/>
  <c r="BB236" i="14"/>
  <c r="BB237" i="14"/>
  <c r="BB238" i="14"/>
  <c r="BB239" i="14"/>
  <c r="BB240" i="14"/>
  <c r="BB241" i="14"/>
  <c r="BB242" i="14"/>
  <c r="BB243" i="14"/>
  <c r="BB244" i="14"/>
  <c r="BB245" i="14"/>
  <c r="BB246" i="14"/>
  <c r="BB247" i="14"/>
  <c r="BB248" i="14"/>
  <c r="BB249" i="14"/>
  <c r="BB250" i="14"/>
  <c r="BB251" i="14"/>
  <c r="BB252" i="14"/>
  <c r="BB253" i="14"/>
  <c r="BB254" i="14"/>
  <c r="BB255" i="14"/>
  <c r="BB256" i="14"/>
  <c r="BB257" i="14"/>
  <c r="BB258" i="14"/>
  <c r="BB259" i="14"/>
  <c r="BB260" i="14"/>
  <c r="BB261" i="14"/>
  <c r="BB262" i="14"/>
  <c r="BB263" i="14"/>
  <c r="BB264" i="14"/>
  <c r="BB265" i="14"/>
  <c r="BB266" i="14"/>
  <c r="BB267" i="14"/>
  <c r="BB268" i="14"/>
  <c r="BB269" i="14"/>
  <c r="BB270" i="14"/>
  <c r="BB271" i="14"/>
  <c r="BB272" i="14"/>
  <c r="BB273" i="14"/>
  <c r="BB274" i="14"/>
  <c r="BB275" i="14"/>
  <c r="BB276" i="14"/>
  <c r="BB277" i="14"/>
  <c r="BB278" i="14"/>
  <c r="BB279" i="14"/>
  <c r="BB280" i="14"/>
  <c r="BB281" i="14"/>
  <c r="BB282" i="14"/>
  <c r="BB283" i="14"/>
  <c r="BB284" i="14"/>
  <c r="BB285" i="14"/>
  <c r="BB286" i="14"/>
  <c r="BB287" i="14"/>
  <c r="BB288" i="14"/>
  <c r="BB289" i="14"/>
  <c r="BB290" i="14"/>
  <c r="BB291" i="14"/>
  <c r="BB292" i="14"/>
  <c r="BB293" i="14"/>
  <c r="BB294" i="14"/>
  <c r="BB295" i="14"/>
  <c r="BB296" i="14"/>
  <c r="BB297" i="14"/>
  <c r="BB298" i="14"/>
  <c r="BB299" i="14"/>
  <c r="BB300" i="14"/>
  <c r="BB301" i="14"/>
  <c r="BB302" i="14"/>
  <c r="BB303" i="14"/>
  <c r="BB304" i="14"/>
  <c r="BB305" i="14"/>
  <c r="BB306" i="14"/>
  <c r="BB307" i="14"/>
  <c r="BB308" i="14"/>
  <c r="BB309" i="14"/>
  <c r="BB310" i="14"/>
  <c r="BB311" i="14"/>
  <c r="BB312" i="14"/>
  <c r="BB313" i="14"/>
  <c r="BB314" i="14"/>
  <c r="BB315" i="14"/>
  <c r="BB316" i="14"/>
  <c r="BB317" i="14"/>
  <c r="BB318" i="14"/>
  <c r="BB319" i="14"/>
  <c r="BB320" i="14"/>
  <c r="BB321" i="14"/>
  <c r="BB322" i="14"/>
  <c r="BB323" i="14"/>
  <c r="BB324" i="14"/>
  <c r="BB325" i="14"/>
  <c r="BB326" i="14"/>
  <c r="BB327" i="14"/>
  <c r="BB328" i="14"/>
  <c r="BB329" i="14"/>
  <c r="BB330" i="14"/>
  <c r="BB331" i="14"/>
  <c r="BB332" i="14"/>
  <c r="BB333" i="14"/>
  <c r="BB334" i="14"/>
  <c r="BB335" i="14"/>
  <c r="BB336" i="14"/>
  <c r="BB337" i="14"/>
  <c r="BB338" i="14"/>
  <c r="BB339" i="14"/>
  <c r="BB340" i="14"/>
  <c r="BB341" i="14"/>
  <c r="BB342" i="14"/>
  <c r="BB343" i="14"/>
  <c r="BB344" i="14"/>
  <c r="BB345" i="14"/>
  <c r="BB346" i="14"/>
  <c r="BB347" i="14"/>
  <c r="BB348" i="14"/>
  <c r="BB349" i="14"/>
  <c r="BB350" i="14"/>
  <c r="BB351" i="14"/>
  <c r="BB352" i="14"/>
  <c r="BB353" i="14"/>
  <c r="BB354" i="14"/>
  <c r="BB355" i="14"/>
  <c r="BB356" i="14"/>
  <c r="BB357" i="14"/>
  <c r="BB358" i="14"/>
  <c r="BB359" i="14"/>
  <c r="BB360" i="14"/>
  <c r="BB361" i="14"/>
  <c r="BB362" i="14"/>
  <c r="BB363" i="14"/>
  <c r="BB364" i="14"/>
  <c r="BB365" i="14"/>
  <c r="BB366" i="14"/>
  <c r="BB2" i="14"/>
  <c r="BA3" i="14"/>
  <c r="BA4" i="14"/>
  <c r="BA5" i="14"/>
  <c r="BA6" i="14"/>
  <c r="BA7" i="14"/>
  <c r="BA8" i="14"/>
  <c r="BA9" i="14"/>
  <c r="BA10" i="14"/>
  <c r="BA11" i="14"/>
  <c r="BA12" i="14"/>
  <c r="BA13" i="14"/>
  <c r="BA14" i="14"/>
  <c r="BA15" i="14"/>
  <c r="BA16" i="14"/>
  <c r="BA17" i="14"/>
  <c r="BA18" i="14"/>
  <c r="BA19" i="14"/>
  <c r="BA20" i="14"/>
  <c r="BA21" i="14"/>
  <c r="BA22" i="14"/>
  <c r="BA23" i="14"/>
  <c r="BA24" i="14"/>
  <c r="BA25" i="14"/>
  <c r="BA26" i="14"/>
  <c r="BA27" i="14"/>
  <c r="BA28" i="14"/>
  <c r="BA29" i="14"/>
  <c r="BA30" i="14"/>
  <c r="BA31" i="14"/>
  <c r="BA32" i="14"/>
  <c r="BA33" i="14"/>
  <c r="BA34" i="14"/>
  <c r="BA35" i="14"/>
  <c r="BA36" i="14"/>
  <c r="BA37" i="14"/>
  <c r="BA38" i="14"/>
  <c r="BA39" i="14"/>
  <c r="BA40" i="14"/>
  <c r="BA41" i="14"/>
  <c r="BA42" i="14"/>
  <c r="BA43" i="14"/>
  <c r="BA44" i="14"/>
  <c r="BA45" i="14"/>
  <c r="BA46" i="14"/>
  <c r="BA47" i="14"/>
  <c r="BA48" i="14"/>
  <c r="BA49" i="14"/>
  <c r="BA50" i="14"/>
  <c r="BA51" i="14"/>
  <c r="BA52" i="14"/>
  <c r="BA53" i="14"/>
  <c r="BA54" i="14"/>
  <c r="BA55" i="14"/>
  <c r="BA56" i="14"/>
  <c r="BA57" i="14"/>
  <c r="BA58" i="14"/>
  <c r="BA59" i="14"/>
  <c r="BA60" i="14"/>
  <c r="BA61" i="14"/>
  <c r="BA62" i="14"/>
  <c r="BA63" i="14"/>
  <c r="BA64" i="14"/>
  <c r="BA65" i="14"/>
  <c r="BA66" i="14"/>
  <c r="BA67" i="14"/>
  <c r="BA68" i="14"/>
  <c r="BA69" i="14"/>
  <c r="BA70" i="14"/>
  <c r="BA71" i="14"/>
  <c r="BA72" i="14"/>
  <c r="BA73" i="14"/>
  <c r="BA74" i="14"/>
  <c r="BA75" i="14"/>
  <c r="BA76" i="14"/>
  <c r="BA77" i="14"/>
  <c r="BA78" i="14"/>
  <c r="BA79" i="14"/>
  <c r="BA80" i="14"/>
  <c r="BA81" i="14"/>
  <c r="BA82" i="14"/>
  <c r="BA83" i="14"/>
  <c r="BA84" i="14"/>
  <c r="BA85" i="14"/>
  <c r="BA86" i="14"/>
  <c r="BA87" i="14"/>
  <c r="BA88" i="14"/>
  <c r="BA89" i="14"/>
  <c r="BA90" i="14"/>
  <c r="BA91" i="14"/>
  <c r="BA92" i="14"/>
  <c r="BA93" i="14"/>
  <c r="BA94" i="14"/>
  <c r="BA95" i="14"/>
  <c r="BA96" i="14"/>
  <c r="BA97" i="14"/>
  <c r="BA98" i="14"/>
  <c r="BA99" i="14"/>
  <c r="BA100" i="14"/>
  <c r="BA101" i="14"/>
  <c r="BA102" i="14"/>
  <c r="BA103" i="14"/>
  <c r="BA104" i="14"/>
  <c r="BA105" i="14"/>
  <c r="BA106" i="14"/>
  <c r="BA107" i="14"/>
  <c r="BA108" i="14"/>
  <c r="BA109" i="14"/>
  <c r="BA110" i="14"/>
  <c r="BA111" i="14"/>
  <c r="BA112" i="14"/>
  <c r="BA113" i="14"/>
  <c r="BA114" i="14"/>
  <c r="BA115" i="14"/>
  <c r="BA116" i="14"/>
  <c r="BA117" i="14"/>
  <c r="BA118" i="14"/>
  <c r="BA119" i="14"/>
  <c r="BA120" i="14"/>
  <c r="BA121" i="14"/>
  <c r="BA122" i="14"/>
  <c r="BA123" i="14"/>
  <c r="BA124" i="14"/>
  <c r="BA125" i="14"/>
  <c r="BA126" i="14"/>
  <c r="BA127" i="14"/>
  <c r="BA128" i="14"/>
  <c r="BA129" i="14"/>
  <c r="BA130" i="14"/>
  <c r="BA131" i="14"/>
  <c r="BA132" i="14"/>
  <c r="BA133" i="14"/>
  <c r="BA134" i="14"/>
  <c r="BA135" i="14"/>
  <c r="BA136" i="14"/>
  <c r="BA137" i="14"/>
  <c r="BA138" i="14"/>
  <c r="BA139" i="14"/>
  <c r="BA140" i="14"/>
  <c r="BA141" i="14"/>
  <c r="BA142" i="14"/>
  <c r="BA143" i="14"/>
  <c r="BA144" i="14"/>
  <c r="BA145" i="14"/>
  <c r="BA146" i="14"/>
  <c r="BA147" i="14"/>
  <c r="BA148" i="14"/>
  <c r="BA149" i="14"/>
  <c r="BA150" i="14"/>
  <c r="BA151" i="14"/>
  <c r="BA152" i="14"/>
  <c r="BA153" i="14"/>
  <c r="BA154" i="14"/>
  <c r="BA155" i="14"/>
  <c r="BA156" i="14"/>
  <c r="BA157" i="14"/>
  <c r="BA158" i="14"/>
  <c r="BA159" i="14"/>
  <c r="BA160" i="14"/>
  <c r="BA161" i="14"/>
  <c r="BA162" i="14"/>
  <c r="BA163" i="14"/>
  <c r="BA164" i="14"/>
  <c r="BA165" i="14"/>
  <c r="BA166" i="14"/>
  <c r="BA167" i="14"/>
  <c r="BA168" i="14"/>
  <c r="BA169" i="14"/>
  <c r="BA170" i="14"/>
  <c r="BA171" i="14"/>
  <c r="BA172" i="14"/>
  <c r="BA173" i="14"/>
  <c r="BA174" i="14"/>
  <c r="BA175" i="14"/>
  <c r="BA176" i="14"/>
  <c r="BA177" i="14"/>
  <c r="BA178" i="14"/>
  <c r="BA179" i="14"/>
  <c r="BA180" i="14"/>
  <c r="BA181" i="14"/>
  <c r="BA182" i="14"/>
  <c r="BA183" i="14"/>
  <c r="BA184" i="14"/>
  <c r="BA185" i="14"/>
  <c r="BA186" i="14"/>
  <c r="BA187" i="14"/>
  <c r="BA188" i="14"/>
  <c r="BA189" i="14"/>
  <c r="BA190" i="14"/>
  <c r="BA191" i="14"/>
  <c r="BA192" i="14"/>
  <c r="BA193" i="14"/>
  <c r="BA194" i="14"/>
  <c r="BA195" i="14"/>
  <c r="BA196" i="14"/>
  <c r="BA197" i="14"/>
  <c r="BA198" i="14"/>
  <c r="BA199" i="14"/>
  <c r="BA200" i="14"/>
  <c r="BA201" i="14"/>
  <c r="BA202" i="14"/>
  <c r="BA203" i="14"/>
  <c r="BA204" i="14"/>
  <c r="BA205" i="14"/>
  <c r="BA206" i="14"/>
  <c r="BA207" i="14"/>
  <c r="BA208" i="14"/>
  <c r="BA209" i="14"/>
  <c r="BA210" i="14"/>
  <c r="BA211" i="14"/>
  <c r="BA212" i="14"/>
  <c r="BA213" i="14"/>
  <c r="BA214" i="14"/>
  <c r="BA215" i="14"/>
  <c r="BA216" i="14"/>
  <c r="BA217" i="14"/>
  <c r="BA218" i="14"/>
  <c r="BA219" i="14"/>
  <c r="BA220" i="14"/>
  <c r="BA221" i="14"/>
  <c r="BA222" i="14"/>
  <c r="BA223" i="14"/>
  <c r="BA224" i="14"/>
  <c r="BA225" i="14"/>
  <c r="BA226" i="14"/>
  <c r="BA227" i="14"/>
  <c r="BA228" i="14"/>
  <c r="BA229" i="14"/>
  <c r="BA230" i="14"/>
  <c r="BA231" i="14"/>
  <c r="BA232" i="14"/>
  <c r="BA233" i="14"/>
  <c r="BA234" i="14"/>
  <c r="BA235" i="14"/>
  <c r="BA236" i="14"/>
  <c r="BA237" i="14"/>
  <c r="BA238" i="14"/>
  <c r="BA239" i="14"/>
  <c r="BA240" i="14"/>
  <c r="BA241" i="14"/>
  <c r="BA242" i="14"/>
  <c r="BA243" i="14"/>
  <c r="BA244" i="14"/>
  <c r="BA245" i="14"/>
  <c r="BA246" i="14"/>
  <c r="BA247" i="14"/>
  <c r="BA248" i="14"/>
  <c r="BA249" i="14"/>
  <c r="BA250" i="14"/>
  <c r="BA251" i="14"/>
  <c r="BA252" i="14"/>
  <c r="BA253" i="14"/>
  <c r="BA254" i="14"/>
  <c r="BA255" i="14"/>
  <c r="BA256" i="14"/>
  <c r="BA257" i="14"/>
  <c r="BA258" i="14"/>
  <c r="BA259" i="14"/>
  <c r="BA260" i="14"/>
  <c r="BA261" i="14"/>
  <c r="BA262" i="14"/>
  <c r="BA263" i="14"/>
  <c r="BA264" i="14"/>
  <c r="BA265" i="14"/>
  <c r="BA266" i="14"/>
  <c r="BA267" i="14"/>
  <c r="BA268" i="14"/>
  <c r="BA269" i="14"/>
  <c r="BA270" i="14"/>
  <c r="BA271" i="14"/>
  <c r="BA272" i="14"/>
  <c r="BA273" i="14"/>
  <c r="BA274" i="14"/>
  <c r="BA275" i="14"/>
  <c r="BA276" i="14"/>
  <c r="BA277" i="14"/>
  <c r="BA278" i="14"/>
  <c r="BA279" i="14"/>
  <c r="BA280" i="14"/>
  <c r="BA281" i="14"/>
  <c r="BA282" i="14"/>
  <c r="BA283" i="14"/>
  <c r="BA284" i="14"/>
  <c r="BA285" i="14"/>
  <c r="BA286" i="14"/>
  <c r="BA287" i="14"/>
  <c r="BA288" i="14"/>
  <c r="BA289" i="14"/>
  <c r="BA290" i="14"/>
  <c r="BA291" i="14"/>
  <c r="BA292" i="14"/>
  <c r="BA293" i="14"/>
  <c r="BA294" i="14"/>
  <c r="BA295" i="14"/>
  <c r="BA296" i="14"/>
  <c r="BA297" i="14"/>
  <c r="BA298" i="14"/>
  <c r="BA299" i="14"/>
  <c r="BA300" i="14"/>
  <c r="BA301" i="14"/>
  <c r="BA302" i="14"/>
  <c r="BA303" i="14"/>
  <c r="BA304" i="14"/>
  <c r="BA305" i="14"/>
  <c r="BA306" i="14"/>
  <c r="BA307" i="14"/>
  <c r="BA308" i="14"/>
  <c r="BA309" i="14"/>
  <c r="BA310" i="14"/>
  <c r="BA311" i="14"/>
  <c r="BA312" i="14"/>
  <c r="BA313" i="14"/>
  <c r="BA314" i="14"/>
  <c r="BA315" i="14"/>
  <c r="BA316" i="14"/>
  <c r="BA317" i="14"/>
  <c r="BA318" i="14"/>
  <c r="BA319" i="14"/>
  <c r="BA320" i="14"/>
  <c r="BA321" i="14"/>
  <c r="BA322" i="14"/>
  <c r="BA323" i="14"/>
  <c r="BA324" i="14"/>
  <c r="BA325" i="14"/>
  <c r="BA326" i="14"/>
  <c r="BA327" i="14"/>
  <c r="BA328" i="14"/>
  <c r="BA329" i="14"/>
  <c r="BA330" i="14"/>
  <c r="BA331" i="14"/>
  <c r="BA332" i="14"/>
  <c r="BA333" i="14"/>
  <c r="BA334" i="14"/>
  <c r="BA335" i="14"/>
  <c r="BA336" i="14"/>
  <c r="BA337" i="14"/>
  <c r="BA338" i="14"/>
  <c r="BA339" i="14"/>
  <c r="BA340" i="14"/>
  <c r="BA341" i="14"/>
  <c r="BA342" i="14"/>
  <c r="BA343" i="14"/>
  <c r="BA344" i="14"/>
  <c r="BA345" i="14"/>
  <c r="BA346" i="14"/>
  <c r="BA347" i="14"/>
  <c r="BA348" i="14"/>
  <c r="BA349" i="14"/>
  <c r="BA350" i="14"/>
  <c r="BA351" i="14"/>
  <c r="BA352" i="14"/>
  <c r="BA353" i="14"/>
  <c r="BA354" i="14"/>
  <c r="BA355" i="14"/>
  <c r="BA356" i="14"/>
  <c r="BA357" i="14"/>
  <c r="BA358" i="14"/>
  <c r="BA359" i="14"/>
  <c r="BA360" i="14"/>
  <c r="BA361" i="14"/>
  <c r="BA362" i="14"/>
  <c r="BA363" i="14"/>
  <c r="BA364" i="14"/>
  <c r="BA365" i="14"/>
  <c r="BA366" i="14"/>
  <c r="BA2" i="14"/>
  <c r="AU3" i="14"/>
  <c r="AU4" i="14"/>
  <c r="AU5" i="14"/>
  <c r="AU6" i="14"/>
  <c r="AU7" i="14"/>
  <c r="AU8" i="14"/>
  <c r="AU9" i="14"/>
  <c r="AU10" i="14"/>
  <c r="AU11" i="14"/>
  <c r="AU12" i="14"/>
  <c r="AU13" i="14"/>
  <c r="AU14" i="14"/>
  <c r="AU15" i="14"/>
  <c r="AU16" i="14"/>
  <c r="AU17" i="14"/>
  <c r="AU18" i="14"/>
  <c r="AU19" i="14"/>
  <c r="AU20" i="14"/>
  <c r="AU21" i="14"/>
  <c r="AU22" i="14"/>
  <c r="AU23" i="14"/>
  <c r="AU24" i="14"/>
  <c r="AU25" i="14"/>
  <c r="AU26" i="14"/>
  <c r="AU27" i="14"/>
  <c r="AU28" i="14"/>
  <c r="AU29" i="14"/>
  <c r="AU30" i="14"/>
  <c r="AU31" i="14"/>
  <c r="AU32" i="14"/>
  <c r="AU33" i="14"/>
  <c r="AU34" i="14"/>
  <c r="AU35" i="14"/>
  <c r="AU36" i="14"/>
  <c r="AU37" i="14"/>
  <c r="AU38" i="14"/>
  <c r="AU39" i="14"/>
  <c r="AU40" i="14"/>
  <c r="AU41" i="14"/>
  <c r="AU42" i="14"/>
  <c r="AU43" i="14"/>
  <c r="AU44" i="14"/>
  <c r="AU45" i="14"/>
  <c r="AU46" i="14"/>
  <c r="AU47" i="14"/>
  <c r="AU48" i="14"/>
  <c r="AU49" i="14"/>
  <c r="AU50" i="14"/>
  <c r="AU51" i="14"/>
  <c r="AU52" i="14"/>
  <c r="AU53" i="14"/>
  <c r="AU54" i="14"/>
  <c r="AU55" i="14"/>
  <c r="AU56" i="14"/>
  <c r="AU57" i="14"/>
  <c r="AU58" i="14"/>
  <c r="AU59" i="14"/>
  <c r="AU60" i="14"/>
  <c r="AU61" i="14"/>
  <c r="AU62" i="14"/>
  <c r="AU63" i="14"/>
  <c r="AU64" i="14"/>
  <c r="AU65" i="14"/>
  <c r="AU66" i="14"/>
  <c r="AU67" i="14"/>
  <c r="AU68" i="14"/>
  <c r="AU69" i="14"/>
  <c r="AU70" i="14"/>
  <c r="AU71" i="14"/>
  <c r="AU72" i="14"/>
  <c r="AU73" i="14"/>
  <c r="AU74" i="14"/>
  <c r="AU75" i="14"/>
  <c r="AU76" i="14"/>
  <c r="AU77" i="14"/>
  <c r="AU78" i="14"/>
  <c r="AU79" i="14"/>
  <c r="AU80" i="14"/>
  <c r="AU81" i="14"/>
  <c r="AU82" i="14"/>
  <c r="AU83" i="14"/>
  <c r="AU84" i="14"/>
  <c r="AU85" i="14"/>
  <c r="AU86" i="14"/>
  <c r="AU87" i="14"/>
  <c r="AU88" i="14"/>
  <c r="AU89" i="14"/>
  <c r="AU90" i="14"/>
  <c r="AU91" i="14"/>
  <c r="AU92" i="14"/>
  <c r="AU93" i="14"/>
  <c r="AU94" i="14"/>
  <c r="AU95" i="14"/>
  <c r="AU96" i="14"/>
  <c r="AU97" i="14"/>
  <c r="AU98" i="14"/>
  <c r="AU99" i="14"/>
  <c r="AU100" i="14"/>
  <c r="AU101" i="14"/>
  <c r="AU102" i="14"/>
  <c r="AU103" i="14"/>
  <c r="AU104" i="14"/>
  <c r="AU105" i="14"/>
  <c r="AU106" i="14"/>
  <c r="AU107" i="14"/>
  <c r="AU108" i="14"/>
  <c r="AU109" i="14"/>
  <c r="AU110" i="14"/>
  <c r="AU111" i="14"/>
  <c r="AU112" i="14"/>
  <c r="AU113" i="14"/>
  <c r="AU114" i="14"/>
  <c r="AU115" i="14"/>
  <c r="AU116" i="14"/>
  <c r="AU117" i="14"/>
  <c r="AU118" i="14"/>
  <c r="AU119" i="14"/>
  <c r="AU120" i="14"/>
  <c r="AU121" i="14"/>
  <c r="AU122" i="14"/>
  <c r="AU123" i="14"/>
  <c r="AU124" i="14"/>
  <c r="AU125" i="14"/>
  <c r="AU126" i="14"/>
  <c r="AU127" i="14"/>
  <c r="AU128" i="14"/>
  <c r="AU129" i="14"/>
  <c r="AU130" i="14"/>
  <c r="AU131" i="14"/>
  <c r="AU132" i="14"/>
  <c r="AU133" i="14"/>
  <c r="AU134" i="14"/>
  <c r="AU135" i="14"/>
  <c r="AU136" i="14"/>
  <c r="AU137" i="14"/>
  <c r="AU138" i="14"/>
  <c r="AU139" i="14"/>
  <c r="AU140" i="14"/>
  <c r="AU141" i="14"/>
  <c r="AU142" i="14"/>
  <c r="AU143" i="14"/>
  <c r="AU144" i="14"/>
  <c r="AU145" i="14"/>
  <c r="AU146" i="14"/>
  <c r="AU147" i="14"/>
  <c r="AU148" i="14"/>
  <c r="AU149" i="14"/>
  <c r="AU150" i="14"/>
  <c r="AU151" i="14"/>
  <c r="AU152" i="14"/>
  <c r="AU153" i="14"/>
  <c r="AU154" i="14"/>
  <c r="AU155" i="14"/>
  <c r="AU156" i="14"/>
  <c r="AU157" i="14"/>
  <c r="AU158" i="14"/>
  <c r="AU159" i="14"/>
  <c r="AU160" i="14"/>
  <c r="AU161" i="14"/>
  <c r="AU162" i="14"/>
  <c r="AU163" i="14"/>
  <c r="AU164" i="14"/>
  <c r="AU165" i="14"/>
  <c r="AU166" i="14"/>
  <c r="AU167" i="14"/>
  <c r="AU168" i="14"/>
  <c r="AU169" i="14"/>
  <c r="AU170" i="14"/>
  <c r="AU171" i="14"/>
  <c r="AU172" i="14"/>
  <c r="AU173" i="14"/>
  <c r="AU174" i="14"/>
  <c r="AU175" i="14"/>
  <c r="AU176" i="14"/>
  <c r="AU177" i="14"/>
  <c r="AU178" i="14"/>
  <c r="AU179" i="14"/>
  <c r="AU180" i="14"/>
  <c r="AU181" i="14"/>
  <c r="AU182" i="14"/>
  <c r="AU183" i="14"/>
  <c r="AU184" i="14"/>
  <c r="AU185" i="14"/>
  <c r="AU186" i="14"/>
  <c r="AU187" i="14"/>
  <c r="AU188" i="14"/>
  <c r="AU189" i="14"/>
  <c r="AU190" i="14"/>
  <c r="AU191" i="14"/>
  <c r="AU192" i="14"/>
  <c r="AU193" i="14"/>
  <c r="AU194" i="14"/>
  <c r="AU195" i="14"/>
  <c r="AU196" i="14"/>
  <c r="AU197" i="14"/>
  <c r="AU198" i="14"/>
  <c r="AU199" i="14"/>
  <c r="AU200" i="14"/>
  <c r="AU201" i="14"/>
  <c r="AU202" i="14"/>
  <c r="AU203" i="14"/>
  <c r="AU204" i="14"/>
  <c r="AU205" i="14"/>
  <c r="AU206" i="14"/>
  <c r="AU207" i="14"/>
  <c r="AU208" i="14"/>
  <c r="AU209" i="14"/>
  <c r="AU210" i="14"/>
  <c r="AU211" i="14"/>
  <c r="AU212" i="14"/>
  <c r="AU213" i="14"/>
  <c r="AU214" i="14"/>
  <c r="AU215" i="14"/>
  <c r="AU216" i="14"/>
  <c r="AU217" i="14"/>
  <c r="AU218" i="14"/>
  <c r="AU219" i="14"/>
  <c r="AU220" i="14"/>
  <c r="AU221" i="14"/>
  <c r="AU222" i="14"/>
  <c r="AU223" i="14"/>
  <c r="AU224" i="14"/>
  <c r="AU225" i="14"/>
  <c r="AU226" i="14"/>
  <c r="AU227" i="14"/>
  <c r="AU228" i="14"/>
  <c r="AU229" i="14"/>
  <c r="AU230" i="14"/>
  <c r="AU231" i="14"/>
  <c r="AU232" i="14"/>
  <c r="AU233" i="14"/>
  <c r="AU234" i="14"/>
  <c r="AU235" i="14"/>
  <c r="AU236" i="14"/>
  <c r="AU237" i="14"/>
  <c r="AU238" i="14"/>
  <c r="AU239" i="14"/>
  <c r="AU240" i="14"/>
  <c r="AU241" i="14"/>
  <c r="AU242" i="14"/>
  <c r="AU243" i="14"/>
  <c r="AU244" i="14"/>
  <c r="AU245" i="14"/>
  <c r="AU246" i="14"/>
  <c r="AU247" i="14"/>
  <c r="AU248" i="14"/>
  <c r="AU249" i="14"/>
  <c r="AU250" i="14"/>
  <c r="AU251" i="14"/>
  <c r="AU252" i="14"/>
  <c r="AU253" i="14"/>
  <c r="AU254" i="14"/>
  <c r="AU255" i="14"/>
  <c r="AU256" i="14"/>
  <c r="AU257" i="14"/>
  <c r="AU258" i="14"/>
  <c r="AU259" i="14"/>
  <c r="AU260" i="14"/>
  <c r="AU261" i="14"/>
  <c r="AU262" i="14"/>
  <c r="AU263" i="14"/>
  <c r="AU264" i="14"/>
  <c r="AU265" i="14"/>
  <c r="AU266" i="14"/>
  <c r="AU267" i="14"/>
  <c r="AU268" i="14"/>
  <c r="AU269" i="14"/>
  <c r="AU270" i="14"/>
  <c r="AU271" i="14"/>
  <c r="AU272" i="14"/>
  <c r="AU273" i="14"/>
  <c r="AU274" i="14"/>
  <c r="AU275" i="14"/>
  <c r="AU276" i="14"/>
  <c r="AU277" i="14"/>
  <c r="AU278" i="14"/>
  <c r="AU279" i="14"/>
  <c r="AU280" i="14"/>
  <c r="AU281" i="14"/>
  <c r="AU282" i="14"/>
  <c r="AU283" i="14"/>
  <c r="AU284" i="14"/>
  <c r="AU285" i="14"/>
  <c r="AU286" i="14"/>
  <c r="AU287" i="14"/>
  <c r="AU288" i="14"/>
  <c r="AU289" i="14"/>
  <c r="AU290" i="14"/>
  <c r="AU291" i="14"/>
  <c r="AU292" i="14"/>
  <c r="AU293" i="14"/>
  <c r="AU294" i="14"/>
  <c r="AU295" i="14"/>
  <c r="AU296" i="14"/>
  <c r="AU297" i="14"/>
  <c r="AU298" i="14"/>
  <c r="AU299" i="14"/>
  <c r="AU300" i="14"/>
  <c r="AU301" i="14"/>
  <c r="AU302" i="14"/>
  <c r="AU303" i="14"/>
  <c r="AU304" i="14"/>
  <c r="AU305" i="14"/>
  <c r="AU306" i="14"/>
  <c r="AU307" i="14"/>
  <c r="AU308" i="14"/>
  <c r="AU309" i="14"/>
  <c r="AU310" i="14"/>
  <c r="AU311" i="14"/>
  <c r="AU312" i="14"/>
  <c r="AU313" i="14"/>
  <c r="AU314" i="14"/>
  <c r="AU315" i="14"/>
  <c r="AU316" i="14"/>
  <c r="AU317" i="14"/>
  <c r="AU318" i="14"/>
  <c r="AU319" i="14"/>
  <c r="AU320" i="14"/>
  <c r="AU321" i="14"/>
  <c r="AU322" i="14"/>
  <c r="AU323" i="14"/>
  <c r="AU324" i="14"/>
  <c r="AU325" i="14"/>
  <c r="AU326" i="14"/>
  <c r="AU327" i="14"/>
  <c r="AU328" i="14"/>
  <c r="AU329" i="14"/>
  <c r="AU330" i="14"/>
  <c r="AU331" i="14"/>
  <c r="AU332" i="14"/>
  <c r="AU333" i="14"/>
  <c r="AU334" i="14"/>
  <c r="AU335" i="14"/>
  <c r="AU336" i="14"/>
  <c r="AU337" i="14"/>
  <c r="AU338" i="14"/>
  <c r="AU339" i="14"/>
  <c r="AU340" i="14"/>
  <c r="AU341" i="14"/>
  <c r="AU342" i="14"/>
  <c r="AU343" i="14"/>
  <c r="AU344" i="14"/>
  <c r="AU345" i="14"/>
  <c r="AU346" i="14"/>
  <c r="AU347" i="14"/>
  <c r="AU348" i="14"/>
  <c r="AU349" i="14"/>
  <c r="AU350" i="14"/>
  <c r="AU351" i="14"/>
  <c r="AU352" i="14"/>
  <c r="AU353" i="14"/>
  <c r="AU354" i="14"/>
  <c r="AU355" i="14"/>
  <c r="AU356" i="14"/>
  <c r="AU357" i="14"/>
  <c r="AU358" i="14"/>
  <c r="AU359" i="14"/>
  <c r="AU360" i="14"/>
  <c r="AU361" i="14"/>
  <c r="AU362" i="14"/>
  <c r="AU363" i="14"/>
  <c r="AU364" i="14"/>
  <c r="AU365" i="14"/>
  <c r="AU366" i="14"/>
  <c r="AT196" i="14"/>
  <c r="AT197" i="14"/>
  <c r="AT198" i="14"/>
  <c r="AT199" i="14"/>
  <c r="AT200" i="14"/>
  <c r="AT201" i="14"/>
  <c r="AT202" i="14"/>
  <c r="AT203" i="14"/>
  <c r="AT204" i="14"/>
  <c r="AT205" i="14"/>
  <c r="AT206" i="14"/>
  <c r="AT207" i="14"/>
  <c r="AT208" i="14"/>
  <c r="AT209" i="14"/>
  <c r="AT210" i="14"/>
  <c r="AT211" i="14"/>
  <c r="AT212" i="14"/>
  <c r="AT213" i="14"/>
  <c r="AT214" i="14"/>
  <c r="AT215" i="14"/>
  <c r="AT216" i="14"/>
  <c r="AT217" i="14"/>
  <c r="AT218" i="14"/>
  <c r="AT219" i="14"/>
  <c r="AT220" i="14"/>
  <c r="AT221" i="14"/>
  <c r="AT222" i="14"/>
  <c r="AT223" i="14"/>
  <c r="AT224" i="14"/>
  <c r="AT225" i="14"/>
  <c r="AT226" i="14"/>
  <c r="AT227" i="14"/>
  <c r="AT228" i="14"/>
  <c r="AT229" i="14"/>
  <c r="AT230" i="14"/>
  <c r="AT231" i="14"/>
  <c r="AT232" i="14"/>
  <c r="AT233" i="14"/>
  <c r="AT234" i="14"/>
  <c r="AT235" i="14"/>
  <c r="AT236" i="14"/>
  <c r="AT237" i="14"/>
  <c r="AT238" i="14"/>
  <c r="AT239" i="14"/>
  <c r="AT240" i="14"/>
  <c r="AT241" i="14"/>
  <c r="AT242" i="14"/>
  <c r="AT243" i="14"/>
  <c r="AT244" i="14"/>
  <c r="AT245" i="14"/>
  <c r="AT246" i="14"/>
  <c r="AT247" i="14"/>
  <c r="AT248" i="14"/>
  <c r="AT249" i="14"/>
  <c r="AT250" i="14"/>
  <c r="AT251" i="14"/>
  <c r="AT252" i="14"/>
  <c r="AT253" i="14"/>
  <c r="AT254" i="14"/>
  <c r="AT255" i="14"/>
  <c r="AT256" i="14"/>
  <c r="AT257" i="14"/>
  <c r="AT258" i="14"/>
  <c r="AT259" i="14"/>
  <c r="AT260" i="14"/>
  <c r="AT261" i="14"/>
  <c r="AT262" i="14"/>
  <c r="AT263" i="14"/>
  <c r="AT264" i="14"/>
  <c r="AT265" i="14"/>
  <c r="AT266" i="14"/>
  <c r="AT267" i="14"/>
  <c r="AT268" i="14"/>
  <c r="AT269" i="14"/>
  <c r="AT270" i="14"/>
  <c r="AT271" i="14"/>
  <c r="AT272" i="14"/>
  <c r="AT273" i="14"/>
  <c r="AT274" i="14"/>
  <c r="AT275" i="14"/>
  <c r="AT276" i="14"/>
  <c r="AT277" i="14"/>
  <c r="AT278" i="14"/>
  <c r="AT279" i="14"/>
  <c r="AT280" i="14"/>
  <c r="AT281" i="14"/>
  <c r="AT282" i="14"/>
  <c r="AT283" i="14"/>
  <c r="AT284" i="14"/>
  <c r="AT285" i="14"/>
  <c r="AT286" i="14"/>
  <c r="AT287" i="14"/>
  <c r="AT288" i="14"/>
  <c r="AT289" i="14"/>
  <c r="AT290" i="14"/>
  <c r="AT291" i="14"/>
  <c r="AT292" i="14"/>
  <c r="AT293" i="14"/>
  <c r="AT294" i="14"/>
  <c r="AT295" i="14"/>
  <c r="AT296" i="14"/>
  <c r="AT297" i="14"/>
  <c r="AT298" i="14"/>
  <c r="AT299" i="14"/>
  <c r="AT300" i="14"/>
  <c r="AT301" i="14"/>
  <c r="AT302" i="14"/>
  <c r="AT303" i="14"/>
  <c r="AT304" i="14"/>
  <c r="AT305" i="14"/>
  <c r="AT306" i="14"/>
  <c r="AT307" i="14"/>
  <c r="AT308" i="14"/>
  <c r="AT309" i="14"/>
  <c r="AT310" i="14"/>
  <c r="AT311" i="14"/>
  <c r="AT312" i="14"/>
  <c r="AT313" i="14"/>
  <c r="AT314" i="14"/>
  <c r="AT315" i="14"/>
  <c r="AT316" i="14"/>
  <c r="AT317" i="14"/>
  <c r="AT318" i="14"/>
  <c r="AT319" i="14"/>
  <c r="AT320" i="14"/>
  <c r="AT321" i="14"/>
  <c r="AT322" i="14"/>
  <c r="AT323" i="14"/>
  <c r="AT324" i="14"/>
  <c r="AT325" i="14"/>
  <c r="AT326" i="14"/>
  <c r="AT327" i="14"/>
  <c r="AT328" i="14"/>
  <c r="AT329" i="14"/>
  <c r="AT330" i="14"/>
  <c r="AT331" i="14"/>
  <c r="AT332" i="14"/>
  <c r="AT333" i="14"/>
  <c r="AT334" i="14"/>
  <c r="AT335" i="14"/>
  <c r="AT336" i="14"/>
  <c r="AT337" i="14"/>
  <c r="AT338" i="14"/>
  <c r="AT339" i="14"/>
  <c r="AT340" i="14"/>
  <c r="AT341" i="14"/>
  <c r="AT342" i="14"/>
  <c r="AT343" i="14"/>
  <c r="AT344" i="14"/>
  <c r="AT345" i="14"/>
  <c r="AT346" i="14"/>
  <c r="AT347" i="14"/>
  <c r="AT348" i="14"/>
  <c r="AT349" i="14"/>
  <c r="AT350" i="14"/>
  <c r="AT351" i="14"/>
  <c r="AT352" i="14"/>
  <c r="AT353" i="14"/>
  <c r="AT354" i="14"/>
  <c r="AT355" i="14"/>
  <c r="AT356" i="14"/>
  <c r="AT357" i="14"/>
  <c r="AT358" i="14"/>
  <c r="AT359" i="14"/>
  <c r="AT360" i="14"/>
  <c r="AT361" i="14"/>
  <c r="AT362" i="14"/>
  <c r="AT363" i="14"/>
  <c r="AT364" i="14"/>
  <c r="AT365" i="14"/>
  <c r="AT366" i="14"/>
  <c r="AT3" i="14"/>
  <c r="AT4" i="14"/>
  <c r="AT5" i="14"/>
  <c r="AT6" i="14"/>
  <c r="AT7" i="14"/>
  <c r="AT8" i="14"/>
  <c r="AT9" i="14"/>
  <c r="AT10" i="14"/>
  <c r="AT11" i="14"/>
  <c r="AT12" i="14"/>
  <c r="AT13" i="14"/>
  <c r="AT14" i="14"/>
  <c r="AT15" i="14"/>
  <c r="AT16" i="14"/>
  <c r="AT17" i="14"/>
  <c r="AT18" i="14"/>
  <c r="AT19" i="14"/>
  <c r="AT20" i="14"/>
  <c r="AT21" i="14"/>
  <c r="AT22" i="14"/>
  <c r="AT23" i="14"/>
  <c r="AT24" i="14"/>
  <c r="AT25" i="14"/>
  <c r="AT26" i="14"/>
  <c r="AT27" i="14"/>
  <c r="AT28" i="14"/>
  <c r="AT29" i="14"/>
  <c r="AT30" i="14"/>
  <c r="AT31" i="14"/>
  <c r="AT32" i="14"/>
  <c r="AT33" i="14"/>
  <c r="AT34" i="14"/>
  <c r="AT35" i="14"/>
  <c r="AT36" i="14"/>
  <c r="AT37" i="14"/>
  <c r="AT38" i="14"/>
  <c r="AT39" i="14"/>
  <c r="AT40" i="14"/>
  <c r="AT41" i="14"/>
  <c r="AT42" i="14"/>
  <c r="AT43" i="14"/>
  <c r="AT44" i="14"/>
  <c r="AT45" i="14"/>
  <c r="AT46" i="14"/>
  <c r="AT47" i="14"/>
  <c r="AT48" i="14"/>
  <c r="AT49" i="14"/>
  <c r="AT50" i="14"/>
  <c r="AT51" i="14"/>
  <c r="AT52" i="14"/>
  <c r="AT53" i="14"/>
  <c r="AT54" i="14"/>
  <c r="AT55" i="14"/>
  <c r="AT56" i="14"/>
  <c r="AT57" i="14"/>
  <c r="AT58" i="14"/>
  <c r="AT59" i="14"/>
  <c r="AT60" i="14"/>
  <c r="AT61" i="14"/>
  <c r="AT62" i="14"/>
  <c r="AT63" i="14"/>
  <c r="AT64" i="14"/>
  <c r="AT65" i="14"/>
  <c r="AT66" i="14"/>
  <c r="AT67" i="14"/>
  <c r="AT68" i="14"/>
  <c r="AT69" i="14"/>
  <c r="AT70" i="14"/>
  <c r="AT71" i="14"/>
  <c r="AT72" i="14"/>
  <c r="AT73" i="14"/>
  <c r="AT74" i="14"/>
  <c r="AT75" i="14"/>
  <c r="AT76" i="14"/>
  <c r="AT77" i="14"/>
  <c r="AT78" i="14"/>
  <c r="AT79" i="14"/>
  <c r="AT80" i="14"/>
  <c r="AT81" i="14"/>
  <c r="AT82" i="14"/>
  <c r="AT83" i="14"/>
  <c r="AT84" i="14"/>
  <c r="AT85" i="14"/>
  <c r="AT86" i="14"/>
  <c r="AT87" i="14"/>
  <c r="AT88" i="14"/>
  <c r="AT89" i="14"/>
  <c r="AT90" i="14"/>
  <c r="AT91" i="14"/>
  <c r="AT92" i="14"/>
  <c r="AT93" i="14"/>
  <c r="AT94" i="14"/>
  <c r="AT95" i="14"/>
  <c r="AT96" i="14"/>
  <c r="AT97" i="14"/>
  <c r="AT98" i="14"/>
  <c r="AT99" i="14"/>
  <c r="AT100" i="14"/>
  <c r="AT101" i="14"/>
  <c r="AT102" i="14"/>
  <c r="AT103" i="14"/>
  <c r="AT104" i="14"/>
  <c r="AT105" i="14"/>
  <c r="AT106" i="14"/>
  <c r="AT107" i="14"/>
  <c r="AT108" i="14"/>
  <c r="AT109" i="14"/>
  <c r="AT110" i="14"/>
  <c r="AT111" i="14"/>
  <c r="AT112" i="14"/>
  <c r="AT113" i="14"/>
  <c r="AT114" i="14"/>
  <c r="AT115" i="14"/>
  <c r="AT116" i="14"/>
  <c r="AT117" i="14"/>
  <c r="AT118" i="14"/>
  <c r="AT119" i="14"/>
  <c r="AT120" i="14"/>
  <c r="AT121" i="14"/>
  <c r="AT122" i="14"/>
  <c r="AT123" i="14"/>
  <c r="AT124" i="14"/>
  <c r="AT125" i="14"/>
  <c r="AT126" i="14"/>
  <c r="AT127" i="14"/>
  <c r="AT128" i="14"/>
  <c r="AT129" i="14"/>
  <c r="AT130" i="14"/>
  <c r="AT131" i="14"/>
  <c r="AT132" i="14"/>
  <c r="AT133" i="14"/>
  <c r="AT134" i="14"/>
  <c r="AT135" i="14"/>
  <c r="AT136" i="14"/>
  <c r="AT137" i="14"/>
  <c r="AT138" i="14"/>
  <c r="AT139" i="14"/>
  <c r="AT140" i="14"/>
  <c r="AT141" i="14"/>
  <c r="AT142" i="14"/>
  <c r="AT143" i="14"/>
  <c r="AT144" i="14"/>
  <c r="AT145" i="14"/>
  <c r="AT146" i="14"/>
  <c r="AT147" i="14"/>
  <c r="AT148" i="14"/>
  <c r="AT149" i="14"/>
  <c r="AT150" i="14"/>
  <c r="AT151" i="14"/>
  <c r="AT152" i="14"/>
  <c r="AT153" i="14"/>
  <c r="AT154" i="14"/>
  <c r="AT155" i="14"/>
  <c r="AT156" i="14"/>
  <c r="AT157" i="14"/>
  <c r="AT158" i="14"/>
  <c r="AT159" i="14"/>
  <c r="AT160" i="14"/>
  <c r="AT161" i="14"/>
  <c r="AT162" i="14"/>
  <c r="AT163" i="14"/>
  <c r="AT164" i="14"/>
  <c r="AT165" i="14"/>
  <c r="AT166" i="14"/>
  <c r="AT167" i="14"/>
  <c r="AT168" i="14"/>
  <c r="AT169" i="14"/>
  <c r="AT170" i="14"/>
  <c r="AT171" i="14"/>
  <c r="AT172" i="14"/>
  <c r="AT173" i="14"/>
  <c r="AT174" i="14"/>
  <c r="AT175" i="14"/>
  <c r="AT176" i="14"/>
  <c r="AT177" i="14"/>
  <c r="AT178" i="14"/>
  <c r="AT179" i="14"/>
  <c r="AT180" i="14"/>
  <c r="AT181" i="14"/>
  <c r="AT182" i="14"/>
  <c r="AT183" i="14"/>
  <c r="AT184" i="14"/>
  <c r="AT185" i="14"/>
  <c r="AT186" i="14"/>
  <c r="AT187" i="14"/>
  <c r="AT188" i="14"/>
  <c r="AT189" i="14"/>
  <c r="AT190" i="14"/>
  <c r="AT191" i="14"/>
  <c r="AT192" i="14"/>
  <c r="AT193" i="14"/>
  <c r="AT194" i="14"/>
  <c r="AT195" i="14"/>
  <c r="AU2" i="14"/>
  <c r="AT2" i="14"/>
  <c r="AR3" i="14"/>
  <c r="AR4" i="14"/>
  <c r="AR5" i="14"/>
  <c r="AR6" i="14"/>
  <c r="AR7" i="14"/>
  <c r="AR8" i="14"/>
  <c r="AR9" i="14"/>
  <c r="AR10" i="14"/>
  <c r="AR11" i="14"/>
  <c r="AR12" i="14"/>
  <c r="AR13" i="14"/>
  <c r="AR14" i="14"/>
  <c r="AR15" i="14"/>
  <c r="AR16" i="14"/>
  <c r="AR17" i="14"/>
  <c r="AR18" i="14"/>
  <c r="AR19" i="14"/>
  <c r="AR20" i="14"/>
  <c r="AR21" i="14"/>
  <c r="AR22" i="14"/>
  <c r="AR23" i="14"/>
  <c r="AR24" i="14"/>
  <c r="AR25" i="14"/>
  <c r="AR26" i="14"/>
  <c r="AR27" i="14"/>
  <c r="AR28" i="14"/>
  <c r="AR29" i="14"/>
  <c r="AR30" i="14"/>
  <c r="AR31" i="14"/>
  <c r="AR32" i="14"/>
  <c r="AR33" i="14"/>
  <c r="AR34" i="14"/>
  <c r="AR35" i="14"/>
  <c r="AR36" i="14"/>
  <c r="AR37" i="14"/>
  <c r="AR38" i="14"/>
  <c r="AR39" i="14"/>
  <c r="AR40" i="14"/>
  <c r="AR41" i="14"/>
  <c r="AR42" i="14"/>
  <c r="AR43" i="14"/>
  <c r="AR44" i="14"/>
  <c r="AR45" i="14"/>
  <c r="AR46" i="14"/>
  <c r="AR47" i="14"/>
  <c r="AR48" i="14"/>
  <c r="AR49" i="14"/>
  <c r="AR50" i="14"/>
  <c r="AR51" i="14"/>
  <c r="AR52" i="14"/>
  <c r="AR53" i="14"/>
  <c r="AR54" i="14"/>
  <c r="AR55" i="14"/>
  <c r="AR56" i="14"/>
  <c r="AR57" i="14"/>
  <c r="AR58" i="14"/>
  <c r="AR59" i="14"/>
  <c r="AR60" i="14"/>
  <c r="AR61" i="14"/>
  <c r="AR62" i="14"/>
  <c r="AR63" i="14"/>
  <c r="AR64" i="14"/>
  <c r="AR65" i="14"/>
  <c r="AR66" i="14"/>
  <c r="AR67" i="14"/>
  <c r="AR68" i="14"/>
  <c r="AR69" i="14"/>
  <c r="AR70" i="14"/>
  <c r="AR71" i="14"/>
  <c r="AR72" i="14"/>
  <c r="AR73" i="14"/>
  <c r="AR74" i="14"/>
  <c r="AR75" i="14"/>
  <c r="AR76" i="14"/>
  <c r="AR77" i="14"/>
  <c r="AR78" i="14"/>
  <c r="AR79" i="14"/>
  <c r="AR80" i="14"/>
  <c r="AR81" i="14"/>
  <c r="AR82" i="14"/>
  <c r="AR83" i="14"/>
  <c r="AR84" i="14"/>
  <c r="AR85" i="14"/>
  <c r="AR86" i="14"/>
  <c r="AR87" i="14"/>
  <c r="AR88" i="14"/>
  <c r="AR89" i="14"/>
  <c r="AR90" i="14"/>
  <c r="AR91" i="14"/>
  <c r="AR92" i="14"/>
  <c r="AR93" i="14"/>
  <c r="AR94" i="14"/>
  <c r="AR95" i="14"/>
  <c r="AR96" i="14"/>
  <c r="AR97" i="14"/>
  <c r="AR98" i="14"/>
  <c r="AR99" i="14"/>
  <c r="AR100" i="14"/>
  <c r="AR101" i="14"/>
  <c r="AR102" i="14"/>
  <c r="AR103" i="14"/>
  <c r="AR104" i="14"/>
  <c r="AR105" i="14"/>
  <c r="AR106" i="14"/>
  <c r="AR107" i="14"/>
  <c r="AR108" i="14"/>
  <c r="AR109" i="14"/>
  <c r="AR110" i="14"/>
  <c r="AR111" i="14"/>
  <c r="AR112" i="14"/>
  <c r="AR113" i="14"/>
  <c r="AR114" i="14"/>
  <c r="AR115" i="14"/>
  <c r="AR116" i="14"/>
  <c r="AR117" i="14"/>
  <c r="AR118" i="14"/>
  <c r="AR119" i="14"/>
  <c r="AR120" i="14"/>
  <c r="AR121" i="14"/>
  <c r="AR122" i="14"/>
  <c r="AR123" i="14"/>
  <c r="AR124" i="14"/>
  <c r="AR125" i="14"/>
  <c r="AR126" i="14"/>
  <c r="AR127" i="14"/>
  <c r="AR128" i="14"/>
  <c r="AR129" i="14"/>
  <c r="AR130" i="14"/>
  <c r="AR131" i="14"/>
  <c r="AR132" i="14"/>
  <c r="AR133" i="14"/>
  <c r="AR134" i="14"/>
  <c r="AR135" i="14"/>
  <c r="AR136" i="14"/>
  <c r="AR137" i="14"/>
  <c r="AR138" i="14"/>
  <c r="AR139" i="14"/>
  <c r="AR140" i="14"/>
  <c r="AR141" i="14"/>
  <c r="AR142" i="14"/>
  <c r="AR143" i="14"/>
  <c r="AR144" i="14"/>
  <c r="AR145" i="14"/>
  <c r="AR146" i="14"/>
  <c r="AR147" i="14"/>
  <c r="AR148" i="14"/>
  <c r="AR149" i="14"/>
  <c r="AR150" i="14"/>
  <c r="AR151" i="14"/>
  <c r="AR152" i="14"/>
  <c r="AR153" i="14"/>
  <c r="AR154" i="14"/>
  <c r="AR155" i="14"/>
  <c r="AR156" i="14"/>
  <c r="AR157" i="14"/>
  <c r="AR158" i="14"/>
  <c r="AR159" i="14"/>
  <c r="AR160" i="14"/>
  <c r="AR161" i="14"/>
  <c r="AR162" i="14"/>
  <c r="AR163" i="14"/>
  <c r="AR164" i="14"/>
  <c r="AR165" i="14"/>
  <c r="AR166" i="14"/>
  <c r="AR167" i="14"/>
  <c r="AR168" i="14"/>
  <c r="AR169" i="14"/>
  <c r="AR170" i="14"/>
  <c r="AR171" i="14"/>
  <c r="AR172" i="14"/>
  <c r="AR173" i="14"/>
  <c r="AR174" i="14"/>
  <c r="AR175" i="14"/>
  <c r="AR176" i="14"/>
  <c r="AR177" i="14"/>
  <c r="AR178" i="14"/>
  <c r="AR179" i="14"/>
  <c r="AR180" i="14"/>
  <c r="AR181" i="14"/>
  <c r="AR182" i="14"/>
  <c r="AR183" i="14"/>
  <c r="AR184" i="14"/>
  <c r="AR185" i="14"/>
  <c r="AR186" i="14"/>
  <c r="AR187" i="14"/>
  <c r="AR188" i="14"/>
  <c r="AR189" i="14"/>
  <c r="AR190" i="14"/>
  <c r="AR191" i="14"/>
  <c r="AR192" i="14"/>
  <c r="AR193" i="14"/>
  <c r="AR194" i="14"/>
  <c r="AR195" i="14"/>
  <c r="AR196" i="14"/>
  <c r="AR197" i="14"/>
  <c r="AR198" i="14"/>
  <c r="AR199" i="14"/>
  <c r="AR200" i="14"/>
  <c r="AR201" i="14"/>
  <c r="AR202" i="14"/>
  <c r="AR203" i="14"/>
  <c r="AR204" i="14"/>
  <c r="AR205" i="14"/>
  <c r="AR206" i="14"/>
  <c r="AR207" i="14"/>
  <c r="AR208" i="14"/>
  <c r="AR209" i="14"/>
  <c r="AR210" i="14"/>
  <c r="AR211" i="14"/>
  <c r="AR212" i="14"/>
  <c r="AR213" i="14"/>
  <c r="AR214" i="14"/>
  <c r="AR215" i="14"/>
  <c r="AR216" i="14"/>
  <c r="AR217" i="14"/>
  <c r="AR218" i="14"/>
  <c r="AR219" i="14"/>
  <c r="AR220" i="14"/>
  <c r="AR221" i="14"/>
  <c r="AR222" i="14"/>
  <c r="AR223" i="14"/>
  <c r="AR224" i="14"/>
  <c r="AR225" i="14"/>
  <c r="AR226" i="14"/>
  <c r="AR227" i="14"/>
  <c r="AR228" i="14"/>
  <c r="AR229" i="14"/>
  <c r="AR230" i="14"/>
  <c r="AR231" i="14"/>
  <c r="AR232" i="14"/>
  <c r="AR233" i="14"/>
  <c r="AR234" i="14"/>
  <c r="AR235" i="14"/>
  <c r="AR236" i="14"/>
  <c r="AR237" i="14"/>
  <c r="AR238" i="14"/>
  <c r="AR239" i="14"/>
  <c r="AR240" i="14"/>
  <c r="AR241" i="14"/>
  <c r="AR242" i="14"/>
  <c r="AR243" i="14"/>
  <c r="AR244" i="14"/>
  <c r="AR245" i="14"/>
  <c r="AR246" i="14"/>
  <c r="AR247" i="14"/>
  <c r="AR248" i="14"/>
  <c r="AR249" i="14"/>
  <c r="AR250" i="14"/>
  <c r="AR251" i="14"/>
  <c r="AR252" i="14"/>
  <c r="AR253" i="14"/>
  <c r="AR254" i="14"/>
  <c r="AR255" i="14"/>
  <c r="AR256" i="14"/>
  <c r="AR257" i="14"/>
  <c r="AR258" i="14"/>
  <c r="AR259" i="14"/>
  <c r="AR260" i="14"/>
  <c r="AR261" i="14"/>
  <c r="AR262" i="14"/>
  <c r="AR263" i="14"/>
  <c r="AR264" i="14"/>
  <c r="AR265" i="14"/>
  <c r="AR266" i="14"/>
  <c r="AR267" i="14"/>
  <c r="AR268" i="14"/>
  <c r="AR269" i="14"/>
  <c r="AR270" i="14"/>
  <c r="AR271" i="14"/>
  <c r="AR272" i="14"/>
  <c r="AR273" i="14"/>
  <c r="AR274" i="14"/>
  <c r="AR275" i="14"/>
  <c r="AR276" i="14"/>
  <c r="AR277" i="14"/>
  <c r="AR278" i="14"/>
  <c r="AR279" i="14"/>
  <c r="AR280" i="14"/>
  <c r="AR281" i="14"/>
  <c r="AR282" i="14"/>
  <c r="AR283" i="14"/>
  <c r="AR284" i="14"/>
  <c r="AR285" i="14"/>
  <c r="AR286" i="14"/>
  <c r="AR287" i="14"/>
  <c r="AR288" i="14"/>
  <c r="AR289" i="14"/>
  <c r="AR290" i="14"/>
  <c r="AR291" i="14"/>
  <c r="AR292" i="14"/>
  <c r="AR293" i="14"/>
  <c r="AR294" i="14"/>
  <c r="AR295" i="14"/>
  <c r="AR296" i="14"/>
  <c r="AR297" i="14"/>
  <c r="AR298" i="14"/>
  <c r="AR299" i="14"/>
  <c r="AR300" i="14"/>
  <c r="AR301" i="14"/>
  <c r="AR302" i="14"/>
  <c r="AR303" i="14"/>
  <c r="AR304" i="14"/>
  <c r="AR305" i="14"/>
  <c r="AR306" i="14"/>
  <c r="AR307" i="14"/>
  <c r="AR308" i="14"/>
  <c r="AR309" i="14"/>
  <c r="AR310" i="14"/>
  <c r="AR311" i="14"/>
  <c r="AR312" i="14"/>
  <c r="AR313" i="14"/>
  <c r="AR314" i="14"/>
  <c r="AR315" i="14"/>
  <c r="AR316" i="14"/>
  <c r="AR317" i="14"/>
  <c r="AR318" i="14"/>
  <c r="AR319" i="14"/>
  <c r="AR320" i="14"/>
  <c r="AR321" i="14"/>
  <c r="AR322" i="14"/>
  <c r="AR323" i="14"/>
  <c r="AR324" i="14"/>
  <c r="AR325" i="14"/>
  <c r="AR326" i="14"/>
  <c r="AR327" i="14"/>
  <c r="AR328" i="14"/>
  <c r="AR329" i="14"/>
  <c r="AR330" i="14"/>
  <c r="AR331" i="14"/>
  <c r="AR332" i="14"/>
  <c r="AR333" i="14"/>
  <c r="AR334" i="14"/>
  <c r="AR335" i="14"/>
  <c r="AR336" i="14"/>
  <c r="AR337" i="14"/>
  <c r="AR338" i="14"/>
  <c r="AR339" i="14"/>
  <c r="AR340" i="14"/>
  <c r="AR341" i="14"/>
  <c r="AR342" i="14"/>
  <c r="AR343" i="14"/>
  <c r="AR344" i="14"/>
  <c r="AR345" i="14"/>
  <c r="AR346" i="14"/>
  <c r="AR347" i="14"/>
  <c r="AR348" i="14"/>
  <c r="AR349" i="14"/>
  <c r="AR350" i="14"/>
  <c r="AR351" i="14"/>
  <c r="AR352" i="14"/>
  <c r="AR353" i="14"/>
  <c r="AR354" i="14"/>
  <c r="AR355" i="14"/>
  <c r="AR356" i="14"/>
  <c r="AR357" i="14"/>
  <c r="AR358" i="14"/>
  <c r="AR359" i="14"/>
  <c r="AR360" i="14"/>
  <c r="AR361" i="14"/>
  <c r="AR362" i="14"/>
  <c r="AR363" i="14"/>
  <c r="AR364" i="14"/>
  <c r="AR365" i="14"/>
  <c r="AR366" i="14"/>
  <c r="AR2" i="14"/>
  <c r="AP3" i="14"/>
  <c r="AP4" i="14"/>
  <c r="AP5" i="14"/>
  <c r="AP6" i="14"/>
  <c r="AP7" i="14"/>
  <c r="AP8" i="14"/>
  <c r="AP9" i="14"/>
  <c r="AP10" i="14"/>
  <c r="AP11" i="14"/>
  <c r="AP12" i="14"/>
  <c r="AP13" i="14"/>
  <c r="AP14" i="14"/>
  <c r="AP15" i="14"/>
  <c r="AP16" i="14"/>
  <c r="AP17" i="14"/>
  <c r="AP18" i="14"/>
  <c r="AP19" i="14"/>
  <c r="AP20" i="14"/>
  <c r="AP21" i="14"/>
  <c r="AP22" i="14"/>
  <c r="AP23" i="14"/>
  <c r="AP24" i="14"/>
  <c r="AP25" i="14"/>
  <c r="AP26" i="14"/>
  <c r="AP27" i="14"/>
  <c r="AP28" i="14"/>
  <c r="AP29" i="14"/>
  <c r="AP30" i="14"/>
  <c r="AP31" i="14"/>
  <c r="AP32" i="14"/>
  <c r="AP33" i="14"/>
  <c r="AP34" i="14"/>
  <c r="AP35" i="14"/>
  <c r="AP36" i="14"/>
  <c r="AP37" i="14"/>
  <c r="AP38" i="14"/>
  <c r="AP39" i="14"/>
  <c r="AP40" i="14"/>
  <c r="AP41" i="14"/>
  <c r="AP42" i="14"/>
  <c r="AP43" i="14"/>
  <c r="AP44" i="14"/>
  <c r="AP45" i="14"/>
  <c r="AP46" i="14"/>
  <c r="AP47" i="14"/>
  <c r="AP48" i="14"/>
  <c r="AP49" i="14"/>
  <c r="AP50" i="14"/>
  <c r="AP51" i="14"/>
  <c r="AP52" i="14"/>
  <c r="AP53" i="14"/>
  <c r="AP54" i="14"/>
  <c r="AP55" i="14"/>
  <c r="AP56" i="14"/>
  <c r="AP57" i="14"/>
  <c r="AP58" i="14"/>
  <c r="AP59" i="14"/>
  <c r="AP60" i="14"/>
  <c r="AP61" i="14"/>
  <c r="AP62" i="14"/>
  <c r="AP63" i="14"/>
  <c r="AP64" i="14"/>
  <c r="AP65" i="14"/>
  <c r="AP66" i="14"/>
  <c r="AP67" i="14"/>
  <c r="AP68" i="14"/>
  <c r="AP69" i="14"/>
  <c r="AP70" i="14"/>
  <c r="AP71" i="14"/>
  <c r="AP72" i="14"/>
  <c r="AP73" i="14"/>
  <c r="AP74" i="14"/>
  <c r="AP75" i="14"/>
  <c r="AP76" i="14"/>
  <c r="AP77" i="14"/>
  <c r="AP78" i="14"/>
  <c r="AP79" i="14"/>
  <c r="AP80" i="14"/>
  <c r="AP81" i="14"/>
  <c r="AP82" i="14"/>
  <c r="AP83" i="14"/>
  <c r="AP84" i="14"/>
  <c r="AP85" i="14"/>
  <c r="AP86" i="14"/>
  <c r="AP87" i="14"/>
  <c r="AP88" i="14"/>
  <c r="AP89" i="14"/>
  <c r="AP90" i="14"/>
  <c r="AP91" i="14"/>
  <c r="AP92" i="14"/>
  <c r="AP93" i="14"/>
  <c r="AP94" i="14"/>
  <c r="AP95" i="14"/>
  <c r="AP96" i="14"/>
  <c r="AP97" i="14"/>
  <c r="AP98" i="14"/>
  <c r="AP99" i="14"/>
  <c r="AP100" i="14"/>
  <c r="AP101" i="14"/>
  <c r="AP102" i="14"/>
  <c r="AP103" i="14"/>
  <c r="AP104" i="14"/>
  <c r="AP105" i="14"/>
  <c r="AP106" i="14"/>
  <c r="AP107" i="14"/>
  <c r="AP108" i="14"/>
  <c r="AP109" i="14"/>
  <c r="AP110" i="14"/>
  <c r="AP111" i="14"/>
  <c r="AP112" i="14"/>
  <c r="AP113" i="14"/>
  <c r="AP114" i="14"/>
  <c r="AP115" i="14"/>
  <c r="AP116" i="14"/>
  <c r="AP117" i="14"/>
  <c r="AP118" i="14"/>
  <c r="AP119" i="14"/>
  <c r="AP120" i="14"/>
  <c r="AP121" i="14"/>
  <c r="AP122" i="14"/>
  <c r="AP123" i="14"/>
  <c r="AP124" i="14"/>
  <c r="AP125" i="14"/>
  <c r="AP126" i="14"/>
  <c r="AP127" i="14"/>
  <c r="AP128" i="14"/>
  <c r="AP129" i="14"/>
  <c r="AP130" i="14"/>
  <c r="AP131" i="14"/>
  <c r="AP132" i="14"/>
  <c r="AP133" i="14"/>
  <c r="AP134" i="14"/>
  <c r="AP135" i="14"/>
  <c r="AP136" i="14"/>
  <c r="AP137" i="14"/>
  <c r="AP138" i="14"/>
  <c r="AP139" i="14"/>
  <c r="AP140" i="14"/>
  <c r="AP141" i="14"/>
  <c r="AP142" i="14"/>
  <c r="AP143" i="14"/>
  <c r="AP144" i="14"/>
  <c r="AP145" i="14"/>
  <c r="AP146" i="14"/>
  <c r="AP147" i="14"/>
  <c r="AP148" i="14"/>
  <c r="AP149" i="14"/>
  <c r="AP150" i="14"/>
  <c r="AP151" i="14"/>
  <c r="AP152" i="14"/>
  <c r="AP153" i="14"/>
  <c r="AP154" i="14"/>
  <c r="AP155" i="14"/>
  <c r="AP156" i="14"/>
  <c r="AP157" i="14"/>
  <c r="AP158" i="14"/>
  <c r="AP159" i="14"/>
  <c r="AP160" i="14"/>
  <c r="AP161" i="14"/>
  <c r="AP162" i="14"/>
  <c r="AP163" i="14"/>
  <c r="AP164" i="14"/>
  <c r="AP165" i="14"/>
  <c r="AP166" i="14"/>
  <c r="AP167" i="14"/>
  <c r="AP168" i="14"/>
  <c r="AP169" i="14"/>
  <c r="AP170" i="14"/>
  <c r="AP171" i="14"/>
  <c r="AP172" i="14"/>
  <c r="AP173" i="14"/>
  <c r="AP174" i="14"/>
  <c r="AP175" i="14"/>
  <c r="AP176" i="14"/>
  <c r="AP177" i="14"/>
  <c r="AP178" i="14"/>
  <c r="AP179" i="14"/>
  <c r="AP180" i="14"/>
  <c r="AP181" i="14"/>
  <c r="AP182" i="14"/>
  <c r="AP183" i="14"/>
  <c r="AP184" i="14"/>
  <c r="AP185" i="14"/>
  <c r="AP186" i="14"/>
  <c r="AP187" i="14"/>
  <c r="AP188" i="14"/>
  <c r="AP189" i="14"/>
  <c r="AP190" i="14"/>
  <c r="AP191" i="14"/>
  <c r="AP192" i="14"/>
  <c r="AP193" i="14"/>
  <c r="AP194" i="14"/>
  <c r="AP195" i="14"/>
  <c r="AP196" i="14"/>
  <c r="AP197" i="14"/>
  <c r="AP198" i="14"/>
  <c r="AP199" i="14"/>
  <c r="AP200" i="14"/>
  <c r="AP201" i="14"/>
  <c r="AP202" i="14"/>
  <c r="AP203" i="14"/>
  <c r="AP204" i="14"/>
  <c r="AP205" i="14"/>
  <c r="AP206" i="14"/>
  <c r="AP207" i="14"/>
  <c r="AP208" i="14"/>
  <c r="AP209" i="14"/>
  <c r="AP210" i="14"/>
  <c r="AP211" i="14"/>
  <c r="AP212" i="14"/>
  <c r="AP213" i="14"/>
  <c r="AP214" i="14"/>
  <c r="AP215" i="14"/>
  <c r="AP216" i="14"/>
  <c r="AP217" i="14"/>
  <c r="AP218" i="14"/>
  <c r="AP219" i="14"/>
  <c r="AP220" i="14"/>
  <c r="AP221" i="14"/>
  <c r="AP222" i="14"/>
  <c r="AP223" i="14"/>
  <c r="AP224" i="14"/>
  <c r="AP225" i="14"/>
  <c r="AP226" i="14"/>
  <c r="AP227" i="14"/>
  <c r="AP228" i="14"/>
  <c r="AP229" i="14"/>
  <c r="AP230" i="14"/>
  <c r="AP231" i="14"/>
  <c r="AP232" i="14"/>
  <c r="AP233" i="14"/>
  <c r="AP234" i="14"/>
  <c r="AP235" i="14"/>
  <c r="AP236" i="14"/>
  <c r="AP237" i="14"/>
  <c r="AP238" i="14"/>
  <c r="AP239" i="14"/>
  <c r="AP240" i="14"/>
  <c r="AP241" i="14"/>
  <c r="AP242" i="14"/>
  <c r="AP243" i="14"/>
  <c r="AP244" i="14"/>
  <c r="AP245" i="14"/>
  <c r="AP246" i="14"/>
  <c r="AP247" i="14"/>
  <c r="AP248" i="14"/>
  <c r="AP249" i="14"/>
  <c r="AP250" i="14"/>
  <c r="AP251" i="14"/>
  <c r="AP252" i="14"/>
  <c r="AP253" i="14"/>
  <c r="AP254" i="14"/>
  <c r="AP255" i="14"/>
  <c r="AP256" i="14"/>
  <c r="AP257" i="14"/>
  <c r="AP258" i="14"/>
  <c r="AP259" i="14"/>
  <c r="AP260" i="14"/>
  <c r="AP261" i="14"/>
  <c r="AP262" i="14"/>
  <c r="AP263" i="14"/>
  <c r="AP264" i="14"/>
  <c r="AP265" i="14"/>
  <c r="AP266" i="14"/>
  <c r="AP267" i="14"/>
  <c r="AP268" i="14"/>
  <c r="AP269" i="14"/>
  <c r="AP270" i="14"/>
  <c r="AP271" i="14"/>
  <c r="AP272" i="14"/>
  <c r="AP273" i="14"/>
  <c r="AP274" i="14"/>
  <c r="AP275" i="14"/>
  <c r="AP276" i="14"/>
  <c r="AP277" i="14"/>
  <c r="AP278" i="14"/>
  <c r="AP279" i="14"/>
  <c r="AP280" i="14"/>
  <c r="AP281" i="14"/>
  <c r="AP282" i="14"/>
  <c r="AP283" i="14"/>
  <c r="AP284" i="14"/>
  <c r="AP285" i="14"/>
  <c r="AP286" i="14"/>
  <c r="AP287" i="14"/>
  <c r="AP288" i="14"/>
  <c r="AP289" i="14"/>
  <c r="AP290" i="14"/>
  <c r="AP291" i="14"/>
  <c r="AP292" i="14"/>
  <c r="AP293" i="14"/>
  <c r="AP294" i="14"/>
  <c r="AP295" i="14"/>
  <c r="AP296" i="14"/>
  <c r="AP297" i="14"/>
  <c r="AP298" i="14"/>
  <c r="AP299" i="14"/>
  <c r="AP300" i="14"/>
  <c r="AP301" i="14"/>
  <c r="AP302" i="14"/>
  <c r="AP303" i="14"/>
  <c r="AP304" i="14"/>
  <c r="AP305" i="14"/>
  <c r="AP306" i="14"/>
  <c r="AP307" i="14"/>
  <c r="AP308" i="14"/>
  <c r="AP309" i="14"/>
  <c r="AP310" i="14"/>
  <c r="AP311" i="14"/>
  <c r="AP312" i="14"/>
  <c r="AP313" i="14"/>
  <c r="AP314" i="14"/>
  <c r="AP315" i="14"/>
  <c r="AP316" i="14"/>
  <c r="AP317" i="14"/>
  <c r="AP318" i="14"/>
  <c r="AP319" i="14"/>
  <c r="AP320" i="14"/>
  <c r="AP321" i="14"/>
  <c r="AP322" i="14"/>
  <c r="AP323" i="14"/>
  <c r="AP324" i="14"/>
  <c r="AP325" i="14"/>
  <c r="AP326" i="14"/>
  <c r="AP327" i="14"/>
  <c r="AP328" i="14"/>
  <c r="AP329" i="14"/>
  <c r="AP330" i="14"/>
  <c r="AP331" i="14"/>
  <c r="AP332" i="14"/>
  <c r="AP333" i="14"/>
  <c r="AP334" i="14"/>
  <c r="AP335" i="14"/>
  <c r="AP336" i="14"/>
  <c r="AP337" i="14"/>
  <c r="AP338" i="14"/>
  <c r="AP339" i="14"/>
  <c r="AP340" i="14"/>
  <c r="AP341" i="14"/>
  <c r="AP342" i="14"/>
  <c r="AP343" i="14"/>
  <c r="AP344" i="14"/>
  <c r="AP345" i="14"/>
  <c r="AP346" i="14"/>
  <c r="AP347" i="14"/>
  <c r="AP348" i="14"/>
  <c r="AP349" i="14"/>
  <c r="AP350" i="14"/>
  <c r="AP351" i="14"/>
  <c r="AP352" i="14"/>
  <c r="AP353" i="14"/>
  <c r="AP354" i="14"/>
  <c r="AP355" i="14"/>
  <c r="AP356" i="14"/>
  <c r="AP357" i="14"/>
  <c r="AP358" i="14"/>
  <c r="AP359" i="14"/>
  <c r="AP360" i="14"/>
  <c r="AP361" i="14"/>
  <c r="AP362" i="14"/>
  <c r="AP363" i="14"/>
  <c r="AP364" i="14"/>
  <c r="AP365" i="14"/>
  <c r="AP366" i="14"/>
  <c r="AP2" i="14"/>
  <c r="AN3" i="14"/>
  <c r="AN4" i="14"/>
  <c r="AN5" i="14"/>
  <c r="AN6" i="14"/>
  <c r="AN7" i="14"/>
  <c r="AN8" i="14"/>
  <c r="AN9" i="14"/>
  <c r="AN10" i="14"/>
  <c r="AN11" i="14"/>
  <c r="AN12" i="14"/>
  <c r="AN13" i="14"/>
  <c r="AN14" i="14"/>
  <c r="AN15" i="14"/>
  <c r="AN16" i="14"/>
  <c r="AN17" i="14"/>
  <c r="AN18" i="14"/>
  <c r="AN19" i="14"/>
  <c r="AN20" i="14"/>
  <c r="AN21" i="14"/>
  <c r="AN22" i="14"/>
  <c r="AN23" i="14"/>
  <c r="AN24" i="14"/>
  <c r="AN25" i="14"/>
  <c r="AN26" i="14"/>
  <c r="AN27" i="14"/>
  <c r="AN28" i="14"/>
  <c r="AN29" i="14"/>
  <c r="AN30" i="14"/>
  <c r="AN31" i="14"/>
  <c r="AN32" i="14"/>
  <c r="AN33" i="14"/>
  <c r="AN34" i="14"/>
  <c r="AN35" i="14"/>
  <c r="AN36" i="14"/>
  <c r="AN37" i="14"/>
  <c r="AN38" i="14"/>
  <c r="AN39" i="14"/>
  <c r="AN40" i="14"/>
  <c r="AN41" i="14"/>
  <c r="AN42" i="14"/>
  <c r="AN43" i="14"/>
  <c r="AN44" i="14"/>
  <c r="AN45" i="14"/>
  <c r="AN46" i="14"/>
  <c r="AN47" i="14"/>
  <c r="AN48" i="14"/>
  <c r="AN49" i="14"/>
  <c r="AN50" i="14"/>
  <c r="AN51" i="14"/>
  <c r="AN52" i="14"/>
  <c r="AN53" i="14"/>
  <c r="AN54" i="14"/>
  <c r="AN55" i="14"/>
  <c r="AN56" i="14"/>
  <c r="AN57" i="14"/>
  <c r="AN58" i="14"/>
  <c r="AN59" i="14"/>
  <c r="AN60" i="14"/>
  <c r="AN61" i="14"/>
  <c r="AN62" i="14"/>
  <c r="AN63" i="14"/>
  <c r="AN64" i="14"/>
  <c r="AN65" i="14"/>
  <c r="AN66" i="14"/>
  <c r="AN67" i="14"/>
  <c r="AN68" i="14"/>
  <c r="AN69" i="14"/>
  <c r="AN70" i="14"/>
  <c r="AN71" i="14"/>
  <c r="AN72" i="14"/>
  <c r="AN73" i="14"/>
  <c r="AN74" i="14"/>
  <c r="AN75" i="14"/>
  <c r="AN76" i="14"/>
  <c r="AN77" i="14"/>
  <c r="AN78" i="14"/>
  <c r="AN79" i="14"/>
  <c r="AN80" i="14"/>
  <c r="AN81" i="14"/>
  <c r="AN82" i="14"/>
  <c r="AN83" i="14"/>
  <c r="AN84" i="14"/>
  <c r="AN85" i="14"/>
  <c r="AN86" i="14"/>
  <c r="AN87" i="14"/>
  <c r="AN88" i="14"/>
  <c r="AN89" i="14"/>
  <c r="AN90" i="14"/>
  <c r="AN91" i="14"/>
  <c r="AN92" i="14"/>
  <c r="AN93" i="14"/>
  <c r="AN94" i="14"/>
  <c r="AN95" i="14"/>
  <c r="AN96" i="14"/>
  <c r="AN97" i="14"/>
  <c r="AN98" i="14"/>
  <c r="AN99" i="14"/>
  <c r="AN100" i="14"/>
  <c r="AN101" i="14"/>
  <c r="AN102" i="14"/>
  <c r="AN103" i="14"/>
  <c r="AN104" i="14"/>
  <c r="AN105" i="14"/>
  <c r="AN106" i="14"/>
  <c r="AN107" i="14"/>
  <c r="AN108" i="14"/>
  <c r="AN109" i="14"/>
  <c r="AN110" i="14"/>
  <c r="AN111" i="14"/>
  <c r="AN112" i="14"/>
  <c r="AN113" i="14"/>
  <c r="AN114" i="14"/>
  <c r="AN115" i="14"/>
  <c r="AN116" i="14"/>
  <c r="AN117" i="14"/>
  <c r="AN118" i="14"/>
  <c r="AN119" i="14"/>
  <c r="AN120" i="14"/>
  <c r="AN121" i="14"/>
  <c r="AN122" i="14"/>
  <c r="AN123" i="14"/>
  <c r="AN124" i="14"/>
  <c r="AN125" i="14"/>
  <c r="AN126" i="14"/>
  <c r="AN127" i="14"/>
  <c r="AN128" i="14"/>
  <c r="AN129" i="14"/>
  <c r="AN130" i="14"/>
  <c r="AN131" i="14"/>
  <c r="AN132" i="14"/>
  <c r="AN133" i="14"/>
  <c r="AN134" i="14"/>
  <c r="AN135" i="14"/>
  <c r="AN136" i="14"/>
  <c r="AN137" i="14"/>
  <c r="AN138" i="14"/>
  <c r="AN139" i="14"/>
  <c r="AN140" i="14"/>
  <c r="AN141" i="14"/>
  <c r="AN142" i="14"/>
  <c r="AN143" i="14"/>
  <c r="AN144" i="14"/>
  <c r="AN145" i="14"/>
  <c r="AN146" i="14"/>
  <c r="AN147" i="14"/>
  <c r="AN148" i="14"/>
  <c r="AN149" i="14"/>
  <c r="AN150" i="14"/>
  <c r="AN151" i="14"/>
  <c r="AN152" i="14"/>
  <c r="AN153" i="14"/>
  <c r="AN154" i="14"/>
  <c r="AN155" i="14"/>
  <c r="AN156" i="14"/>
  <c r="AN157" i="14"/>
  <c r="AN158" i="14"/>
  <c r="AN159" i="14"/>
  <c r="AN160" i="14"/>
  <c r="AN161" i="14"/>
  <c r="AN162" i="14"/>
  <c r="AN163" i="14"/>
  <c r="AN164" i="14"/>
  <c r="AN165" i="14"/>
  <c r="AN166" i="14"/>
  <c r="AN167" i="14"/>
  <c r="AN168" i="14"/>
  <c r="AN169" i="14"/>
  <c r="AN170" i="14"/>
  <c r="AN171" i="14"/>
  <c r="AN172" i="14"/>
  <c r="AN173" i="14"/>
  <c r="AN174" i="14"/>
  <c r="AN175" i="14"/>
  <c r="AN176" i="14"/>
  <c r="AN177" i="14"/>
  <c r="AN178" i="14"/>
  <c r="AN179" i="14"/>
  <c r="AN180" i="14"/>
  <c r="AN181" i="14"/>
  <c r="AN182" i="14"/>
  <c r="AN183" i="14"/>
  <c r="AN184" i="14"/>
  <c r="AN185" i="14"/>
  <c r="AN186" i="14"/>
  <c r="AN187" i="14"/>
  <c r="AN188" i="14"/>
  <c r="AN189" i="14"/>
  <c r="AN190" i="14"/>
  <c r="AN191" i="14"/>
  <c r="AN192" i="14"/>
  <c r="AN193" i="14"/>
  <c r="AN194" i="14"/>
  <c r="AN195" i="14"/>
  <c r="AN196" i="14"/>
  <c r="AN197" i="14"/>
  <c r="AN198" i="14"/>
  <c r="AN199" i="14"/>
  <c r="AN200" i="14"/>
  <c r="AN201" i="14"/>
  <c r="AN202" i="14"/>
  <c r="AN203" i="14"/>
  <c r="AN204" i="14"/>
  <c r="AN205" i="14"/>
  <c r="AN206" i="14"/>
  <c r="AN207" i="14"/>
  <c r="AN208" i="14"/>
  <c r="AN209" i="14"/>
  <c r="AN210" i="14"/>
  <c r="AN211" i="14"/>
  <c r="AN212" i="14"/>
  <c r="AN213" i="14"/>
  <c r="AN214" i="14"/>
  <c r="AN215" i="14"/>
  <c r="AN216" i="14"/>
  <c r="AN217" i="14"/>
  <c r="AN218" i="14"/>
  <c r="AN219" i="14"/>
  <c r="AN220" i="14"/>
  <c r="AN221" i="14"/>
  <c r="AN222" i="14"/>
  <c r="AN223" i="14"/>
  <c r="AN224" i="14"/>
  <c r="AN225" i="14"/>
  <c r="AN226" i="14"/>
  <c r="AN227" i="14"/>
  <c r="AN228" i="14"/>
  <c r="AN229" i="14"/>
  <c r="AN230" i="14"/>
  <c r="AN231" i="14"/>
  <c r="AN232" i="14"/>
  <c r="AN233" i="14"/>
  <c r="AN234" i="14"/>
  <c r="AN235" i="14"/>
  <c r="AN236" i="14"/>
  <c r="AN237" i="14"/>
  <c r="AN238" i="14"/>
  <c r="AN239" i="14"/>
  <c r="AN240" i="14"/>
  <c r="AN241" i="14"/>
  <c r="AN242" i="14"/>
  <c r="AN243" i="14"/>
  <c r="AN244" i="14"/>
  <c r="AN245" i="14"/>
  <c r="AN246" i="14"/>
  <c r="AN247" i="14"/>
  <c r="AN248" i="14"/>
  <c r="AN249" i="14"/>
  <c r="AN250" i="14"/>
  <c r="AN251" i="14"/>
  <c r="AN252" i="14"/>
  <c r="AN253" i="14"/>
  <c r="AN254" i="14"/>
  <c r="AN255" i="14"/>
  <c r="AN256" i="14"/>
  <c r="AN257" i="14"/>
  <c r="AN258" i="14"/>
  <c r="AN259" i="14"/>
  <c r="AN260" i="14"/>
  <c r="AN261" i="14"/>
  <c r="AN262" i="14"/>
  <c r="AN263" i="14"/>
  <c r="AN264" i="14"/>
  <c r="AN265" i="14"/>
  <c r="AN266" i="14"/>
  <c r="AN267" i="14"/>
  <c r="AN268" i="14"/>
  <c r="AN269" i="14"/>
  <c r="AN270" i="14"/>
  <c r="AN271" i="14"/>
  <c r="AN272" i="14"/>
  <c r="AN273" i="14"/>
  <c r="AN274" i="14"/>
  <c r="AN275" i="14"/>
  <c r="AN276" i="14"/>
  <c r="AN277" i="14"/>
  <c r="AN278" i="14"/>
  <c r="AN279" i="14"/>
  <c r="AN280" i="14"/>
  <c r="AN281" i="14"/>
  <c r="AN282" i="14"/>
  <c r="AN283" i="14"/>
  <c r="AN284" i="14"/>
  <c r="AN285" i="14"/>
  <c r="AN286" i="14"/>
  <c r="AN287" i="14"/>
  <c r="AN288" i="14"/>
  <c r="AN289" i="14"/>
  <c r="AN290" i="14"/>
  <c r="AN291" i="14"/>
  <c r="AN292" i="14"/>
  <c r="AN293" i="14"/>
  <c r="AN294" i="14"/>
  <c r="AN295" i="14"/>
  <c r="AN296" i="14"/>
  <c r="AN297" i="14"/>
  <c r="AN298" i="14"/>
  <c r="AN299" i="14"/>
  <c r="AN300" i="14"/>
  <c r="AN301" i="14"/>
  <c r="AN302" i="14"/>
  <c r="AN303" i="14"/>
  <c r="AN304" i="14"/>
  <c r="AN305" i="14"/>
  <c r="AN306" i="14"/>
  <c r="AN307" i="14"/>
  <c r="AN308" i="14"/>
  <c r="AN309" i="14"/>
  <c r="AN310" i="14"/>
  <c r="AN311" i="14"/>
  <c r="AN312" i="14"/>
  <c r="AN313" i="14"/>
  <c r="AN314" i="14"/>
  <c r="AN315" i="14"/>
  <c r="AN316" i="14"/>
  <c r="AN317" i="14"/>
  <c r="AN318" i="14"/>
  <c r="AN319" i="14"/>
  <c r="AN320" i="14"/>
  <c r="AN321" i="14"/>
  <c r="AN322" i="14"/>
  <c r="AN323" i="14"/>
  <c r="AN324" i="14"/>
  <c r="AN325" i="14"/>
  <c r="AN326" i="14"/>
  <c r="AN327" i="14"/>
  <c r="AN328" i="14"/>
  <c r="AN329" i="14"/>
  <c r="AN330" i="14"/>
  <c r="AN331" i="14"/>
  <c r="AN332" i="14"/>
  <c r="AN333" i="14"/>
  <c r="AN334" i="14"/>
  <c r="AN335" i="14"/>
  <c r="AN336" i="14"/>
  <c r="AN337" i="14"/>
  <c r="AN338" i="14"/>
  <c r="AN339" i="14"/>
  <c r="AN340" i="14"/>
  <c r="AN341" i="14"/>
  <c r="AN342" i="14"/>
  <c r="AN343" i="14"/>
  <c r="AN344" i="14"/>
  <c r="AN345" i="14"/>
  <c r="AN346" i="14"/>
  <c r="AN347" i="14"/>
  <c r="AN348" i="14"/>
  <c r="AN349" i="14"/>
  <c r="AN350" i="14"/>
  <c r="AN351" i="14"/>
  <c r="AN352" i="14"/>
  <c r="AN353" i="14"/>
  <c r="AN354" i="14"/>
  <c r="AN355" i="14"/>
  <c r="AN356" i="14"/>
  <c r="AN357" i="14"/>
  <c r="AN358" i="14"/>
  <c r="AN359" i="14"/>
  <c r="AN360" i="14"/>
  <c r="AN361" i="14"/>
  <c r="AN362" i="14"/>
  <c r="AN363" i="14"/>
  <c r="AN364" i="14"/>
  <c r="AN365" i="14"/>
  <c r="AN366" i="14"/>
  <c r="AM3" i="14"/>
  <c r="AM4" i="14"/>
  <c r="AM5" i="14"/>
  <c r="AM6" i="14"/>
  <c r="AM7" i="14"/>
  <c r="AM8" i="14"/>
  <c r="AM9" i="14"/>
  <c r="AM10" i="14"/>
  <c r="AM11" i="14"/>
  <c r="AM12" i="14"/>
  <c r="AM13" i="14"/>
  <c r="AM14" i="14"/>
  <c r="AM15" i="14"/>
  <c r="AM16" i="14"/>
  <c r="AM17" i="14"/>
  <c r="AM18" i="14"/>
  <c r="AM19" i="14"/>
  <c r="AM20" i="14"/>
  <c r="AM21" i="14"/>
  <c r="AM22" i="14"/>
  <c r="AM23" i="14"/>
  <c r="AM24" i="14"/>
  <c r="AM25" i="14"/>
  <c r="AM26" i="14"/>
  <c r="AM27" i="14"/>
  <c r="AM28" i="14"/>
  <c r="AM29" i="14"/>
  <c r="AM30" i="14"/>
  <c r="AM31" i="14"/>
  <c r="AM32" i="14"/>
  <c r="AM33" i="14"/>
  <c r="AM34" i="14"/>
  <c r="AM35" i="14"/>
  <c r="AM36" i="14"/>
  <c r="AM37" i="14"/>
  <c r="AM38" i="14"/>
  <c r="AM39" i="14"/>
  <c r="AM40" i="14"/>
  <c r="AM41" i="14"/>
  <c r="AM42" i="14"/>
  <c r="AM43" i="14"/>
  <c r="AM44" i="14"/>
  <c r="AM45" i="14"/>
  <c r="AM46" i="14"/>
  <c r="AM47" i="14"/>
  <c r="AM48" i="14"/>
  <c r="AM49" i="14"/>
  <c r="AM50" i="14"/>
  <c r="AM51" i="14"/>
  <c r="AM52" i="14"/>
  <c r="AM53" i="14"/>
  <c r="AM54" i="14"/>
  <c r="AM55" i="14"/>
  <c r="AM56" i="14"/>
  <c r="AM57" i="14"/>
  <c r="AM58" i="14"/>
  <c r="AM59" i="14"/>
  <c r="AM60" i="14"/>
  <c r="AM61" i="14"/>
  <c r="AM62" i="14"/>
  <c r="AM63" i="14"/>
  <c r="AM64" i="14"/>
  <c r="AM65" i="14"/>
  <c r="AM66" i="14"/>
  <c r="AM67" i="14"/>
  <c r="AM68" i="14"/>
  <c r="AM69" i="14"/>
  <c r="AM70" i="14"/>
  <c r="AM71" i="14"/>
  <c r="AM72" i="14"/>
  <c r="AM73" i="14"/>
  <c r="AM74" i="14"/>
  <c r="AM75" i="14"/>
  <c r="AM76" i="14"/>
  <c r="AM77" i="14"/>
  <c r="AM78" i="14"/>
  <c r="AM79" i="14"/>
  <c r="AM80" i="14"/>
  <c r="AM81" i="14"/>
  <c r="AM82" i="14"/>
  <c r="AM83" i="14"/>
  <c r="AM84" i="14"/>
  <c r="AM85" i="14"/>
  <c r="AM86" i="14"/>
  <c r="AM87" i="14"/>
  <c r="AM88" i="14"/>
  <c r="AM89" i="14"/>
  <c r="AM90" i="14"/>
  <c r="AM91" i="14"/>
  <c r="AM92" i="14"/>
  <c r="AM93" i="14"/>
  <c r="AM94" i="14"/>
  <c r="AM95" i="14"/>
  <c r="AM96" i="14"/>
  <c r="AM97" i="14"/>
  <c r="AM98" i="14"/>
  <c r="AM99" i="14"/>
  <c r="AM100" i="14"/>
  <c r="AM101" i="14"/>
  <c r="AM102" i="14"/>
  <c r="AM103" i="14"/>
  <c r="AM104" i="14"/>
  <c r="AM105" i="14"/>
  <c r="AM106" i="14"/>
  <c r="AM107" i="14"/>
  <c r="AM108" i="14"/>
  <c r="AM109" i="14"/>
  <c r="AM110" i="14"/>
  <c r="AM111" i="14"/>
  <c r="AM112" i="14"/>
  <c r="AM113" i="14"/>
  <c r="AM114" i="14"/>
  <c r="AM115" i="14"/>
  <c r="AM116" i="14"/>
  <c r="AM117" i="14"/>
  <c r="AM118" i="14"/>
  <c r="AM119" i="14"/>
  <c r="AM120" i="14"/>
  <c r="AM121" i="14"/>
  <c r="AM122" i="14"/>
  <c r="AM123" i="14"/>
  <c r="AM124" i="14"/>
  <c r="AM125" i="14"/>
  <c r="AM126" i="14"/>
  <c r="AM127" i="14"/>
  <c r="AM128" i="14"/>
  <c r="AM129" i="14"/>
  <c r="AM130" i="14"/>
  <c r="AM131" i="14"/>
  <c r="AM132" i="14"/>
  <c r="AM133" i="14"/>
  <c r="AM134" i="14"/>
  <c r="AM135" i="14"/>
  <c r="AM136" i="14"/>
  <c r="AM137" i="14"/>
  <c r="AM138" i="14"/>
  <c r="AM139" i="14"/>
  <c r="AM140" i="14"/>
  <c r="AM141" i="14"/>
  <c r="AM142" i="14"/>
  <c r="AM143" i="14"/>
  <c r="AM144" i="14"/>
  <c r="AM145" i="14"/>
  <c r="AM146" i="14"/>
  <c r="AM147" i="14"/>
  <c r="AM148" i="14"/>
  <c r="AM149" i="14"/>
  <c r="AM150" i="14"/>
  <c r="AM151" i="14"/>
  <c r="AM152" i="14"/>
  <c r="AM153" i="14"/>
  <c r="AM154" i="14"/>
  <c r="AM155" i="14"/>
  <c r="AM156" i="14"/>
  <c r="AM157" i="14"/>
  <c r="AM158" i="14"/>
  <c r="AM159" i="14"/>
  <c r="AM160" i="14"/>
  <c r="AM161" i="14"/>
  <c r="AM162" i="14"/>
  <c r="AM163" i="14"/>
  <c r="AM164" i="14"/>
  <c r="AM165" i="14"/>
  <c r="AM166" i="14"/>
  <c r="AM167" i="14"/>
  <c r="AM168" i="14"/>
  <c r="AM169" i="14"/>
  <c r="AM170" i="14"/>
  <c r="AM171" i="14"/>
  <c r="AM172" i="14"/>
  <c r="AM173" i="14"/>
  <c r="AM174" i="14"/>
  <c r="AM175" i="14"/>
  <c r="AM176" i="14"/>
  <c r="AM177" i="14"/>
  <c r="AM178" i="14"/>
  <c r="AM179" i="14"/>
  <c r="AM180" i="14"/>
  <c r="AM181" i="14"/>
  <c r="AM182" i="14"/>
  <c r="AM183" i="14"/>
  <c r="AM184" i="14"/>
  <c r="AM185" i="14"/>
  <c r="AM186" i="14"/>
  <c r="AM187" i="14"/>
  <c r="AM188" i="14"/>
  <c r="AM189" i="14"/>
  <c r="AM190" i="14"/>
  <c r="AM191" i="14"/>
  <c r="AM192" i="14"/>
  <c r="AM193" i="14"/>
  <c r="AM194" i="14"/>
  <c r="AM195" i="14"/>
  <c r="AM196" i="14"/>
  <c r="AM197" i="14"/>
  <c r="AM198" i="14"/>
  <c r="AM199" i="14"/>
  <c r="AM200" i="14"/>
  <c r="AM201" i="14"/>
  <c r="AM202" i="14"/>
  <c r="AM203" i="14"/>
  <c r="AM204" i="14"/>
  <c r="AM205" i="14"/>
  <c r="AM206" i="14"/>
  <c r="AM207" i="14"/>
  <c r="AM208" i="14"/>
  <c r="AM209" i="14"/>
  <c r="AM210" i="14"/>
  <c r="AM211" i="14"/>
  <c r="AM212" i="14"/>
  <c r="AM213" i="14"/>
  <c r="AM214" i="14"/>
  <c r="AM215" i="14"/>
  <c r="AM216" i="14"/>
  <c r="AM217" i="14"/>
  <c r="AM218" i="14"/>
  <c r="AM219" i="14"/>
  <c r="AM220" i="14"/>
  <c r="AM221" i="14"/>
  <c r="AM222" i="14"/>
  <c r="AM223" i="14"/>
  <c r="AM224" i="14"/>
  <c r="AM225" i="14"/>
  <c r="AM226" i="14"/>
  <c r="AM227" i="14"/>
  <c r="AM228" i="14"/>
  <c r="AM229" i="14"/>
  <c r="AM230" i="14"/>
  <c r="AM231" i="14"/>
  <c r="AM232" i="14"/>
  <c r="AM233" i="14"/>
  <c r="AM234" i="14"/>
  <c r="AM235" i="14"/>
  <c r="AM236" i="14"/>
  <c r="AM237" i="14"/>
  <c r="AM238" i="14"/>
  <c r="AM239" i="14"/>
  <c r="AM240" i="14"/>
  <c r="AM241" i="14"/>
  <c r="AM242" i="14"/>
  <c r="AM243" i="14"/>
  <c r="AM244" i="14"/>
  <c r="AM245" i="14"/>
  <c r="AM246" i="14"/>
  <c r="AM247" i="14"/>
  <c r="AM248" i="14"/>
  <c r="AM249" i="14"/>
  <c r="AM250" i="14"/>
  <c r="AM251" i="14"/>
  <c r="AM252" i="14"/>
  <c r="AM253" i="14"/>
  <c r="AM254" i="14"/>
  <c r="AM255" i="14"/>
  <c r="AM256" i="14"/>
  <c r="AM257" i="14"/>
  <c r="AM258" i="14"/>
  <c r="AM259" i="14"/>
  <c r="AM260" i="14"/>
  <c r="AM261" i="14"/>
  <c r="AM262" i="14"/>
  <c r="AM263" i="14"/>
  <c r="AM264" i="14"/>
  <c r="AM265" i="14"/>
  <c r="AM266" i="14"/>
  <c r="AM267" i="14"/>
  <c r="AM268" i="14"/>
  <c r="AM269" i="14"/>
  <c r="AM270" i="14"/>
  <c r="AM271" i="14"/>
  <c r="AM272" i="14"/>
  <c r="AM273" i="14"/>
  <c r="AM274" i="14"/>
  <c r="AM275" i="14"/>
  <c r="AM276" i="14"/>
  <c r="AM277" i="14"/>
  <c r="AM278" i="14"/>
  <c r="AM279" i="14"/>
  <c r="AM280" i="14"/>
  <c r="AM281" i="14"/>
  <c r="AM282" i="14"/>
  <c r="AM283" i="14"/>
  <c r="AM284" i="14"/>
  <c r="AM285" i="14"/>
  <c r="AM286" i="14"/>
  <c r="AM287" i="14"/>
  <c r="AM288" i="14"/>
  <c r="AM289" i="14"/>
  <c r="AM290" i="14"/>
  <c r="AM291" i="14"/>
  <c r="AM292" i="14"/>
  <c r="AM293" i="14"/>
  <c r="AM294" i="14"/>
  <c r="AM295" i="14"/>
  <c r="AM296" i="14"/>
  <c r="AM297" i="14"/>
  <c r="AM298" i="14"/>
  <c r="AM299" i="14"/>
  <c r="AM300" i="14"/>
  <c r="AM301" i="14"/>
  <c r="AM302" i="14"/>
  <c r="AM303" i="14"/>
  <c r="AM304" i="14"/>
  <c r="AM305" i="14"/>
  <c r="AM306" i="14"/>
  <c r="AM307" i="14"/>
  <c r="AM308" i="14"/>
  <c r="AM309" i="14"/>
  <c r="AM310" i="14"/>
  <c r="AM311" i="14"/>
  <c r="AM312" i="14"/>
  <c r="AM313" i="14"/>
  <c r="AM314" i="14"/>
  <c r="AM315" i="14"/>
  <c r="AM316" i="14"/>
  <c r="AM317" i="14"/>
  <c r="AM318" i="14"/>
  <c r="AM319" i="14"/>
  <c r="AM320" i="14"/>
  <c r="AM321" i="14"/>
  <c r="AM322" i="14"/>
  <c r="AM323" i="14"/>
  <c r="AM324" i="14"/>
  <c r="AM325" i="14"/>
  <c r="AM326" i="14"/>
  <c r="AM327" i="14"/>
  <c r="AM328" i="14"/>
  <c r="AM329" i="14"/>
  <c r="AM330" i="14"/>
  <c r="AM331" i="14"/>
  <c r="AM332" i="14"/>
  <c r="AM333" i="14"/>
  <c r="AM334" i="14"/>
  <c r="AM335" i="14"/>
  <c r="AM336" i="14"/>
  <c r="AM337" i="14"/>
  <c r="AM338" i="14"/>
  <c r="AM339" i="14"/>
  <c r="AM340" i="14"/>
  <c r="AM341" i="14"/>
  <c r="AM342" i="14"/>
  <c r="AM343" i="14"/>
  <c r="AM344" i="14"/>
  <c r="AM345" i="14"/>
  <c r="AM346" i="14"/>
  <c r="AM347" i="14"/>
  <c r="AM348" i="14"/>
  <c r="AM349" i="14"/>
  <c r="AM350" i="14"/>
  <c r="AM351" i="14"/>
  <c r="AM352" i="14"/>
  <c r="AM353" i="14"/>
  <c r="AM354" i="14"/>
  <c r="AM355" i="14"/>
  <c r="AM356" i="14"/>
  <c r="AM357" i="14"/>
  <c r="AM358" i="14"/>
  <c r="AM359" i="14"/>
  <c r="AM360" i="14"/>
  <c r="AM361" i="14"/>
  <c r="AM362" i="14"/>
  <c r="AM363" i="14"/>
  <c r="AM364" i="14"/>
  <c r="AM365" i="14"/>
  <c r="AM366" i="14"/>
  <c r="AL3" i="14"/>
  <c r="AL4" i="14"/>
  <c r="AL5" i="14"/>
  <c r="AL6" i="14"/>
  <c r="AL7" i="14"/>
  <c r="AL8" i="14"/>
  <c r="AL9" i="14"/>
  <c r="AL10" i="14"/>
  <c r="AL11" i="14"/>
  <c r="AL12" i="14"/>
  <c r="AL13" i="14"/>
  <c r="AL14" i="14"/>
  <c r="AL15"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39" i="14"/>
  <c r="AL40" i="14"/>
  <c r="AL41" i="14"/>
  <c r="AL42" i="14"/>
  <c r="AL43" i="14"/>
  <c r="AL44" i="14"/>
  <c r="AL45" i="14"/>
  <c r="AL46" i="14"/>
  <c r="AL47" i="14"/>
  <c r="AL48" i="14"/>
  <c r="AL49" i="14"/>
  <c r="AL50" i="14"/>
  <c r="AL51" i="14"/>
  <c r="AL52" i="14"/>
  <c r="AL53" i="14"/>
  <c r="AL54" i="14"/>
  <c r="AL55" i="14"/>
  <c r="AL56" i="14"/>
  <c r="AL57" i="14"/>
  <c r="AL58" i="14"/>
  <c r="AL59" i="14"/>
  <c r="AL60" i="14"/>
  <c r="AL61" i="14"/>
  <c r="AL62" i="14"/>
  <c r="AL63" i="14"/>
  <c r="AL64" i="14"/>
  <c r="AL65" i="14"/>
  <c r="AL66" i="14"/>
  <c r="AL67" i="14"/>
  <c r="AL68" i="14"/>
  <c r="AL69" i="14"/>
  <c r="AL70" i="14"/>
  <c r="AL71" i="14"/>
  <c r="AL72" i="14"/>
  <c r="AL73" i="14"/>
  <c r="AL74" i="14"/>
  <c r="AL75" i="14"/>
  <c r="AL76" i="14"/>
  <c r="AL77" i="14"/>
  <c r="AL78" i="14"/>
  <c r="AL79" i="14"/>
  <c r="AL80" i="14"/>
  <c r="AL81" i="14"/>
  <c r="AL82" i="14"/>
  <c r="AL83" i="14"/>
  <c r="AL84" i="14"/>
  <c r="AL85" i="14"/>
  <c r="AL86" i="14"/>
  <c r="AL87" i="14"/>
  <c r="AL88" i="14"/>
  <c r="AL89" i="14"/>
  <c r="AL90" i="14"/>
  <c r="AL91" i="14"/>
  <c r="AL92" i="14"/>
  <c r="AL93" i="14"/>
  <c r="AL94" i="14"/>
  <c r="AL95" i="14"/>
  <c r="AL96" i="14"/>
  <c r="AL97" i="14"/>
  <c r="AL98" i="14"/>
  <c r="AL99" i="14"/>
  <c r="AL100" i="14"/>
  <c r="AL101" i="14"/>
  <c r="AL102" i="14"/>
  <c r="AL103" i="14"/>
  <c r="AL104" i="14"/>
  <c r="AL105" i="14"/>
  <c r="AL106" i="14"/>
  <c r="AL107" i="14"/>
  <c r="AL108" i="14"/>
  <c r="AL109" i="14"/>
  <c r="AL110" i="14"/>
  <c r="AL111" i="14"/>
  <c r="AL112" i="14"/>
  <c r="AL113" i="14"/>
  <c r="AL114" i="14"/>
  <c r="AL115" i="14"/>
  <c r="AL116" i="14"/>
  <c r="AL117" i="14"/>
  <c r="AL118" i="14"/>
  <c r="AL119" i="14"/>
  <c r="AL120" i="14"/>
  <c r="AL121" i="14"/>
  <c r="AL122" i="14"/>
  <c r="AL123" i="14"/>
  <c r="AL124" i="14"/>
  <c r="AL125" i="14"/>
  <c r="AL126" i="14"/>
  <c r="AL127" i="14"/>
  <c r="AL128" i="14"/>
  <c r="AL129" i="14"/>
  <c r="AL130" i="14"/>
  <c r="AL131" i="14"/>
  <c r="AL132" i="14"/>
  <c r="AL133" i="14"/>
  <c r="AL134" i="14"/>
  <c r="AL135" i="14"/>
  <c r="AL136" i="14"/>
  <c r="AL137" i="14"/>
  <c r="AL138" i="14"/>
  <c r="AL139" i="14"/>
  <c r="AL140" i="14"/>
  <c r="AL141" i="14"/>
  <c r="AL142" i="14"/>
  <c r="AL143" i="14"/>
  <c r="AL144" i="14"/>
  <c r="AL145" i="14"/>
  <c r="AL146" i="14"/>
  <c r="AL147" i="14"/>
  <c r="AL148" i="14"/>
  <c r="AL149" i="14"/>
  <c r="AL150" i="14"/>
  <c r="AL151" i="14"/>
  <c r="AL152" i="14"/>
  <c r="AL153" i="14"/>
  <c r="AL154" i="14"/>
  <c r="AL155" i="14"/>
  <c r="AL156" i="14"/>
  <c r="AL157" i="14"/>
  <c r="AL158" i="14"/>
  <c r="AL159" i="14"/>
  <c r="AL160" i="14"/>
  <c r="AL161" i="14"/>
  <c r="AL162" i="14"/>
  <c r="AL163" i="14"/>
  <c r="AL164" i="14"/>
  <c r="AL165" i="14"/>
  <c r="AL166" i="14"/>
  <c r="AL167" i="14"/>
  <c r="AL168" i="14"/>
  <c r="AL169" i="14"/>
  <c r="AL170" i="14"/>
  <c r="AL171" i="14"/>
  <c r="AL172" i="14"/>
  <c r="AL173" i="14"/>
  <c r="AL174" i="14"/>
  <c r="AL175" i="14"/>
  <c r="AL176" i="14"/>
  <c r="AL177" i="14"/>
  <c r="AL178" i="14"/>
  <c r="AL179" i="14"/>
  <c r="AL180" i="14"/>
  <c r="AL181" i="14"/>
  <c r="AL182" i="14"/>
  <c r="AL183" i="14"/>
  <c r="AL184" i="14"/>
  <c r="AL185" i="14"/>
  <c r="AL186" i="14"/>
  <c r="AL187" i="14"/>
  <c r="AL188" i="14"/>
  <c r="AL189" i="14"/>
  <c r="AL190" i="14"/>
  <c r="AL191" i="14"/>
  <c r="AL192" i="14"/>
  <c r="AL193" i="14"/>
  <c r="AL194" i="14"/>
  <c r="AL195" i="14"/>
  <c r="AL196" i="14"/>
  <c r="AL197" i="14"/>
  <c r="AL198" i="14"/>
  <c r="AL199" i="14"/>
  <c r="AL200" i="14"/>
  <c r="AL201" i="14"/>
  <c r="AL202" i="14"/>
  <c r="AL203" i="14"/>
  <c r="AL204" i="14"/>
  <c r="AL205" i="14"/>
  <c r="AL206" i="14"/>
  <c r="AL207" i="14"/>
  <c r="AL208" i="14"/>
  <c r="AL209" i="14"/>
  <c r="AL210" i="14"/>
  <c r="AL211" i="14"/>
  <c r="AL212" i="14"/>
  <c r="AL213" i="14"/>
  <c r="AL214" i="14"/>
  <c r="AL215" i="14"/>
  <c r="AL216" i="14"/>
  <c r="AL217" i="14"/>
  <c r="AL218" i="14"/>
  <c r="AL219" i="14"/>
  <c r="AL220" i="14"/>
  <c r="AL221" i="14"/>
  <c r="AL222" i="14"/>
  <c r="AL223" i="14"/>
  <c r="AL224" i="14"/>
  <c r="AL225" i="14"/>
  <c r="AL226" i="14"/>
  <c r="AL227" i="14"/>
  <c r="AL228" i="14"/>
  <c r="AL229" i="14"/>
  <c r="AL230" i="14"/>
  <c r="AL231" i="14"/>
  <c r="AL232" i="14"/>
  <c r="AL233" i="14"/>
  <c r="AL234" i="14"/>
  <c r="AL235" i="14"/>
  <c r="AL236" i="14"/>
  <c r="AL237" i="14"/>
  <c r="AL238" i="14"/>
  <c r="AL239" i="14"/>
  <c r="AL240" i="14"/>
  <c r="AL241" i="14"/>
  <c r="AL242" i="14"/>
  <c r="AL243" i="14"/>
  <c r="AL244" i="14"/>
  <c r="AL245" i="14"/>
  <c r="AL246" i="14"/>
  <c r="AL247" i="14"/>
  <c r="AL248" i="14"/>
  <c r="AL249" i="14"/>
  <c r="AL250" i="14"/>
  <c r="AL251" i="14"/>
  <c r="AL252" i="14"/>
  <c r="AL253" i="14"/>
  <c r="AL254" i="14"/>
  <c r="AL255" i="14"/>
  <c r="AL256" i="14"/>
  <c r="AL257" i="14"/>
  <c r="AL258" i="14"/>
  <c r="AL259" i="14"/>
  <c r="AL260" i="14"/>
  <c r="AL261" i="14"/>
  <c r="AL262" i="14"/>
  <c r="AL263" i="14"/>
  <c r="AL264" i="14"/>
  <c r="AL265" i="14"/>
  <c r="AL266" i="14"/>
  <c r="AL267" i="14"/>
  <c r="AL268" i="14"/>
  <c r="AL269" i="14"/>
  <c r="AL270" i="14"/>
  <c r="AL271" i="14"/>
  <c r="AL272" i="14"/>
  <c r="AL273" i="14"/>
  <c r="AL274" i="14"/>
  <c r="AL275" i="14"/>
  <c r="AL276" i="14"/>
  <c r="AL277" i="14"/>
  <c r="AL278" i="14"/>
  <c r="AL279" i="14"/>
  <c r="AL280" i="14"/>
  <c r="AL281" i="14"/>
  <c r="AL282" i="14"/>
  <c r="AL283" i="14"/>
  <c r="AL284" i="14"/>
  <c r="AL285" i="14"/>
  <c r="AL286" i="14"/>
  <c r="AL287" i="14"/>
  <c r="AL288" i="14"/>
  <c r="AL289" i="14"/>
  <c r="AL290" i="14"/>
  <c r="AL291" i="14"/>
  <c r="AL292" i="14"/>
  <c r="AL293" i="14"/>
  <c r="AL294" i="14"/>
  <c r="AL295" i="14"/>
  <c r="AL296" i="14"/>
  <c r="AL297" i="14"/>
  <c r="AL298" i="14"/>
  <c r="AL299" i="14"/>
  <c r="AL300" i="14"/>
  <c r="AL301" i="14"/>
  <c r="AL302" i="14"/>
  <c r="AL303" i="14"/>
  <c r="AL304" i="14"/>
  <c r="AL305" i="14"/>
  <c r="AL306" i="14"/>
  <c r="AL307" i="14"/>
  <c r="AL308" i="14"/>
  <c r="AL309" i="14"/>
  <c r="AL310" i="14"/>
  <c r="AL311" i="14"/>
  <c r="AL312" i="14"/>
  <c r="AL313" i="14"/>
  <c r="AL314" i="14"/>
  <c r="AL315" i="14"/>
  <c r="AL316" i="14"/>
  <c r="AL317" i="14"/>
  <c r="AL318" i="14"/>
  <c r="AL319" i="14"/>
  <c r="AL320" i="14"/>
  <c r="AL321" i="14"/>
  <c r="AL322" i="14"/>
  <c r="AL323" i="14"/>
  <c r="AL324" i="14"/>
  <c r="AL325" i="14"/>
  <c r="AL326" i="14"/>
  <c r="AL327" i="14"/>
  <c r="AL328" i="14"/>
  <c r="AL329" i="14"/>
  <c r="AL330" i="14"/>
  <c r="AL331" i="14"/>
  <c r="AL332" i="14"/>
  <c r="AL333" i="14"/>
  <c r="AL334" i="14"/>
  <c r="AL335" i="14"/>
  <c r="AL336" i="14"/>
  <c r="AL337" i="14"/>
  <c r="AL338" i="14"/>
  <c r="AL339" i="14"/>
  <c r="AL340" i="14"/>
  <c r="AL341" i="14"/>
  <c r="AL342" i="14"/>
  <c r="AL343" i="14"/>
  <c r="AL344" i="14"/>
  <c r="AL345" i="14"/>
  <c r="AL346" i="14"/>
  <c r="AL347" i="14"/>
  <c r="AL348" i="14"/>
  <c r="AL349" i="14"/>
  <c r="AL350" i="14"/>
  <c r="AL351" i="14"/>
  <c r="AL352" i="14"/>
  <c r="AL353" i="14"/>
  <c r="AL354" i="14"/>
  <c r="AL355" i="14"/>
  <c r="AL356" i="14"/>
  <c r="AL357" i="14"/>
  <c r="AL358" i="14"/>
  <c r="AL359" i="14"/>
  <c r="AL360" i="14"/>
  <c r="AL361" i="14"/>
  <c r="AL362" i="14"/>
  <c r="AL363" i="14"/>
  <c r="AL364" i="14"/>
  <c r="AL365" i="14"/>
  <c r="AL366" i="14"/>
  <c r="AN2" i="14"/>
  <c r="AM2" i="14"/>
  <c r="AL2" i="14"/>
  <c r="Q70" i="15" l="1"/>
  <c r="E14" i="15" s="1"/>
  <c r="Q69" i="15"/>
  <c r="D14" i="15" s="1"/>
</calcChain>
</file>

<file path=xl/sharedStrings.xml><?xml version="1.0" encoding="utf-8"?>
<sst xmlns="http://schemas.openxmlformats.org/spreadsheetml/2006/main" count="4404" uniqueCount="278">
  <si>
    <t>Humidity</t>
  </si>
  <si>
    <t>Variable Description</t>
  </si>
  <si>
    <t>Variable Name</t>
  </si>
  <si>
    <t>ID</t>
  </si>
  <si>
    <t xml:space="preserve">Record index </t>
  </si>
  <si>
    <t>Date</t>
  </si>
  <si>
    <t>Seasons</t>
  </si>
  <si>
    <t>Holiday</t>
  </si>
  <si>
    <t xml:space="preserve">Whether day is holiday or not (Holiday, Not Holiday) </t>
  </si>
  <si>
    <t>Weekday</t>
  </si>
  <si>
    <t>Day of week (Sunday to Saturday)</t>
  </si>
  <si>
    <t>Workingday</t>
  </si>
  <si>
    <t>If day is either working day or not</t>
  </si>
  <si>
    <t>Weather</t>
  </si>
  <si>
    <t>Weather of the day (Clear, Cloudy, Rain)</t>
  </si>
  <si>
    <t>Temp</t>
  </si>
  <si>
    <t xml:space="preserve">Temperature of the day in Celsius </t>
  </si>
  <si>
    <t>Humidity of the day in %</t>
  </si>
  <si>
    <t>WindSpeed</t>
  </si>
  <si>
    <t>Wind speed of the day in km/h</t>
  </si>
  <si>
    <t>eBike</t>
  </si>
  <si>
    <t>pBike</t>
  </si>
  <si>
    <t>Season</t>
  </si>
  <si>
    <t>Summer</t>
  </si>
  <si>
    <t>Not Holiday</t>
  </si>
  <si>
    <t>Not Workingday</t>
  </si>
  <si>
    <t>Cloudy</t>
  </si>
  <si>
    <t>Clear</t>
  </si>
  <si>
    <t>Rain</t>
  </si>
  <si>
    <t>Autumn</t>
  </si>
  <si>
    <t>Winter</t>
  </si>
  <si>
    <t>Spring</t>
  </si>
  <si>
    <t>Bike hire details in year 2022</t>
  </si>
  <si>
    <t>Number of electric bike hired per day</t>
  </si>
  <si>
    <t>Total bike hired including both eBikes  and pBikes</t>
  </si>
  <si>
    <t>HireDay</t>
  </si>
  <si>
    <t>Date of the bike hired</t>
  </si>
  <si>
    <t>Season of the bike hired (Summer, Autumn, Winter, and Spring)</t>
  </si>
  <si>
    <t>Hire day is classified into four different categories based on total number of bikes hired per day</t>
  </si>
  <si>
    <t>BikeHired</t>
  </si>
  <si>
    <r>
      <t>·</t>
    </r>
    <r>
      <rPr>
        <sz val="7"/>
        <color rgb="FF000000"/>
        <rFont val="Times New Roman"/>
        <family val="1"/>
      </rPr>
      <t xml:space="preserve">       </t>
    </r>
    <r>
      <rPr>
        <sz val="12"/>
        <color rgb="FF000000"/>
        <rFont val="Calibri"/>
        <family val="2"/>
        <scheme val="minor"/>
      </rPr>
      <t>Quiet, BikeHired&lt;40</t>
    </r>
  </si>
  <si>
    <r>
      <t>·</t>
    </r>
    <r>
      <rPr>
        <sz val="7"/>
        <color rgb="FF000000"/>
        <rFont val="Times New Roman"/>
        <family val="1"/>
      </rPr>
      <t xml:space="preserve">       </t>
    </r>
    <r>
      <rPr>
        <sz val="12"/>
        <color rgb="FF000000"/>
        <rFont val="Calibri"/>
        <family val="2"/>
        <scheme val="minor"/>
      </rPr>
      <t>Modest, BikeHired between 40 and 70</t>
    </r>
  </si>
  <si>
    <r>
      <t>·</t>
    </r>
    <r>
      <rPr>
        <sz val="7"/>
        <color rgb="FF000000"/>
        <rFont val="Times New Roman"/>
        <family val="1"/>
      </rPr>
      <t xml:space="preserve">       </t>
    </r>
    <r>
      <rPr>
        <sz val="12"/>
        <color rgb="FF000000"/>
        <rFont val="Calibri"/>
        <family val="2"/>
        <scheme val="minor"/>
      </rPr>
      <t>Good, BikeHired between 70 and 100</t>
    </r>
  </si>
  <si>
    <r>
      <t>·</t>
    </r>
    <r>
      <rPr>
        <sz val="7"/>
        <color rgb="FF000000"/>
        <rFont val="Times New Roman"/>
        <family val="1"/>
      </rPr>
      <t xml:space="preserve">       </t>
    </r>
    <r>
      <rPr>
        <sz val="12"/>
        <color rgb="FF000000"/>
        <rFont val="Calibri"/>
        <family val="2"/>
        <scheme val="minor"/>
      </rPr>
      <t>Busy, BikeHired &gt;100</t>
    </r>
  </si>
  <si>
    <t>CONCLUSION</t>
  </si>
  <si>
    <t>*** THIS SECTION WILL BE MARKED ***</t>
  </si>
  <si>
    <t>DUMMY VARIABLES</t>
  </si>
  <si>
    <t>Complete the following table which summarizes the results of your transformation of categorical variables into dummy variables. Use as many rows or columns as necessary.</t>
  </si>
  <si>
    <t>Categorical Variable</t>
  </si>
  <si>
    <t>Number of Dummy IVs Remaining After Transformation</t>
  </si>
  <si>
    <t>Name of Remaining Dummy IVs After Transformation</t>
  </si>
  <si>
    <t>#1</t>
  </si>
  <si>
    <t>#2</t>
  </si>
  <si>
    <t>#3</t>
  </si>
  <si>
    <t>#4</t>
  </si>
  <si>
    <t>#5</t>
  </si>
  <si>
    <t>#6</t>
  </si>
  <si>
    <t>#7</t>
  </si>
  <si>
    <t>#8</t>
  </si>
  <si>
    <t>UNCORRELATED INDEPENDENT VARIABLES</t>
  </si>
  <si>
    <t>Independent Variable Eliminated</t>
  </si>
  <si>
    <t>Correlation Coefficient
(with DV)</t>
  </si>
  <si>
    <t>MULTI-COLLINEARITY</t>
  </si>
  <si>
    <t>Complete the following table which summarizes the independent variables (IVs) which have been eliminated from the regression model due to multi-collinearity (strongly correlated with each other).</t>
  </si>
  <si>
    <t>Add rows to the table if necessary or leave extra rows empty.</t>
  </si>
  <si>
    <t>Ignore independent variables already removed from the model due to being uncorrelated with the Dependent Variable.</t>
  </si>
  <si>
    <t>Strongly Correlated Independent Variables</t>
  </si>
  <si>
    <t>Correlation Coefficient of the Two IVs</t>
  </si>
  <si>
    <t>Correlation Coefficient of each IV with the DV</t>
  </si>
  <si>
    <t>Name of Independent Variable Eliminated from the Regression Model</t>
  </si>
  <si>
    <t>First Pair of IVs</t>
  </si>
  <si>
    <t>Second Pair of IVs</t>
  </si>
  <si>
    <t>Third Pair of IVs</t>
  </si>
  <si>
    <t>CORRELATION TABLE</t>
  </si>
  <si>
    <t>Using the “Correlation” option in Excel’s Data Analysis ToolPak generate a correlation table.</t>
  </si>
  <si>
    <t>SCATTER DIAGRAMS</t>
  </si>
  <si>
    <t>WORKINGS</t>
  </si>
  <si>
    <t>*** This section will NOT be marked ***</t>
  </si>
  <si>
    <t>EQUATION</t>
  </si>
  <si>
    <t>Based on your final regression ("Regression" worksheet) write the final model (where all remaining independent variables are statistically significant). Use the number of variables appropriate to your final regression model. Add or delete extra columns if needed.</t>
  </si>
  <si>
    <t>Ŷ</t>
  </si>
  <si>
    <t>=</t>
  </si>
  <si>
    <r>
      <t>b</t>
    </r>
    <r>
      <rPr>
        <vertAlign val="subscript"/>
        <sz val="12"/>
        <rFont val="Calibri"/>
        <family val="2"/>
        <scheme val="minor"/>
      </rPr>
      <t>0</t>
    </r>
    <r>
      <rPr>
        <sz val="12"/>
        <rFont val="Calibri"/>
        <family val="2"/>
        <scheme val="minor"/>
      </rPr>
      <t xml:space="preserve"> +</t>
    </r>
  </si>
  <si>
    <r>
      <t>b</t>
    </r>
    <r>
      <rPr>
        <vertAlign val="subscript"/>
        <sz val="12"/>
        <rFont val="Calibri"/>
        <family val="2"/>
        <scheme val="minor"/>
      </rPr>
      <t>1 *</t>
    </r>
  </si>
  <si>
    <r>
      <t>X</t>
    </r>
    <r>
      <rPr>
        <vertAlign val="subscript"/>
        <sz val="12"/>
        <rFont val="Calibri"/>
        <family val="2"/>
        <scheme val="minor"/>
      </rPr>
      <t>1</t>
    </r>
    <r>
      <rPr>
        <sz val="12"/>
        <rFont val="Calibri"/>
        <family val="2"/>
        <scheme val="minor"/>
      </rPr>
      <t xml:space="preserve"> +</t>
    </r>
  </si>
  <si>
    <r>
      <t>b</t>
    </r>
    <r>
      <rPr>
        <vertAlign val="subscript"/>
        <sz val="12"/>
        <rFont val="Calibri"/>
        <family val="2"/>
        <scheme val="minor"/>
      </rPr>
      <t>2 *</t>
    </r>
  </si>
  <si>
    <r>
      <t>X</t>
    </r>
    <r>
      <rPr>
        <vertAlign val="subscript"/>
        <sz val="12"/>
        <rFont val="Calibri"/>
        <family val="2"/>
        <scheme val="minor"/>
      </rPr>
      <t>2</t>
    </r>
    <r>
      <rPr>
        <sz val="12"/>
        <rFont val="Calibri"/>
        <family val="2"/>
        <scheme val="minor"/>
      </rPr>
      <t xml:space="preserve"> +</t>
    </r>
  </si>
  <si>
    <r>
      <t>b</t>
    </r>
    <r>
      <rPr>
        <vertAlign val="subscript"/>
        <sz val="12"/>
        <rFont val="Calibri"/>
        <family val="2"/>
        <scheme val="minor"/>
      </rPr>
      <t>3 *</t>
    </r>
  </si>
  <si>
    <r>
      <t>X</t>
    </r>
    <r>
      <rPr>
        <vertAlign val="subscript"/>
        <sz val="12"/>
        <rFont val="Calibri"/>
        <family val="2"/>
        <scheme val="minor"/>
      </rPr>
      <t>3</t>
    </r>
    <r>
      <rPr>
        <sz val="12"/>
        <rFont val="Calibri"/>
        <family val="2"/>
        <scheme val="minor"/>
      </rPr>
      <t xml:space="preserve"> +</t>
    </r>
  </si>
  <si>
    <t xml:space="preserve">POINT ESTIMATE = </t>
  </si>
  <si>
    <t>Lower limit</t>
  </si>
  <si>
    <t>Upper limit</t>
  </si>
  <si>
    <t>PREDICTION INTERVAL</t>
  </si>
  <si>
    <t>CONFIDENCE INTERVAL</t>
  </si>
  <si>
    <t>MODEL</t>
  </si>
  <si>
    <t>Copy the Summary Output of your final regression (from the "Regression" worksheet) and paste in this section. This is the final regression model (where all remaining independent variables are statistically significant)</t>
  </si>
  <si>
    <t>There is no need for any calculations.</t>
  </si>
  <si>
    <t>PREDICTIONS</t>
  </si>
  <si>
    <t>Complete the following table which summarizes the independent variables which have been eliminated from the regression model due to being (virtually) uncorrelated with the Dependent Variable (BikeHired).</t>
  </si>
  <si>
    <t>Number of pedal bike hired per day</t>
  </si>
  <si>
    <r>
      <t xml:space="preserve">BikeHired and the remained numerical (not categorical) Independent Variable (IV) which has the </t>
    </r>
    <r>
      <rPr>
        <u/>
        <sz val="14"/>
        <color rgb="FF4472C4"/>
        <rFont val="Calibri"/>
        <family val="2"/>
        <scheme val="minor"/>
      </rPr>
      <t>highest correlation</t>
    </r>
    <r>
      <rPr>
        <sz val="14"/>
        <color rgb="FF4472C4"/>
        <rFont val="Calibri"/>
        <family val="2"/>
        <scheme val="minor"/>
      </rPr>
      <t xml:space="preserve"> with the DV. </t>
    </r>
  </si>
  <si>
    <r>
      <t xml:space="preserve">BikeHired and the remained numerical (not categorical) Independent Variable (IV) which has the </t>
    </r>
    <r>
      <rPr>
        <u/>
        <sz val="14"/>
        <color rgb="FF4472C4"/>
        <rFont val="Calibri"/>
        <family val="2"/>
        <scheme val="minor"/>
      </rPr>
      <t>highest inverse (i.e., most negative) correlation</t>
    </r>
    <r>
      <rPr>
        <sz val="14"/>
        <color rgb="FF4472C4"/>
        <rFont val="Calibri"/>
        <family val="2"/>
        <scheme val="minor"/>
      </rPr>
      <t xml:space="preserve"> with the DV. </t>
    </r>
  </si>
  <si>
    <r>
      <t xml:space="preserve">BikeHired and the numerical (not dummy categorical) Independent Variable (IV) which is closest to being </t>
    </r>
    <r>
      <rPr>
        <u/>
        <sz val="14"/>
        <color rgb="FF4472C4"/>
        <rFont val="Calibri"/>
        <family val="2"/>
        <scheme val="minor"/>
      </rPr>
      <t>uncorrelated</t>
    </r>
    <r>
      <rPr>
        <sz val="14"/>
        <color rgb="FF4472C4"/>
        <rFont val="Calibri"/>
        <family val="2"/>
        <scheme val="minor"/>
      </rPr>
      <t xml:space="preserve"> with the DV </t>
    </r>
  </si>
  <si>
    <t>Generate three scatter diagrams. Format each diagram, and include a linear trendline:</t>
  </si>
  <si>
    <t>Good</t>
  </si>
  <si>
    <t>Busy</t>
  </si>
  <si>
    <t>Modest</t>
  </si>
  <si>
    <t>Queit</t>
  </si>
  <si>
    <t>autumn</t>
  </si>
  <si>
    <t>winter</t>
  </si>
  <si>
    <t>spring</t>
  </si>
  <si>
    <t>holiday</t>
  </si>
  <si>
    <t>workingday</t>
  </si>
  <si>
    <t>cloudy</t>
  </si>
  <si>
    <t>rain</t>
  </si>
  <si>
    <t>hireday</t>
  </si>
  <si>
    <t>busy</t>
  </si>
  <si>
    <t>quiet</t>
  </si>
  <si>
    <t>modest</t>
  </si>
  <si>
    <t>season</t>
  </si>
  <si>
    <t>weather</t>
  </si>
  <si>
    <t>Quiet</t>
  </si>
  <si>
    <t xml:space="preserve">Modest </t>
  </si>
  <si>
    <t>temp</t>
  </si>
  <si>
    <t>max</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</si>
  <si>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</si>
  <si>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</si>
  <si>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</si>
  <si>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</si>
  <si>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</si>
  <si>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</si>
  <si>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</si>
  <si>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</si>
  <si>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</si>
  <si>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</si>
  <si>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</si>
  <si>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</si>
  <si>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</si>
  <si>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</si>
  <si>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</si>
  <si>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</si>
  <si>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</si>
  <si>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</si>
  <si>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</si>
  <si>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</si>
  <si>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</si>
  <si>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</si>
  <si>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</si>
  <si>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</si>
  <si>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1st model</t>
  </si>
  <si>
    <t>2nd model</t>
  </si>
  <si>
    <t>3rd model</t>
  </si>
  <si>
    <t>4th model</t>
  </si>
  <si>
    <t>syx</t>
  </si>
  <si>
    <t>n</t>
  </si>
  <si>
    <t>k</t>
  </si>
  <si>
    <t>model</t>
  </si>
  <si>
    <t>y-intercept</t>
  </si>
  <si>
    <t>IV1</t>
  </si>
  <si>
    <t>IV2</t>
  </si>
  <si>
    <t>IV3</t>
  </si>
  <si>
    <t>IV4</t>
  </si>
  <si>
    <t>b4*</t>
  </si>
  <si>
    <t>X4+</t>
  </si>
  <si>
    <t>point estimate</t>
  </si>
  <si>
    <t>scenario(x)</t>
  </si>
  <si>
    <t>not workingday</t>
  </si>
  <si>
    <t>humidity</t>
  </si>
  <si>
    <t xml:space="preserve">windspeed </t>
  </si>
  <si>
    <t>non significant IV</t>
  </si>
  <si>
    <t>windspeed</t>
  </si>
  <si>
    <t>point estimate (Y)</t>
  </si>
  <si>
    <t>insert formula</t>
  </si>
  <si>
    <t>count</t>
  </si>
  <si>
    <t>no. of significant IV</t>
  </si>
  <si>
    <t>sample</t>
  </si>
  <si>
    <t>degree of freedom</t>
  </si>
  <si>
    <t>confidence</t>
  </si>
  <si>
    <t>significance</t>
  </si>
  <si>
    <t>t value</t>
  </si>
  <si>
    <t>t</t>
  </si>
  <si>
    <t>std error</t>
  </si>
  <si>
    <t>Y</t>
  </si>
  <si>
    <t>lower limit</t>
  </si>
  <si>
    <t>upper limit</t>
  </si>
  <si>
    <t>Mean</t>
  </si>
  <si>
    <t>Median</t>
  </si>
  <si>
    <t>Mode</t>
  </si>
  <si>
    <t>Standard Deviation</t>
  </si>
  <si>
    <t>Sample Variance</t>
  </si>
  <si>
    <t>Kurtosis</t>
  </si>
  <si>
    <t>Skewness</t>
  </si>
  <si>
    <t>Range</t>
  </si>
  <si>
    <t>Minimum</t>
  </si>
  <si>
    <t>Maximum</t>
  </si>
  <si>
    <t>Sum</t>
  </si>
  <si>
    <t>Count</t>
  </si>
  <si>
    <t>bikehired</t>
  </si>
  <si>
    <t>Descriptive statistics</t>
  </si>
  <si>
    <t>Predication Interval</t>
  </si>
  <si>
    <t>Confidence Interval</t>
  </si>
  <si>
    <t>sq. root</t>
  </si>
  <si>
    <t>Point Estimate</t>
  </si>
  <si>
    <t>Scenario(X)</t>
  </si>
  <si>
    <t>α</t>
  </si>
  <si>
    <t>(very) strong determination - after taking into account the number of IV,s  of over 90% of the change in the DV(BikeHired) is explained by (due to  changes in (all) the IV's (less than 10% of the variation in the DV is due to other factors)</t>
  </si>
  <si>
    <t xml:space="preserve">overall model level </t>
  </si>
  <si>
    <t>as Sig F &lt; alpha (0.05)</t>
  </si>
  <si>
    <t>.. We can reject H0</t>
  </si>
  <si>
    <t>and has a relationship with (impact on ) the DV</t>
  </si>
  <si>
    <t>as P-value &lt; alpha (0.05)</t>
  </si>
  <si>
    <t>Y-intercept</t>
  </si>
  <si>
    <t>X1</t>
  </si>
  <si>
    <t>X2</t>
  </si>
  <si>
    <t>X3</t>
  </si>
  <si>
    <t>X4</t>
  </si>
  <si>
    <t xml:space="preserve">Regression Equation - </t>
  </si>
  <si>
    <t>.. 2 of the significant IV has a positive relationship with the DV</t>
  </si>
  <si>
    <t>.. 2 of the significant IV has a negative relationship with the DV</t>
  </si>
  <si>
    <t>.. All other IV's in the data set are non significant: with alpha set at 0.05 they do not have an impact on the DV</t>
  </si>
  <si>
    <t xml:space="preserve">..there are four significant IV's each of which has an impact on the DV(BikeHired) </t>
  </si>
  <si>
    <t>eason Autumn</t>
  </si>
  <si>
    <t>Holiday Holiday</t>
  </si>
  <si>
    <t>Weekday Sunday</t>
  </si>
  <si>
    <t>Workingday Not Workingday</t>
  </si>
  <si>
    <t>Weather Cloudy</t>
  </si>
  <si>
    <t>Temp 36 °C</t>
  </si>
  <si>
    <t>Humidity 74%</t>
  </si>
  <si>
    <t>WindSpeed 30 km/h</t>
  </si>
  <si>
    <t>eBike 44</t>
  </si>
  <si>
    <t>pBike 56</t>
  </si>
  <si>
    <t>Hireday Good</t>
  </si>
  <si>
    <t>weekday</t>
  </si>
  <si>
    <t>Sunday</t>
  </si>
  <si>
    <t>36 C</t>
  </si>
  <si>
    <t>30 km/h</t>
  </si>
  <si>
    <t>good</t>
  </si>
  <si>
    <t xml:space="preserve">the other IV in the scenario (season,workingday,temoerature,humidity,windspeed,weekday) </t>
  </si>
  <si>
    <t>are non-significant and do not contribute to the estimate of bike hire activities,</t>
  </si>
  <si>
    <t>This interval gives a range within which the actual value of Bike Hired is expected to fall, with 95% confidence.</t>
  </si>
  <si>
    <t>This is the predicted value of the dependent variable (Bike Hired) for the given scenario.</t>
  </si>
  <si>
    <t>DESCRIPTIVE STATISTICS</t>
  </si>
  <si>
    <r>
      <t>Temperature:</t>
    </r>
    <r>
      <rPr>
        <sz val="11"/>
        <color theme="1"/>
        <rFont val="Calibri"/>
        <family val="2"/>
        <scheme val="minor"/>
      </rPr>
      <t xml:space="preserve"> The average temperature of </t>
    </r>
    <r>
      <rPr>
        <b/>
        <sz val="11"/>
        <color theme="1"/>
        <rFont val="Calibri"/>
        <family val="2"/>
        <scheme val="minor"/>
      </rPr>
      <t>21.90°C</t>
    </r>
    <r>
      <rPr>
        <sz val="11"/>
        <color theme="1"/>
        <rFont val="Calibri"/>
        <family val="2"/>
        <scheme val="minor"/>
      </rPr>
      <t xml:space="preserve"> could suggest a preference for bike rentals in warmer weather, potentially influencing higher demand.</t>
    </r>
  </si>
  <si>
    <r>
      <t>Humidity:</t>
    </r>
    <r>
      <rPr>
        <sz val="11"/>
        <color theme="1"/>
        <rFont val="Calibri"/>
        <family val="2"/>
        <scheme val="minor"/>
      </rPr>
      <t xml:space="preserve"> The average humidity is </t>
    </r>
    <r>
      <rPr>
        <b/>
        <sz val="11"/>
        <color theme="1"/>
        <rFont val="Calibri"/>
        <family val="2"/>
        <scheme val="minor"/>
      </rPr>
      <t>64.37%</t>
    </r>
    <r>
      <rPr>
        <sz val="11"/>
        <color theme="1"/>
        <rFont val="Calibri"/>
        <family val="2"/>
        <scheme val="minor"/>
      </rPr>
      <t>, which could impact user comfort and willingness to rent bikes.</t>
    </r>
  </si>
  <si>
    <r>
      <t>Wind Speed:</t>
    </r>
    <r>
      <rPr>
        <sz val="11"/>
        <color theme="1"/>
        <rFont val="Calibri"/>
        <family val="2"/>
        <scheme val="minor"/>
      </rPr>
      <t xml:space="preserve"> The average wind speed of </t>
    </r>
    <r>
      <rPr>
        <b/>
        <sz val="11"/>
        <color theme="1"/>
        <rFont val="Calibri"/>
        <family val="2"/>
        <scheme val="minor"/>
      </rPr>
      <t>12.82 km/h</t>
    </r>
    <r>
      <rPr>
        <sz val="11"/>
        <color theme="1"/>
        <rFont val="Calibri"/>
        <family val="2"/>
        <scheme val="minor"/>
      </rPr>
      <t xml:space="preserve"> may also influence bike hire decisions, with higher winds potentially discouraging biking.</t>
    </r>
  </si>
  <si>
    <r>
      <t xml:space="preserve">BikeHired and the numerical  Independent Variable (IV) which has the </t>
    </r>
    <r>
      <rPr>
        <u/>
        <sz val="14"/>
        <color rgb="FF4472C4"/>
        <rFont val="Calibri"/>
        <family val="2"/>
        <scheme val="minor"/>
      </rPr>
      <t>highest correlation</t>
    </r>
    <r>
      <rPr>
        <sz val="14"/>
        <color rgb="FF4472C4"/>
        <rFont val="Calibri"/>
        <family val="2"/>
        <scheme val="minor"/>
      </rPr>
      <t xml:space="preserve"> with the DV. </t>
    </r>
  </si>
  <si>
    <r>
      <t xml:space="preserve">BikeHired and the numerical) Independent Variable (IV) which has the </t>
    </r>
    <r>
      <rPr>
        <u/>
        <sz val="14"/>
        <color rgb="FF4472C4"/>
        <rFont val="Calibri"/>
        <family val="2"/>
        <scheme val="minor"/>
      </rPr>
      <t>highest inverse (i.e., most negative) correlation and the closet to being uncorrelated</t>
    </r>
    <r>
      <rPr>
        <sz val="14"/>
        <color rgb="FF4472C4"/>
        <rFont val="Calibri"/>
        <family val="2"/>
        <scheme val="minor"/>
      </rPr>
      <t xml:space="preserve"> with the DV. </t>
    </r>
  </si>
  <si>
    <r>
      <t xml:space="preserve">BikeHired and the numerical (not dummy categorical) Independent Variable (IV) which is the 2nd closest to being </t>
    </r>
    <r>
      <rPr>
        <u/>
        <sz val="14"/>
        <color rgb="FF4472C4"/>
        <rFont val="Calibri"/>
        <family val="2"/>
        <scheme val="minor"/>
      </rPr>
      <t>uncorrelated</t>
    </r>
    <r>
      <rPr>
        <sz val="14"/>
        <color rgb="FF4472C4"/>
        <rFont val="Calibri"/>
        <family val="2"/>
        <scheme val="minor"/>
      </rPr>
      <t xml:space="preserve"> with the DV </t>
    </r>
  </si>
  <si>
    <r>
      <t>Seasons (Autumn, Winter, Spring)</t>
    </r>
    <r>
      <rPr>
        <sz val="11"/>
        <color theme="1"/>
        <rFont val="Calibri"/>
        <family val="2"/>
        <scheme val="minor"/>
      </rPr>
      <t>:</t>
    </r>
  </si>
  <si>
    <r>
      <t>Autumn</t>
    </r>
    <r>
      <rPr>
        <sz val="11"/>
        <color theme="1"/>
        <rFont val="Calibri"/>
        <family val="2"/>
        <scheme val="minor"/>
      </rPr>
      <t xml:space="preserve"> has a weak positive correlation (0.206) with </t>
    </r>
    <r>
      <rPr>
        <sz val="10"/>
        <color theme="1"/>
        <rFont val="Arial Unicode MS"/>
      </rPr>
      <t>BikeHired</t>
    </r>
    <r>
      <rPr>
        <sz val="11"/>
        <color theme="1"/>
        <rFont val="Calibri"/>
        <family val="2"/>
        <scheme val="minor"/>
      </rPr>
      <t>, meaning slightly more bikes are hired in autumn.</t>
    </r>
  </si>
  <si>
    <r>
      <t>Winter</t>
    </r>
    <r>
      <rPr>
        <sz val="11"/>
        <color theme="1"/>
        <rFont val="Calibri"/>
        <family val="2"/>
        <scheme val="minor"/>
      </rPr>
      <t xml:space="preserve"> has a strong negative correlation (-0.621) with </t>
    </r>
    <r>
      <rPr>
        <sz val="10"/>
        <color theme="1"/>
        <rFont val="Arial Unicode MS"/>
      </rPr>
      <t>BikeHired</t>
    </r>
    <r>
      <rPr>
        <sz val="11"/>
        <color theme="1"/>
        <rFont val="Calibri"/>
        <family val="2"/>
        <scheme val="minor"/>
      </rPr>
      <t>, meaning fewer bikes are hired in winter.</t>
    </r>
  </si>
  <si>
    <r>
      <t>Spring</t>
    </r>
    <r>
      <rPr>
        <sz val="11"/>
        <color theme="1"/>
        <rFont val="Calibri"/>
        <family val="2"/>
        <scheme val="minor"/>
      </rPr>
      <t xml:space="preserve"> has a very weak negative correlation (-0.071) with </t>
    </r>
    <r>
      <rPr>
        <sz val="10"/>
        <color theme="1"/>
        <rFont val="Arial Unicode MS"/>
      </rPr>
      <t>BikeHired</t>
    </r>
    <r>
      <rPr>
        <sz val="11"/>
        <color theme="1"/>
        <rFont val="Calibri"/>
        <family val="2"/>
        <scheme val="minor"/>
      </rPr>
      <t>, suggesting that bike hire patterns in spring are not significantly different from other times.</t>
    </r>
  </si>
  <si>
    <r>
      <t>Holiday and Workingday</t>
    </r>
    <r>
      <rPr>
        <sz val="11"/>
        <color theme="1"/>
        <rFont val="Calibri"/>
        <family val="2"/>
        <scheme val="minor"/>
      </rPr>
      <t>:</t>
    </r>
  </si>
  <si>
    <r>
      <t>Holiday</t>
    </r>
    <r>
      <rPr>
        <sz val="11"/>
        <color theme="1"/>
        <rFont val="Calibri"/>
        <family val="2"/>
        <scheme val="minor"/>
      </rPr>
      <t xml:space="preserve"> (0.055) and </t>
    </r>
    <r>
      <rPr>
        <sz val="10"/>
        <color theme="1"/>
        <rFont val="Arial Unicode MS"/>
      </rPr>
      <t>Workingday</t>
    </r>
    <r>
      <rPr>
        <sz val="11"/>
        <color theme="1"/>
        <rFont val="Calibri"/>
        <family val="2"/>
        <scheme val="minor"/>
      </rPr>
      <t xml:space="preserve"> (-0.045) both show very weak correlations with </t>
    </r>
    <r>
      <rPr>
        <sz val="10"/>
        <color theme="1"/>
        <rFont val="Arial Unicode MS"/>
      </rPr>
      <t>BikeHired</t>
    </r>
    <r>
      <rPr>
        <sz val="11"/>
        <color theme="1"/>
        <rFont val="Calibri"/>
        <family val="2"/>
        <scheme val="minor"/>
      </rPr>
      <t>, indicating that bike hires are not strongly influenced by holidays or working days.</t>
    </r>
  </si>
  <si>
    <r>
      <t>Weather Conditions (Cloudy, Rain)</t>
    </r>
    <r>
      <rPr>
        <sz val="11"/>
        <color theme="1"/>
        <rFont val="Calibri"/>
        <family val="2"/>
        <scheme val="minor"/>
      </rPr>
      <t>:</t>
    </r>
  </si>
  <si>
    <r>
      <t>Cloudy</t>
    </r>
    <r>
      <rPr>
        <sz val="11"/>
        <color theme="1"/>
        <rFont val="Calibri"/>
        <family val="2"/>
        <scheme val="minor"/>
      </rPr>
      <t xml:space="preserve"> (0.057) and </t>
    </r>
    <r>
      <rPr>
        <sz val="10"/>
        <color theme="1"/>
        <rFont val="Arial Unicode MS"/>
      </rPr>
      <t>Rain</t>
    </r>
    <r>
      <rPr>
        <sz val="11"/>
        <color theme="1"/>
        <rFont val="Calibri"/>
        <family val="2"/>
        <scheme val="minor"/>
      </rPr>
      <t xml:space="preserve"> (0.051) both have very weak positive correlations with </t>
    </r>
    <r>
      <rPr>
        <sz val="10"/>
        <color theme="1"/>
        <rFont val="Arial Unicode MS"/>
      </rPr>
      <t>BikeHired</t>
    </r>
    <r>
      <rPr>
        <sz val="11"/>
        <color theme="1"/>
        <rFont val="Calibri"/>
        <family val="2"/>
        <scheme val="minor"/>
      </rPr>
      <t>, implying weather conditions have little influence on bike hires.</t>
    </r>
  </si>
  <si>
    <r>
      <t>Quiet, Modest, Busy (Levels of Activity)</t>
    </r>
    <r>
      <rPr>
        <sz val="11"/>
        <color theme="1"/>
        <rFont val="Calibri"/>
        <family val="2"/>
        <scheme val="minor"/>
      </rPr>
      <t>:</t>
    </r>
  </si>
  <si>
    <r>
      <t>Quiet</t>
    </r>
    <r>
      <rPr>
        <sz val="11"/>
        <color theme="1"/>
        <rFont val="Calibri"/>
        <family val="2"/>
        <scheme val="minor"/>
      </rPr>
      <t xml:space="preserve"> has a strong negative correlation (-0.776) with </t>
    </r>
    <r>
      <rPr>
        <sz val="10"/>
        <color theme="1"/>
        <rFont val="Arial Unicode MS"/>
      </rPr>
      <t>BikeHired</t>
    </r>
    <r>
      <rPr>
        <sz val="11"/>
        <color theme="1"/>
        <rFont val="Calibri"/>
        <family val="2"/>
        <scheme val="minor"/>
      </rPr>
      <t>, meaning quieter periods see much lower bike hire demand.</t>
    </r>
  </si>
  <si>
    <r>
      <t>Modest</t>
    </r>
    <r>
      <rPr>
        <sz val="11"/>
        <color theme="1"/>
        <rFont val="Calibri"/>
        <family val="2"/>
        <scheme val="minor"/>
      </rPr>
      <t xml:space="preserve"> (-0.274) shows a weak negative correlation, suggesting that modest activity also leads to slightly lower bike hires.</t>
    </r>
  </si>
  <si>
    <r>
      <t>Busy</t>
    </r>
    <r>
      <rPr>
        <sz val="11"/>
        <color theme="1"/>
        <rFont val="Calibri"/>
        <family val="2"/>
        <scheme val="minor"/>
      </rPr>
      <t xml:space="preserve"> (0.470) has a moderate positive correlation, meaning busier periods tend to have higher bike hire demand.</t>
    </r>
  </si>
  <si>
    <r>
      <t>Temperature (Temp)</t>
    </r>
    <r>
      <rPr>
        <sz val="11"/>
        <color theme="1"/>
        <rFont val="Calibri"/>
        <family val="2"/>
        <scheme val="minor"/>
      </rPr>
      <t>:</t>
    </r>
  </si>
  <si>
    <r>
      <t>Temp</t>
    </r>
    <r>
      <rPr>
        <sz val="11"/>
        <color theme="1"/>
        <rFont val="Calibri"/>
        <family val="2"/>
        <scheme val="minor"/>
      </rPr>
      <t xml:space="preserve"> has a strong positive correlation (0.771) with </t>
    </r>
    <r>
      <rPr>
        <sz val="10"/>
        <color theme="1"/>
        <rFont val="Arial Unicode MS"/>
      </rPr>
      <t>BikeHired</t>
    </r>
    <r>
      <rPr>
        <sz val="11"/>
        <color theme="1"/>
        <rFont val="Calibri"/>
        <family val="2"/>
        <scheme val="minor"/>
      </rPr>
      <t>, suggesting that higher temperatures significantly boost bike hire demand.</t>
    </r>
  </si>
  <si>
    <r>
      <t>Humidity and WindSpeed</t>
    </r>
    <r>
      <rPr>
        <sz val="11"/>
        <color theme="1"/>
        <rFont val="Calibri"/>
        <family val="2"/>
        <scheme val="minor"/>
      </rPr>
      <t>:</t>
    </r>
  </si>
  <si>
    <r>
      <t>Humidity</t>
    </r>
    <r>
      <rPr>
        <sz val="11"/>
        <color theme="1"/>
        <rFont val="Calibri"/>
        <family val="2"/>
        <scheme val="minor"/>
      </rPr>
      <t xml:space="preserve"> (-0.081) has a very weak negative correlation, implying that changes in humidity don’t significantly affect bike hires.</t>
    </r>
  </si>
  <si>
    <r>
      <t>WindSpeed</t>
    </r>
    <r>
      <rPr>
        <sz val="11"/>
        <color theme="1"/>
        <rFont val="Calibri"/>
        <family val="2"/>
        <scheme val="minor"/>
      </rPr>
      <t xml:space="preserve"> (0.137) has a weak positive correlation, indicating that higher wind speeds are slightly associated with more bike hires.</t>
    </r>
  </si>
  <si>
    <t>this indicates a narrower range within which the true mean of the predicted Bike Hired value lies, with 95% confidence.</t>
  </si>
  <si>
    <t>correlation coefficient-</t>
  </si>
  <si>
    <t>(very )strong positive correlation- as the set of significant IV's , in combination increases, the DV (BikeHired), will almost always increases increases(decreases) the DV (BikeHired)will almost always increase and by a similar proportion</t>
  </si>
  <si>
    <t>coefficient of determination</t>
  </si>
  <si>
    <t>adj coefficient of determination</t>
  </si>
  <si>
    <t>..and conclude that we have sufficient evidence that the overall model is "significant"</t>
  </si>
  <si>
    <t>..that at least one of the IV's is "significant"</t>
  </si>
  <si>
    <t xml:space="preserve">induvial IV level </t>
  </si>
  <si>
    <t>..and conclude that we have sufficient evidence that the induvial IV is "significant"</t>
  </si>
  <si>
    <t>correlation coefficient</t>
  </si>
  <si>
    <t>(descriptive statistics analytics is performed to dervive more insights and to gain better understanding)</t>
  </si>
  <si>
    <r>
      <t>WindSpeed</t>
    </r>
    <r>
      <rPr>
        <sz val="12"/>
        <color theme="1"/>
        <rFont val="Calibri"/>
        <family val="2"/>
        <scheme val="minor"/>
      </rPr>
      <t xml:space="preserve"> (0.137) has a weak positive correlation, indicating that higher wind speeds are slightly associated with more bike hires.</t>
    </r>
  </si>
  <si>
    <t>(very) strong determination - over 90% of the change in the DV(BikeHired) is explained by (due) to  changes in (all) the IV's (less than 10% of the variation in the DV is due to other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</si>
</sst>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0"/>
    <numFmt numFmtId="166" formatCode="0.000"/>
    <numFmt numFmtId="167" formatCode="0.0"/>
    <numFmt numFmtId="168" formatCode="#,##0.0000"/>
  </numFmts>
  <fonts count="44">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4"/>
      <color theme="5"/>
      <name val="Aptos Black"/>
      <family val="2"/>
    </font>
    <font>
      <b/>
      <sz val="14"/>
      <color theme="1"/>
      <name val="Calibri"/>
      <family val="2"/>
      <scheme val="minor"/>
    </font>
    <font>
      <sz val="14"/>
      <color theme="1"/>
      <name val="Calibri"/>
      <family val="2"/>
      <scheme val="minor"/>
    </font>
    <font>
      <sz val="14"/>
      <color theme="1"/>
      <name val="Calibri"/>
      <family val="2"/>
    </font>
    <font>
      <sz val="12"/>
      <color rgb="FF000000"/>
      <name val="Calibri"/>
      <family val="2"/>
      <scheme val="minor"/>
    </font>
    <font>
      <sz val="12"/>
      <color rgb="FF000000"/>
      <name val="Symbol"/>
      <family val="1"/>
      <charset val="2"/>
    </font>
    <font>
      <sz val="7"/>
      <color rgb="FF000000"/>
      <name val="Times New Roman"/>
      <family val="1"/>
    </font>
    <font>
      <i/>
      <sz val="11"/>
      <color theme="1"/>
      <name val="Calibri"/>
      <family val="2"/>
      <scheme val="minor"/>
    </font>
    <font>
      <b/>
      <sz val="14"/>
      <color rgb="FFC00000"/>
      <name val="Calibri"/>
      <family val="2"/>
      <scheme val="minor"/>
    </font>
    <font>
      <sz val="14"/>
      <color rgb="FFFF0000"/>
      <name val="Calibri"/>
      <family val="2"/>
      <scheme val="minor"/>
    </font>
    <font>
      <i/>
      <sz val="14"/>
      <color theme="8" tint="-0.249977111117893"/>
      <name val="Calibri"/>
      <family val="2"/>
      <scheme val="minor"/>
    </font>
    <font>
      <sz val="14"/>
      <name val="Calibri"/>
      <family val="2"/>
      <scheme val="minor"/>
    </font>
    <font>
      <b/>
      <sz val="14"/>
      <name val="Calibri"/>
      <family val="2"/>
      <scheme val="minor"/>
    </font>
    <font>
      <b/>
      <sz val="14"/>
      <color rgb="FFFF0000"/>
      <name val="Calibri"/>
      <family val="2"/>
      <scheme val="minor"/>
    </font>
    <font>
      <sz val="14"/>
      <color rgb="FF4472C4"/>
      <name val="Calibri"/>
      <family val="2"/>
      <scheme val="minor"/>
    </font>
    <font>
      <i/>
      <sz val="12"/>
      <color theme="1"/>
      <name val="Calibri"/>
      <family val="2"/>
      <scheme val="minor"/>
    </font>
    <font>
      <sz val="14"/>
      <color theme="4"/>
      <name val="Calibri"/>
      <family val="2"/>
      <scheme val="minor"/>
    </font>
    <font>
      <u/>
      <sz val="14"/>
      <color rgb="FF4472C4"/>
      <name val="Calibri"/>
      <family val="2"/>
      <scheme val="minor"/>
    </font>
    <font>
      <b/>
      <sz val="12"/>
      <color theme="1"/>
      <name val="Calibri"/>
      <family val="2"/>
      <scheme val="minor"/>
    </font>
    <font>
      <sz val="12"/>
      <color rgb="FFFF0000"/>
      <name val="Calibri"/>
      <family val="2"/>
      <scheme val="minor"/>
    </font>
    <font>
      <i/>
      <sz val="12"/>
      <color theme="8" tint="-0.249977111117893"/>
      <name val="Calibri"/>
      <family val="2"/>
      <scheme val="minor"/>
    </font>
    <font>
      <sz val="12"/>
      <name val="Calibri"/>
      <family val="2"/>
      <scheme val="minor"/>
    </font>
    <font>
      <vertAlign val="subscript"/>
      <sz val="12"/>
      <name val="Calibri"/>
      <family val="2"/>
      <scheme val="minor"/>
    </font>
    <font>
      <sz val="12"/>
      <name val="Arial"/>
      <family val="2"/>
    </font>
    <font>
      <strike/>
      <sz val="11"/>
      <color theme="1"/>
      <name val="Calibri"/>
      <family val="2"/>
      <scheme val="minor"/>
    </font>
    <font>
      <b/>
      <i/>
      <sz val="11"/>
      <color theme="1"/>
      <name val="Calibri"/>
      <family val="2"/>
      <scheme val="minor"/>
    </font>
    <font>
      <sz val="8"/>
      <name val="Calibri"/>
      <family val="2"/>
      <scheme val="minor"/>
    </font>
    <font>
      <u/>
      <sz val="12"/>
      <name val="Arial"/>
      <family val="2"/>
    </font>
    <font>
      <b/>
      <sz val="12"/>
      <name val="Arial"/>
      <family val="2"/>
    </font>
    <font>
      <sz val="12"/>
      <name val="Aptos Narrow"/>
      <family val="2"/>
    </font>
    <font>
      <b/>
      <u/>
      <sz val="11"/>
      <color theme="1"/>
      <name val="Calibri"/>
      <family val="2"/>
      <scheme val="minor"/>
    </font>
    <font>
      <u/>
      <sz val="10"/>
      <color theme="1"/>
      <name val="Calibri"/>
      <family val="2"/>
      <scheme val="minor"/>
    </font>
    <font>
      <sz val="10"/>
      <color theme="1"/>
      <name val="Calibri"/>
      <family val="2"/>
      <scheme val="minor"/>
    </font>
    <font>
      <sz val="10"/>
      <name val="Arial"/>
      <family val="2"/>
    </font>
    <font>
      <sz val="7"/>
      <color theme="1"/>
      <name val="Arial"/>
      <family val="2"/>
    </font>
    <font>
      <b/>
      <sz val="18"/>
      <color theme="1"/>
      <name val="Calibri"/>
      <family val="2"/>
      <scheme val="minor"/>
    </font>
    <font>
      <i/>
      <sz val="14"/>
      <name val="Calibri"/>
      <family val="2"/>
      <scheme val="minor"/>
    </font>
    <font>
      <sz val="10"/>
      <color theme="1"/>
      <name val="Arial Unicode MS"/>
    </font>
    <font>
      <sz val="8"/>
      <color theme="1"/>
      <name val="Calibri"/>
      <family val="2"/>
      <scheme val="minor"/>
    </font>
    <font>
      <sz val="12"/>
      <color theme="1"/>
      <name val="Arial Unicode MS"/>
    </font>
  </fonts>
  <fills count="13">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s>
  <borders count="46">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indexed="64"/>
      </left>
      <right/>
      <top style="hair">
        <color auto="1"/>
      </top>
      <bottom style="thin">
        <color indexed="64"/>
      </bottom>
      <diagonal/>
    </border>
    <border>
      <left style="hair">
        <color auto="1"/>
      </left>
      <right/>
      <top style="hair">
        <color auto="1"/>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right style="thin">
        <color indexed="64"/>
      </right>
      <top/>
      <bottom/>
      <diagonal/>
    </border>
    <border>
      <left/>
      <right style="hair">
        <color auto="1"/>
      </right>
      <top/>
      <bottom/>
      <diagonal/>
    </border>
    <border>
      <left style="hair">
        <color auto="1"/>
      </left>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auto="1"/>
      </right>
      <top style="hair">
        <color indexed="64"/>
      </top>
      <bottom style="hair">
        <color indexed="64"/>
      </bottom>
      <diagonal/>
    </border>
    <border>
      <left style="hair">
        <color auto="1"/>
      </left>
      <right/>
      <top style="hair">
        <color indexed="64"/>
      </top>
      <bottom style="hair">
        <color indexed="64"/>
      </bottom>
      <diagonal/>
    </border>
    <border>
      <left/>
      <right style="hair">
        <color auto="1"/>
      </right>
      <top/>
      <bottom style="thin">
        <color indexed="64"/>
      </bottom>
      <diagonal/>
    </border>
    <border>
      <left/>
      <right style="hair">
        <color auto="1"/>
      </right>
      <top style="hair">
        <color auto="1"/>
      </top>
      <bottom style="thin">
        <color indexed="64"/>
      </bottom>
      <diagonal/>
    </border>
    <border>
      <left style="hair">
        <color auto="1"/>
      </left>
      <right/>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8">
    <xf numFmtId="0" fontId="0" fillId="0" borderId="0"/>
    <xf numFmtId="0" fontId="1" fillId="0" borderId="0"/>
    <xf numFmtId="0" fontId="3" fillId="0" borderId="0"/>
    <xf numFmtId="9" fontId="1" fillId="0" borderId="0" applyFont="0" applyFill="0" applyBorder="0" applyAlignment="0" applyProtection="0"/>
    <xf numFmtId="9" fontId="3"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cellStyleXfs>
  <cellXfs count="470">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4" fillId="0" borderId="0" xfId="0" applyFont="1"/>
    <xf numFmtId="0" fontId="5" fillId="0" borderId="0" xfId="0" applyFont="1"/>
    <xf numFmtId="0" fontId="6" fillId="0" borderId="0" xfId="0" applyFont="1"/>
    <xf numFmtId="0" fontId="7" fillId="0" borderId="0" xfId="0" applyFont="1" applyAlignment="1">
      <alignment vertical="center" wrapText="1"/>
    </xf>
    <xf numFmtId="0" fontId="7" fillId="0" borderId="0" xfId="0" applyFont="1" applyAlignment="1">
      <alignment vertical="center"/>
    </xf>
    <xf numFmtId="0" fontId="2" fillId="2" borderId="0" xfId="0" applyFont="1" applyFill="1" applyAlignment="1">
      <alignment horizontal="center" vertical="center"/>
    </xf>
    <xf numFmtId="0" fontId="0" fillId="0" borderId="0" xfId="0" applyAlignment="1">
      <alignment horizontal="center"/>
    </xf>
    <xf numFmtId="1" fontId="0" fillId="0" borderId="0" xfId="0" applyNumberFormat="1" applyAlignment="1">
      <alignment horizontal="center"/>
    </xf>
    <xf numFmtId="0" fontId="9" fillId="0" borderId="0" xfId="0" applyFont="1" applyAlignment="1">
      <alignment horizontal="left" vertical="center" indent="4"/>
    </xf>
    <xf numFmtId="4" fontId="5" fillId="0" borderId="0" xfId="1" applyNumberFormat="1" applyFont="1" applyAlignment="1">
      <alignment horizontal="left" vertical="center"/>
    </xf>
    <xf numFmtId="0" fontId="6" fillId="0" borderId="0" xfId="1" applyFont="1" applyAlignment="1">
      <alignment horizontal="center" vertical="center"/>
    </xf>
    <xf numFmtId="4" fontId="12" fillId="0" borderId="0" xfId="1" applyNumberFormat="1" applyFont="1" applyAlignment="1">
      <alignment horizontal="left" vertical="center"/>
    </xf>
    <xf numFmtId="4" fontId="6" fillId="0" borderId="0" xfId="1" applyNumberFormat="1" applyFont="1" applyAlignment="1">
      <alignment horizontal="center" vertical="center"/>
    </xf>
    <xf numFmtId="0" fontId="5" fillId="0" borderId="0" xfId="1" applyFont="1" applyAlignment="1">
      <alignment horizontal="center" vertical="center"/>
    </xf>
    <xf numFmtId="4" fontId="5" fillId="0" borderId="2" xfId="1" applyNumberFormat="1" applyFont="1" applyBorder="1" applyAlignment="1">
      <alignment horizontal="left" vertical="center"/>
    </xf>
    <xf numFmtId="4" fontId="5" fillId="0" borderId="3" xfId="1" applyNumberFormat="1" applyFont="1" applyBorder="1" applyAlignment="1">
      <alignment horizontal="center" vertical="center"/>
    </xf>
    <xf numFmtId="4" fontId="5" fillId="0" borderId="3" xfId="1" applyNumberFormat="1" applyFont="1" applyBorder="1" applyAlignment="1">
      <alignment horizontal="left" vertical="center"/>
    </xf>
    <xf numFmtId="4" fontId="5" fillId="0" borderId="4" xfId="1" applyNumberFormat="1" applyFont="1" applyBorder="1" applyAlignment="1">
      <alignment horizontal="center" vertical="center"/>
    </xf>
    <xf numFmtId="4" fontId="5" fillId="0" borderId="0" xfId="1" applyNumberFormat="1" applyFont="1" applyAlignment="1">
      <alignment horizontal="center" vertical="center"/>
    </xf>
    <xf numFmtId="4" fontId="6" fillId="0" borderId="0" xfId="1" applyNumberFormat="1" applyFont="1" applyAlignment="1">
      <alignment horizontal="left" vertical="center"/>
    </xf>
    <xf numFmtId="4" fontId="6" fillId="0" borderId="5" xfId="1" applyNumberFormat="1" applyFont="1" applyBorder="1" applyAlignment="1">
      <alignment horizontal="left" vertical="center"/>
    </xf>
    <xf numFmtId="4" fontId="13" fillId="0" borderId="0" xfId="1" applyNumberFormat="1" applyFont="1" applyAlignment="1">
      <alignment horizontal="center" vertical="center"/>
    </xf>
    <xf numFmtId="4" fontId="6" fillId="0" borderId="6" xfId="1" applyNumberFormat="1" applyFont="1" applyBorder="1" applyAlignment="1">
      <alignment horizontal="center" vertical="center"/>
    </xf>
    <xf numFmtId="0" fontId="6" fillId="0" borderId="0" xfId="1" applyFont="1" applyAlignment="1">
      <alignment horizontal="center" vertical="center" wrapText="1"/>
    </xf>
    <xf numFmtId="4" fontId="14" fillId="0" borderId="0" xfId="1" applyNumberFormat="1" applyFont="1" applyAlignment="1">
      <alignment horizontal="left" vertical="center"/>
    </xf>
    <xf numFmtId="4" fontId="15" fillId="0" borderId="0" xfId="1" applyNumberFormat="1" applyFont="1" applyAlignment="1">
      <alignment vertical="center"/>
    </xf>
    <xf numFmtId="4" fontId="15" fillId="0" borderId="5" xfId="1" applyNumberFormat="1" applyFont="1" applyBorder="1" applyAlignment="1">
      <alignment vertical="center"/>
    </xf>
    <xf numFmtId="0" fontId="16" fillId="0" borderId="0" xfId="1" quotePrefix="1" applyFont="1" applyAlignment="1">
      <alignment horizontal="center" vertical="center"/>
    </xf>
    <xf numFmtId="0" fontId="15" fillId="0" borderId="6" xfId="1" quotePrefix="1" applyFont="1" applyBorder="1" applyAlignment="1">
      <alignment horizontal="center" vertical="center"/>
    </xf>
    <xf numFmtId="0" fontId="15" fillId="0" borderId="0" xfId="1" quotePrefix="1" applyFont="1" applyAlignment="1">
      <alignment horizontal="center" vertical="center"/>
    </xf>
    <xf numFmtId="4" fontId="16" fillId="0" borderId="13" xfId="1" applyNumberFormat="1" applyFont="1" applyBorder="1" applyAlignment="1">
      <alignment vertical="center"/>
    </xf>
    <xf numFmtId="4" fontId="16" fillId="0" borderId="14" xfId="1" applyNumberFormat="1" applyFont="1" applyBorder="1" applyAlignment="1">
      <alignment vertical="center"/>
    </xf>
    <xf numFmtId="4" fontId="16" fillId="0" borderId="15" xfId="1" applyNumberFormat="1" applyFont="1" applyBorder="1" applyAlignment="1">
      <alignment vertical="center"/>
    </xf>
    <xf numFmtId="4" fontId="16" fillId="0" borderId="16" xfId="1" applyNumberFormat="1" applyFont="1" applyBorder="1" applyAlignment="1">
      <alignment vertical="center"/>
    </xf>
    <xf numFmtId="4" fontId="16" fillId="0" borderId="0" xfId="1" applyNumberFormat="1" applyFont="1" applyAlignment="1">
      <alignment horizontal="center" vertical="center"/>
    </xf>
    <xf numFmtId="4" fontId="15" fillId="0" borderId="6" xfId="1" applyNumberFormat="1" applyFont="1" applyBorder="1" applyAlignment="1">
      <alignment horizontal="center" vertical="center"/>
    </xf>
    <xf numFmtId="4" fontId="15" fillId="0" borderId="0" xfId="1" applyNumberFormat="1" applyFont="1" applyAlignment="1">
      <alignment horizontal="center" vertical="center"/>
    </xf>
    <xf numFmtId="0" fontId="15" fillId="0" borderId="0" xfId="1" applyFont="1" applyAlignment="1">
      <alignment horizontal="center" vertical="center"/>
    </xf>
    <xf numFmtId="164" fontId="15" fillId="0" borderId="19" xfId="1" applyNumberFormat="1" applyFont="1" applyBorder="1" applyAlignment="1">
      <alignment vertical="center"/>
    </xf>
    <xf numFmtId="164" fontId="15" fillId="0" borderId="20" xfId="1" applyNumberFormat="1" applyFont="1" applyBorder="1" applyAlignment="1">
      <alignment vertical="center"/>
    </xf>
    <xf numFmtId="0" fontId="15" fillId="0" borderId="0" xfId="1" applyFont="1" applyAlignment="1">
      <alignment vertical="center"/>
    </xf>
    <xf numFmtId="0" fontId="15" fillId="0" borderId="18" xfId="1" applyFont="1" applyBorder="1" applyAlignment="1">
      <alignment vertical="center"/>
    </xf>
    <xf numFmtId="0" fontId="15" fillId="0" borderId="6" xfId="1" applyFont="1" applyBorder="1" applyAlignment="1">
      <alignment horizontal="center" vertical="center"/>
    </xf>
    <xf numFmtId="164" fontId="15" fillId="0" borderId="24" xfId="1" applyNumberFormat="1" applyFont="1" applyBorder="1" applyAlignment="1">
      <alignment vertical="center"/>
    </xf>
    <xf numFmtId="164" fontId="15" fillId="0" borderId="25" xfId="1" applyNumberFormat="1" applyFont="1" applyBorder="1" applyAlignment="1">
      <alignment vertical="center"/>
    </xf>
    <xf numFmtId="0" fontId="15" fillId="0" borderId="25" xfId="1" applyFont="1" applyBorder="1" applyAlignment="1">
      <alignment vertical="center"/>
    </xf>
    <xf numFmtId="0" fontId="15" fillId="0" borderId="24" xfId="1" applyFont="1" applyBorder="1" applyAlignment="1">
      <alignment vertical="center"/>
    </xf>
    <xf numFmtId="0" fontId="15" fillId="0" borderId="22" xfId="1" applyFont="1" applyBorder="1" applyAlignment="1">
      <alignment vertical="center"/>
    </xf>
    <xf numFmtId="0" fontId="15" fillId="0" borderId="23" xfId="1" applyFont="1" applyBorder="1" applyAlignment="1">
      <alignment vertical="center"/>
    </xf>
    <xf numFmtId="0" fontId="15" fillId="0" borderId="20" xfId="1" applyFont="1" applyBorder="1" applyAlignment="1">
      <alignment vertical="center"/>
    </xf>
    <xf numFmtId="0" fontId="15" fillId="0" borderId="19" xfId="1" applyFont="1" applyBorder="1" applyAlignment="1">
      <alignment vertical="center"/>
    </xf>
    <xf numFmtId="0" fontId="6" fillId="0" borderId="10" xfId="1" applyFont="1" applyBorder="1" applyAlignment="1">
      <alignment vertical="center"/>
    </xf>
    <xf numFmtId="0" fontId="6" fillId="0" borderId="26" xfId="1" applyFont="1" applyBorder="1" applyAlignment="1">
      <alignment vertical="center"/>
    </xf>
    <xf numFmtId="0" fontId="6" fillId="0" borderId="14" xfId="1" applyFont="1" applyBorder="1" applyAlignment="1">
      <alignment vertical="center"/>
    </xf>
    <xf numFmtId="0" fontId="6" fillId="0" borderId="27" xfId="1" applyFont="1" applyBorder="1" applyAlignment="1">
      <alignment vertical="center"/>
    </xf>
    <xf numFmtId="0" fontId="6" fillId="0" borderId="28" xfId="1" applyFont="1" applyBorder="1" applyAlignment="1">
      <alignment vertical="center"/>
    </xf>
    <xf numFmtId="0" fontId="6" fillId="0" borderId="11" xfId="1" applyFont="1" applyBorder="1" applyAlignment="1">
      <alignment vertical="center"/>
    </xf>
    <xf numFmtId="0" fontId="6" fillId="0" borderId="12" xfId="1" applyFont="1" applyBorder="1" applyAlignment="1">
      <alignment vertical="center"/>
    </xf>
    <xf numFmtId="0" fontId="6" fillId="0" borderId="6" xfId="1" applyFont="1" applyBorder="1" applyAlignment="1">
      <alignment horizontal="left" vertical="center"/>
    </xf>
    <xf numFmtId="0" fontId="6" fillId="0" borderId="0" xfId="1" applyFont="1" applyAlignment="1">
      <alignment horizontal="left" vertical="center"/>
    </xf>
    <xf numFmtId="0" fontId="6" fillId="0" borderId="6" xfId="1" applyFont="1" applyBorder="1" applyAlignment="1">
      <alignment horizontal="center" vertical="center"/>
    </xf>
    <xf numFmtId="0" fontId="17" fillId="0" borderId="0" xfId="1" applyFont="1" applyAlignment="1">
      <alignment horizontal="left" vertical="center"/>
    </xf>
    <xf numFmtId="0" fontId="16" fillId="0" borderId="0" xfId="1" applyFont="1" applyAlignment="1">
      <alignment horizontal="center" vertical="center" wrapText="1"/>
    </xf>
    <xf numFmtId="0" fontId="15" fillId="0" borderId="6" xfId="1" applyFont="1" applyBorder="1" applyAlignment="1">
      <alignment vertical="center"/>
    </xf>
    <xf numFmtId="4" fontId="15" fillId="0" borderId="0" xfId="1" applyNumberFormat="1" applyFont="1" applyAlignment="1">
      <alignment horizontal="left" vertical="center"/>
    </xf>
    <xf numFmtId="4" fontId="15" fillId="0" borderId="34" xfId="1" applyNumberFormat="1" applyFont="1" applyBorder="1" applyAlignment="1">
      <alignment horizontal="left" vertical="center"/>
    </xf>
    <xf numFmtId="4" fontId="15" fillId="0" borderId="1" xfId="1" applyNumberFormat="1" applyFont="1" applyBorder="1" applyAlignment="1">
      <alignment horizontal="left" vertical="center"/>
    </xf>
    <xf numFmtId="4" fontId="15" fillId="0" borderId="35" xfId="1" applyNumberFormat="1" applyFont="1" applyBorder="1" applyAlignment="1">
      <alignment horizontal="left" vertical="center"/>
    </xf>
    <xf numFmtId="0" fontId="18" fillId="0" borderId="0" xfId="1" applyFont="1" applyAlignment="1">
      <alignment vertical="center"/>
    </xf>
    <xf numFmtId="166" fontId="19" fillId="0" borderId="2" xfId="0" applyNumberFormat="1" applyFont="1" applyBorder="1" applyAlignment="1">
      <alignment horizontal="center" wrapText="1"/>
    </xf>
    <xf numFmtId="166" fontId="19" fillId="0" borderId="3" xfId="0" applyNumberFormat="1" applyFont="1" applyBorder="1" applyAlignment="1">
      <alignment horizontal="left" wrapText="1"/>
    </xf>
    <xf numFmtId="1" fontId="19" fillId="0" borderId="3" xfId="0" applyNumberFormat="1" applyFont="1" applyBorder="1" applyAlignment="1">
      <alignment horizontal="left" wrapText="1"/>
    </xf>
    <xf numFmtId="0" fontId="6" fillId="0" borderId="3" xfId="1" applyFont="1" applyBorder="1" applyAlignment="1">
      <alignment horizontal="center" vertical="center"/>
    </xf>
    <xf numFmtId="0" fontId="6" fillId="0" borderId="4" xfId="1" applyFont="1" applyBorder="1" applyAlignment="1">
      <alignment horizontal="center" vertical="center"/>
    </xf>
    <xf numFmtId="166" fontId="0" fillId="0" borderId="5" xfId="0" applyNumberFormat="1" applyBorder="1"/>
    <xf numFmtId="166" fontId="0" fillId="0" borderId="0" xfId="0" applyNumberFormat="1"/>
    <xf numFmtId="1" fontId="0" fillId="0" borderId="0" xfId="0" applyNumberFormat="1"/>
    <xf numFmtId="167" fontId="0" fillId="0" borderId="0" xfId="0" applyNumberFormat="1"/>
    <xf numFmtId="164" fontId="2" fillId="0" borderId="0" xfId="1" applyNumberFormat="1" applyFont="1" applyAlignment="1">
      <alignment horizontal="center" vertical="center" wrapText="1"/>
    </xf>
    <xf numFmtId="164" fontId="2" fillId="0" borderId="6" xfId="1" applyNumberFormat="1" applyFont="1" applyBorder="1" applyAlignment="1">
      <alignment horizontal="center" vertical="center" wrapText="1"/>
    </xf>
    <xf numFmtId="4" fontId="11" fillId="0" borderId="0" xfId="1" applyNumberFormat="1" applyFont="1" applyAlignment="1">
      <alignment horizontal="center" vertical="center"/>
    </xf>
    <xf numFmtId="4" fontId="1" fillId="0" borderId="6" xfId="1" applyNumberFormat="1" applyBorder="1" applyAlignment="1">
      <alignment horizontal="center" vertical="center"/>
    </xf>
    <xf numFmtId="4" fontId="1" fillId="0" borderId="0" xfId="1" applyNumberFormat="1" applyAlignment="1">
      <alignment horizontal="center" vertical="center"/>
    </xf>
    <xf numFmtId="0" fontId="6" fillId="0" borderId="5" xfId="1" applyFont="1" applyBorder="1" applyAlignment="1">
      <alignment horizontal="center" vertical="center"/>
    </xf>
    <xf numFmtId="2" fontId="6" fillId="0" borderId="0" xfId="1" applyNumberFormat="1" applyFont="1" applyAlignment="1">
      <alignment horizontal="center" vertical="center"/>
    </xf>
    <xf numFmtId="4" fontId="6" fillId="0" borderId="0" xfId="1" applyNumberFormat="1" applyFont="1" applyAlignment="1">
      <alignment horizontal="right" vertical="center"/>
    </xf>
    <xf numFmtId="0" fontId="6" fillId="0" borderId="34" xfId="1" applyFont="1" applyBorder="1" applyAlignment="1">
      <alignment horizontal="center" vertical="center"/>
    </xf>
    <xf numFmtId="0" fontId="6" fillId="0" borderId="1" xfId="1" applyFont="1" applyBorder="1" applyAlignment="1">
      <alignment horizontal="center" vertical="center"/>
    </xf>
    <xf numFmtId="0" fontId="6" fillId="0" borderId="35" xfId="1" applyFont="1" applyBorder="1" applyAlignment="1">
      <alignment horizontal="center" vertical="center"/>
    </xf>
    <xf numFmtId="0" fontId="20" fillId="0" borderId="0" xfId="1" applyFont="1" applyAlignment="1">
      <alignment vertical="center"/>
    </xf>
    <xf numFmtId="0" fontId="20" fillId="0" borderId="0" xfId="1" applyFont="1" applyAlignment="1">
      <alignment horizontal="center" vertical="center"/>
    </xf>
    <xf numFmtId="0" fontId="6" fillId="0" borderId="2" xfId="1" applyFont="1" applyBorder="1" applyAlignment="1">
      <alignment horizontal="center" vertical="center"/>
    </xf>
    <xf numFmtId="3" fontId="6" fillId="0" borderId="0" xfId="1" applyNumberFormat="1" applyFont="1" applyAlignment="1">
      <alignment horizontal="center" vertical="center"/>
    </xf>
    <xf numFmtId="0" fontId="3" fillId="0" borderId="0" xfId="1" applyFont="1" applyAlignment="1">
      <alignment horizontal="center" vertical="center"/>
    </xf>
    <xf numFmtId="0" fontId="3" fillId="0" borderId="0" xfId="1" applyFont="1" applyAlignment="1">
      <alignment horizontal="left" vertical="center"/>
    </xf>
    <xf numFmtId="4" fontId="2" fillId="0" borderId="0" xfId="1" applyNumberFormat="1" applyFont="1" applyAlignment="1">
      <alignment horizontal="center" vertical="center" wrapText="1"/>
    </xf>
    <xf numFmtId="3" fontId="5" fillId="0" borderId="0" xfId="1" applyNumberFormat="1" applyFont="1" applyAlignment="1">
      <alignment horizontal="left" vertical="center"/>
    </xf>
    <xf numFmtId="3" fontId="6" fillId="0" borderId="0" xfId="1" applyNumberFormat="1" applyFont="1" applyAlignment="1">
      <alignment horizontal="left" vertical="center"/>
    </xf>
    <xf numFmtId="3" fontId="12" fillId="0" borderId="0" xfId="1" applyNumberFormat="1" applyFont="1" applyAlignment="1">
      <alignment horizontal="left" vertical="center"/>
    </xf>
    <xf numFmtId="3" fontId="1" fillId="0" borderId="0" xfId="1" applyNumberFormat="1" applyAlignment="1">
      <alignment horizontal="center" vertical="center"/>
    </xf>
    <xf numFmtId="4" fontId="5" fillId="0" borderId="0" xfId="1" applyNumberFormat="1" applyFont="1" applyAlignment="1">
      <alignment horizontal="right" vertical="center"/>
    </xf>
    <xf numFmtId="4" fontId="3" fillId="0" borderId="0" xfId="1" applyNumberFormat="1" applyFont="1" applyAlignment="1">
      <alignment horizontal="left" vertical="center"/>
    </xf>
    <xf numFmtId="4" fontId="3" fillId="0" borderId="2" xfId="1" applyNumberFormat="1" applyFont="1" applyBorder="1" applyAlignment="1">
      <alignment horizontal="left" vertical="center"/>
    </xf>
    <xf numFmtId="4" fontId="3" fillId="0" borderId="3" xfId="1" applyNumberFormat="1" applyFont="1" applyBorder="1" applyAlignment="1">
      <alignment horizontal="center" vertical="center"/>
    </xf>
    <xf numFmtId="4" fontId="3" fillId="0" borderId="3" xfId="1" applyNumberFormat="1" applyFont="1" applyBorder="1" applyAlignment="1">
      <alignment horizontal="left" vertical="center"/>
    </xf>
    <xf numFmtId="4" fontId="3" fillId="0" borderId="4" xfId="1" applyNumberFormat="1" applyFont="1" applyBorder="1" applyAlignment="1">
      <alignment horizontal="center" vertical="center"/>
    </xf>
    <xf numFmtId="4" fontId="3" fillId="0" borderId="5" xfId="1" applyNumberFormat="1" applyFont="1" applyBorder="1" applyAlignment="1">
      <alignment horizontal="left" vertical="center"/>
    </xf>
    <xf numFmtId="4" fontId="22" fillId="0" borderId="0" xfId="1" applyNumberFormat="1" applyFont="1" applyAlignment="1">
      <alignment horizontal="left" vertical="center"/>
    </xf>
    <xf numFmtId="4" fontId="23" fillId="0" borderId="0" xfId="1" applyNumberFormat="1" applyFont="1" applyAlignment="1">
      <alignment horizontal="center" vertical="center"/>
    </xf>
    <xf numFmtId="4" fontId="3" fillId="0" borderId="0" xfId="1" applyNumberFormat="1" applyFont="1" applyAlignment="1">
      <alignment horizontal="center" vertical="center"/>
    </xf>
    <xf numFmtId="4" fontId="3" fillId="0" borderId="6" xfId="1" applyNumberFormat="1" applyFont="1" applyBorder="1" applyAlignment="1">
      <alignment horizontal="center" vertical="center"/>
    </xf>
    <xf numFmtId="4" fontId="24" fillId="0" borderId="0" xfId="1" applyNumberFormat="1" applyFont="1" applyAlignment="1">
      <alignment horizontal="left" vertical="center"/>
    </xf>
    <xf numFmtId="4" fontId="25" fillId="0" borderId="0" xfId="1" applyNumberFormat="1" applyFont="1" applyAlignment="1">
      <alignment vertical="center"/>
    </xf>
    <xf numFmtId="4" fontId="25" fillId="0" borderId="5" xfId="1" applyNumberFormat="1" applyFont="1" applyBorder="1" applyAlignment="1">
      <alignment vertical="center"/>
    </xf>
    <xf numFmtId="0" fontId="25" fillId="0" borderId="0" xfId="1" applyFont="1" applyAlignment="1">
      <alignment horizontal="center" vertical="center"/>
    </xf>
    <xf numFmtId="0" fontId="25" fillId="0" borderId="0" xfId="1" quotePrefix="1" applyFont="1" applyAlignment="1">
      <alignment horizontal="center" vertical="center"/>
    </xf>
    <xf numFmtId="0" fontId="25" fillId="0" borderId="0" xfId="1" applyFont="1" applyAlignment="1">
      <alignment vertical="center"/>
    </xf>
    <xf numFmtId="4" fontId="25" fillId="0" borderId="6" xfId="1" applyNumberFormat="1" applyFont="1" applyBorder="1" applyAlignment="1">
      <alignment vertical="center"/>
    </xf>
    <xf numFmtId="4" fontId="25" fillId="0" borderId="0" xfId="1" applyNumberFormat="1" applyFont="1" applyAlignment="1">
      <alignment horizontal="center" vertical="center"/>
    </xf>
    <xf numFmtId="168" fontId="25" fillId="0" borderId="0" xfId="1" applyNumberFormat="1" applyFont="1" applyAlignment="1">
      <alignment horizontal="center" vertical="center"/>
    </xf>
    <xf numFmtId="0" fontId="25" fillId="0" borderId="5" xfId="1" applyFont="1" applyBorder="1" applyAlignment="1">
      <alignment vertical="center"/>
    </xf>
    <xf numFmtId="0" fontId="25" fillId="0" borderId="6" xfId="1" applyFont="1" applyBorder="1" applyAlignment="1">
      <alignment vertical="center"/>
    </xf>
    <xf numFmtId="0" fontId="25" fillId="0" borderId="5" xfId="1" applyFont="1" applyBorder="1" applyAlignment="1">
      <alignment horizontal="left" vertical="center"/>
    </xf>
    <xf numFmtId="0" fontId="25" fillId="0" borderId="0" xfId="1" applyFont="1" applyAlignment="1">
      <alignment horizontal="left" vertical="center"/>
    </xf>
    <xf numFmtId="0" fontId="25" fillId="0" borderId="6" xfId="1" applyFont="1" applyBorder="1" applyAlignment="1">
      <alignment horizontal="left" vertical="center"/>
    </xf>
    <xf numFmtId="0" fontId="3" fillId="0" borderId="5" xfId="1" applyFont="1" applyBorder="1" applyAlignment="1">
      <alignment horizontal="left" vertical="center"/>
    </xf>
    <xf numFmtId="0" fontId="3" fillId="0" borderId="6" xfId="1" applyFont="1" applyBorder="1" applyAlignment="1">
      <alignment horizontal="center" vertical="center"/>
    </xf>
    <xf numFmtId="4" fontId="25" fillId="0" borderId="34" xfId="1" applyNumberFormat="1" applyFont="1" applyBorder="1" applyAlignment="1">
      <alignment horizontal="left" vertical="center"/>
    </xf>
    <xf numFmtId="4" fontId="25" fillId="0" borderId="1" xfId="1" applyNumberFormat="1" applyFont="1" applyBorder="1" applyAlignment="1">
      <alignment horizontal="left" vertical="center"/>
    </xf>
    <xf numFmtId="4" fontId="25" fillId="0" borderId="35" xfId="1" applyNumberFormat="1" applyFont="1" applyBorder="1" applyAlignment="1">
      <alignment horizontal="left" vertical="center"/>
    </xf>
    <xf numFmtId="0" fontId="27" fillId="0" borderId="3" xfId="1" applyFont="1" applyBorder="1" applyAlignment="1">
      <alignment horizontal="center" vertical="center"/>
    </xf>
    <xf numFmtId="0" fontId="27" fillId="0" borderId="4" xfId="1" applyFont="1" applyBorder="1" applyAlignment="1">
      <alignment horizontal="center" vertical="center"/>
    </xf>
    <xf numFmtId="0" fontId="27" fillId="0" borderId="0" xfId="1" applyFont="1" applyAlignment="1">
      <alignment horizontal="center" vertical="center"/>
    </xf>
    <xf numFmtId="0" fontId="27" fillId="0" borderId="6" xfId="1" applyFont="1" applyBorder="1" applyAlignment="1">
      <alignment horizontal="center" vertical="center"/>
    </xf>
    <xf numFmtId="4" fontId="2" fillId="0" borderId="0" xfId="1" applyNumberFormat="1" applyFont="1" applyAlignment="1">
      <alignment horizontal="center" vertical="center"/>
    </xf>
    <xf numFmtId="4" fontId="25" fillId="0" borderId="0" xfId="1" applyNumberFormat="1" applyFont="1" applyAlignment="1">
      <alignment horizontal="left" vertical="center"/>
    </xf>
    <xf numFmtId="4" fontId="3" fillId="0" borderId="34" xfId="1" applyNumberFormat="1" applyFont="1" applyBorder="1" applyAlignment="1">
      <alignment horizontal="left" vertical="center"/>
    </xf>
    <xf numFmtId="4" fontId="3" fillId="0" borderId="1" xfId="1" applyNumberFormat="1" applyFont="1" applyBorder="1" applyAlignment="1">
      <alignment horizontal="center" vertical="center"/>
    </xf>
    <xf numFmtId="4" fontId="3" fillId="0" borderId="35" xfId="1" applyNumberFormat="1" applyFont="1" applyBorder="1" applyAlignment="1">
      <alignment horizontal="center" vertical="center"/>
    </xf>
    <xf numFmtId="0" fontId="1" fillId="0" borderId="0" xfId="1"/>
    <xf numFmtId="4" fontId="3" fillId="0" borderId="0" xfId="1" applyNumberFormat="1" applyFont="1" applyAlignment="1">
      <alignment horizontal="center" vertical="center" wrapText="1"/>
    </xf>
    <xf numFmtId="0" fontId="3" fillId="0" borderId="0" xfId="1" applyFont="1" applyAlignment="1">
      <alignment horizontal="center" vertical="center" wrapText="1"/>
    </xf>
    <xf numFmtId="0" fontId="0" fillId="0" borderId="1" xfId="0" applyBorder="1"/>
    <xf numFmtId="0" fontId="11" fillId="0" borderId="36" xfId="0" applyFont="1" applyBorder="1" applyAlignment="1">
      <alignment horizontal="center"/>
    </xf>
    <xf numFmtId="166" fontId="0" fillId="0" borderId="1" xfId="0" applyNumberFormat="1" applyBorder="1"/>
    <xf numFmtId="0" fontId="11" fillId="0" borderId="37" xfId="0" applyFont="1" applyBorder="1" applyAlignment="1">
      <alignment horizontal="center"/>
    </xf>
    <xf numFmtId="0" fontId="0" fillId="0" borderId="37" xfId="0" applyBorder="1"/>
    <xf numFmtId="166" fontId="0" fillId="0" borderId="37" xfId="0" applyNumberFormat="1" applyBorder="1"/>
    <xf numFmtId="0" fontId="11" fillId="0" borderId="36" xfId="0" applyFont="1" applyBorder="1" applyAlignment="1">
      <alignment horizontal="centerContinuous"/>
    </xf>
    <xf numFmtId="166" fontId="6" fillId="0" borderId="0" xfId="1" applyNumberFormat="1" applyFont="1" applyAlignment="1">
      <alignment horizontal="center" vertical="center"/>
    </xf>
    <xf numFmtId="166" fontId="11" fillId="0" borderId="36" xfId="0" applyNumberFormat="1" applyFont="1" applyBorder="1" applyAlignment="1">
      <alignment horizontal="centerContinuous"/>
    </xf>
    <xf numFmtId="166" fontId="11" fillId="0" borderId="36" xfId="0" applyNumberFormat="1" applyFont="1" applyBorder="1" applyAlignment="1">
      <alignment horizontal="center"/>
    </xf>
    <xf numFmtId="166" fontId="11" fillId="3" borderId="36" xfId="0" applyNumberFormat="1" applyFont="1" applyFill="1" applyBorder="1" applyAlignment="1">
      <alignment horizontal="center"/>
    </xf>
    <xf numFmtId="166" fontId="0" fillId="3" borderId="0" xfId="0" applyNumberFormat="1" applyFill="1"/>
    <xf numFmtId="166" fontId="0" fillId="3" borderId="1" xfId="0" applyNumberFormat="1" applyFill="1" applyBorder="1"/>
    <xf numFmtId="166" fontId="0" fillId="4" borderId="0" xfId="0" applyNumberFormat="1" applyFill="1"/>
    <xf numFmtId="166" fontId="0" fillId="4" borderId="1" xfId="0" applyNumberFormat="1" applyFill="1" applyBorder="1"/>
    <xf numFmtId="166" fontId="0" fillId="5" borderId="1" xfId="0" applyNumberFormat="1" applyFill="1" applyBorder="1"/>
    <xf numFmtId="166" fontId="29" fillId="0" borderId="36" xfId="0" applyNumberFormat="1" applyFont="1" applyBorder="1" applyAlignment="1">
      <alignment horizontal="center"/>
    </xf>
    <xf numFmtId="166" fontId="29" fillId="5" borderId="36" xfId="0" applyNumberFormat="1" applyFont="1" applyFill="1" applyBorder="1" applyAlignment="1">
      <alignment horizontal="center"/>
    </xf>
    <xf numFmtId="166" fontId="2" fillId="0" borderId="1" xfId="0" applyNumberFormat="1" applyFont="1" applyBorder="1"/>
    <xf numFmtId="166" fontId="3" fillId="0" borderId="0" xfId="1" applyNumberFormat="1" applyFont="1" applyAlignment="1">
      <alignment horizontal="center" vertical="center"/>
    </xf>
    <xf numFmtId="166" fontId="27" fillId="0" borderId="0" xfId="1" applyNumberFormat="1" applyFont="1" applyAlignment="1">
      <alignment horizontal="center" vertical="center"/>
    </xf>
    <xf numFmtId="166" fontId="28" fillId="0" borderId="37" xfId="0" applyNumberFormat="1" applyFont="1" applyBorder="1"/>
    <xf numFmtId="166" fontId="0" fillId="0" borderId="2" xfId="0" applyNumberFormat="1" applyBorder="1"/>
    <xf numFmtId="166" fontId="0" fillId="0" borderId="3" xfId="0" applyNumberFormat="1" applyBorder="1"/>
    <xf numFmtId="166" fontId="0" fillId="0" borderId="6" xfId="0" applyNumberFormat="1" applyBorder="1"/>
    <xf numFmtId="166" fontId="29" fillId="0" borderId="41" xfId="0" applyNumberFormat="1" applyFont="1" applyBorder="1" applyAlignment="1">
      <alignment horizontal="centerContinuous"/>
    </xf>
    <xf numFmtId="166" fontId="0" fillId="0" borderId="34" xfId="0" applyNumberFormat="1" applyBorder="1"/>
    <xf numFmtId="166" fontId="2" fillId="0" borderId="5" xfId="0" applyNumberFormat="1" applyFont="1" applyBorder="1"/>
    <xf numFmtId="166" fontId="29" fillId="0" borderId="41" xfId="0" applyNumberFormat="1" applyFont="1" applyBorder="1" applyAlignment="1">
      <alignment horizontal="center"/>
    </xf>
    <xf numFmtId="166" fontId="29" fillId="0" borderId="42" xfId="0" applyNumberFormat="1" applyFont="1" applyBorder="1" applyAlignment="1">
      <alignment horizontal="center"/>
    </xf>
    <xf numFmtId="166" fontId="0" fillId="0" borderId="35" xfId="0" applyNumberFormat="1" applyBorder="1"/>
    <xf numFmtId="4" fontId="2" fillId="0" borderId="5" xfId="1" applyNumberFormat="1" applyFont="1" applyBorder="1" applyAlignment="1">
      <alignment horizontal="center" vertical="center"/>
    </xf>
    <xf numFmtId="4" fontId="2" fillId="0" borderId="34" xfId="1" applyNumberFormat="1" applyFont="1" applyBorder="1" applyAlignment="1">
      <alignment horizontal="center" vertical="center"/>
    </xf>
    <xf numFmtId="4" fontId="1" fillId="0" borderId="1" xfId="1" applyNumberFormat="1" applyBorder="1" applyAlignment="1">
      <alignment horizontal="center" vertical="center"/>
    </xf>
    <xf numFmtId="0" fontId="27" fillId="0" borderId="1" xfId="1" applyFont="1" applyBorder="1" applyAlignment="1">
      <alignment horizontal="center" vertical="center"/>
    </xf>
    <xf numFmtId="0" fontId="27" fillId="0" borderId="35" xfId="1" applyFont="1" applyBorder="1" applyAlignment="1">
      <alignment horizontal="center" vertical="center"/>
    </xf>
    <xf numFmtId="164" fontId="15" fillId="8" borderId="21" xfId="1" applyNumberFormat="1" applyFont="1" applyFill="1" applyBorder="1" applyAlignment="1">
      <alignment vertical="center"/>
    </xf>
    <xf numFmtId="164" fontId="15" fillId="8" borderId="24" xfId="1" applyNumberFormat="1" applyFont="1" applyFill="1" applyBorder="1" applyAlignment="1">
      <alignment vertical="center"/>
    </xf>
    <xf numFmtId="164" fontId="15" fillId="8" borderId="25" xfId="1" applyNumberFormat="1" applyFont="1" applyFill="1" applyBorder="1" applyAlignment="1">
      <alignment vertical="center"/>
    </xf>
    <xf numFmtId="164" fontId="15" fillId="9" borderId="21" xfId="1" applyNumberFormat="1" applyFont="1" applyFill="1" applyBorder="1" applyAlignment="1">
      <alignment vertical="center"/>
    </xf>
    <xf numFmtId="164" fontId="15" fillId="9" borderId="24" xfId="1" applyNumberFormat="1" applyFont="1" applyFill="1" applyBorder="1" applyAlignment="1">
      <alignment vertical="center"/>
    </xf>
    <xf numFmtId="164" fontId="15" fillId="10" borderId="17" xfId="1" applyNumberFormat="1" applyFont="1" applyFill="1" applyBorder="1" applyAlignment="1">
      <alignment vertical="center"/>
    </xf>
    <xf numFmtId="164" fontId="15" fillId="11" borderId="21" xfId="1" applyNumberFormat="1" applyFont="1" applyFill="1" applyBorder="1" applyAlignment="1">
      <alignment vertical="center"/>
    </xf>
    <xf numFmtId="164" fontId="15" fillId="7" borderId="17" xfId="1" applyNumberFormat="1" applyFont="1" applyFill="1" applyBorder="1" applyAlignment="1">
      <alignment vertical="center"/>
    </xf>
    <xf numFmtId="164" fontId="15" fillId="7" borderId="19" xfId="1" applyNumberFormat="1" applyFont="1" applyFill="1" applyBorder="1" applyAlignment="1">
      <alignment vertical="center"/>
    </xf>
    <xf numFmtId="164" fontId="15" fillId="7" borderId="20" xfId="1" applyNumberFormat="1" applyFont="1" applyFill="1" applyBorder="1" applyAlignment="1">
      <alignment vertical="center"/>
    </xf>
    <xf numFmtId="166" fontId="27" fillId="0" borderId="18" xfId="1" applyNumberFormat="1" applyFont="1" applyBorder="1" applyAlignment="1">
      <alignment horizontal="center" vertical="center"/>
    </xf>
    <xf numFmtId="166" fontId="3" fillId="0" borderId="18" xfId="1" applyNumberFormat="1" applyFont="1" applyBorder="1" applyAlignment="1">
      <alignment horizontal="center" vertical="center"/>
    </xf>
    <xf numFmtId="166" fontId="29" fillId="0" borderId="43" xfId="0" applyNumberFormat="1" applyFont="1" applyBorder="1" applyAlignment="1">
      <alignment horizontal="center"/>
    </xf>
    <xf numFmtId="166" fontId="2" fillId="0" borderId="17" xfId="0" applyNumberFormat="1" applyFont="1" applyBorder="1"/>
    <xf numFmtId="166" fontId="2" fillId="0" borderId="0" xfId="0" applyNumberFormat="1" applyFont="1"/>
    <xf numFmtId="166" fontId="2" fillId="0" borderId="44" xfId="0" applyNumberFormat="1" applyFont="1" applyBorder="1"/>
    <xf numFmtId="166" fontId="27" fillId="0" borderId="37" xfId="1" applyNumberFormat="1" applyFont="1" applyBorder="1" applyAlignment="1">
      <alignment horizontal="center" vertical="center"/>
    </xf>
    <xf numFmtId="166" fontId="3" fillId="0" borderId="37" xfId="1" applyNumberFormat="1" applyFont="1" applyBorder="1" applyAlignment="1">
      <alignment horizontal="center" vertical="center"/>
    </xf>
    <xf numFmtId="166" fontId="27" fillId="0" borderId="17" xfId="1" applyNumberFormat="1" applyFont="1" applyBorder="1" applyAlignment="1">
      <alignment horizontal="center" vertical="center"/>
    </xf>
    <xf numFmtId="166" fontId="3" fillId="0" borderId="17" xfId="1" applyNumberFormat="1" applyFont="1" applyBorder="1" applyAlignment="1">
      <alignment horizontal="center" vertical="center"/>
    </xf>
    <xf numFmtId="166" fontId="3" fillId="0" borderId="10" xfId="1" applyNumberFormat="1" applyFont="1" applyBorder="1" applyAlignment="1">
      <alignment horizontal="center" vertical="center"/>
    </xf>
    <xf numFmtId="166" fontId="3" fillId="0" borderId="11" xfId="1" applyNumberFormat="1" applyFont="1" applyBorder="1" applyAlignment="1">
      <alignment horizontal="center" vertical="center"/>
    </xf>
    <xf numFmtId="166" fontId="3" fillId="0" borderId="12" xfId="1" applyNumberFormat="1" applyFont="1" applyBorder="1" applyAlignment="1">
      <alignment horizontal="center" vertical="center"/>
    </xf>
    <xf numFmtId="166" fontId="3" fillId="0" borderId="0" xfId="1" applyNumberFormat="1" applyFont="1" applyAlignment="1">
      <alignment horizontal="left" vertical="center"/>
    </xf>
    <xf numFmtId="166" fontId="31" fillId="0" borderId="37" xfId="1" applyNumberFormat="1" applyFont="1" applyBorder="1" applyAlignment="1">
      <alignment horizontal="center" vertical="center"/>
    </xf>
    <xf numFmtId="166" fontId="27" fillId="0" borderId="10" xfId="1" applyNumberFormat="1" applyFont="1" applyBorder="1" applyAlignment="1">
      <alignment horizontal="center" vertical="center"/>
    </xf>
    <xf numFmtId="166" fontId="27" fillId="0" borderId="11" xfId="1" applyNumberFormat="1" applyFont="1" applyBorder="1" applyAlignment="1">
      <alignment horizontal="center" vertical="center"/>
    </xf>
    <xf numFmtId="166" fontId="27" fillId="0" borderId="12" xfId="1" applyNumberFormat="1" applyFont="1" applyBorder="1" applyAlignment="1">
      <alignment horizontal="center" vertical="center"/>
    </xf>
    <xf numFmtId="1" fontId="3" fillId="0" borderId="0" xfId="1" applyNumberFormat="1" applyFont="1" applyAlignment="1">
      <alignment horizontal="center" vertical="center"/>
    </xf>
    <xf numFmtId="1" fontId="3" fillId="0" borderId="37" xfId="1" applyNumberFormat="1" applyFont="1" applyBorder="1" applyAlignment="1">
      <alignment horizontal="center" vertical="center"/>
    </xf>
    <xf numFmtId="166" fontId="33" fillId="0" borderId="37" xfId="1" applyNumberFormat="1" applyFont="1" applyBorder="1" applyAlignment="1">
      <alignment horizontal="center" vertical="center"/>
    </xf>
    <xf numFmtId="0" fontId="6" fillId="0" borderId="18" xfId="1" applyFont="1" applyBorder="1" applyAlignment="1">
      <alignment horizontal="center" vertical="center"/>
    </xf>
    <xf numFmtId="0" fontId="22" fillId="0" borderId="18" xfId="1" applyFont="1" applyBorder="1" applyAlignment="1">
      <alignment horizontal="center" vertical="center"/>
    </xf>
    <xf numFmtId="0" fontId="3" fillId="0" borderId="3" xfId="1" applyFont="1" applyBorder="1" applyAlignment="1">
      <alignment horizontal="center" vertical="center"/>
    </xf>
    <xf numFmtId="0" fontId="22" fillId="0" borderId="4" xfId="1" applyFont="1" applyBorder="1" applyAlignment="1">
      <alignment horizontal="center" vertical="center"/>
    </xf>
    <xf numFmtId="0" fontId="22" fillId="0" borderId="6" xfId="1" applyFont="1" applyBorder="1" applyAlignment="1">
      <alignment horizontal="center" vertical="center"/>
    </xf>
    <xf numFmtId="0" fontId="5" fillId="0" borderId="6" xfId="1" applyFont="1" applyBorder="1" applyAlignment="1">
      <alignment horizontal="center" vertical="center"/>
    </xf>
    <xf numFmtId="166" fontId="34" fillId="0" borderId="0" xfId="0" applyNumberFormat="1" applyFont="1"/>
    <xf numFmtId="166" fontId="0" fillId="5" borderId="0" xfId="0" applyNumberFormat="1" applyFill="1"/>
    <xf numFmtId="0" fontId="32" fillId="0" borderId="6" xfId="1" applyFont="1" applyBorder="1" applyAlignment="1">
      <alignment horizontal="center" vertical="center"/>
    </xf>
    <xf numFmtId="166" fontId="29" fillId="5" borderId="42" xfId="0" applyNumberFormat="1" applyFont="1" applyFill="1" applyBorder="1" applyAlignment="1">
      <alignment horizontal="center"/>
    </xf>
    <xf numFmtId="166" fontId="0" fillId="5" borderId="6" xfId="0" applyNumberFormat="1" applyFill="1" applyBorder="1"/>
    <xf numFmtId="166" fontId="29" fillId="0" borderId="42" xfId="0" applyNumberFormat="1" applyFont="1" applyBorder="1" applyAlignment="1">
      <alignment horizontal="centerContinuous"/>
    </xf>
    <xf numFmtId="10" fontId="0" fillId="0" borderId="6" xfId="7" applyNumberFormat="1" applyFont="1" applyBorder="1"/>
    <xf numFmtId="0" fontId="3" fillId="0" borderId="1" xfId="1" applyFont="1" applyBorder="1" applyAlignment="1">
      <alignment horizontal="center" vertical="center"/>
    </xf>
    <xf numFmtId="4" fontId="35" fillId="0" borderId="0" xfId="1" applyNumberFormat="1" applyFont="1" applyAlignment="1">
      <alignment horizontal="center" vertical="center"/>
    </xf>
    <xf numFmtId="4" fontId="36" fillId="0" borderId="0" xfId="1" applyNumberFormat="1" applyFont="1" applyAlignment="1">
      <alignment horizontal="center" vertical="center"/>
    </xf>
    <xf numFmtId="0" fontId="37" fillId="0" borderId="0" xfId="1" applyFont="1" applyAlignment="1">
      <alignment horizontal="center" vertical="center"/>
    </xf>
    <xf numFmtId="166" fontId="2" fillId="9" borderId="5" xfId="0" applyNumberFormat="1" applyFont="1" applyFill="1" applyBorder="1"/>
    <xf numFmtId="166" fontId="2" fillId="9" borderId="0" xfId="0" applyNumberFormat="1" applyFont="1" applyFill="1"/>
    <xf numFmtId="166" fontId="2" fillId="9" borderId="34" xfId="0" applyNumberFormat="1" applyFont="1" applyFill="1" applyBorder="1"/>
    <xf numFmtId="166" fontId="2" fillId="9" borderId="1" xfId="0" applyNumberFormat="1" applyFont="1" applyFill="1" applyBorder="1"/>
    <xf numFmtId="166" fontId="2" fillId="10" borderId="5" xfId="0" applyNumberFormat="1" applyFont="1" applyFill="1" applyBorder="1"/>
    <xf numFmtId="166" fontId="2" fillId="10" borderId="0" xfId="0" applyNumberFormat="1" applyFont="1" applyFill="1"/>
    <xf numFmtId="0" fontId="38" fillId="0" borderId="0" xfId="0" applyFont="1"/>
    <xf numFmtId="166" fontId="3" fillId="0" borderId="45" xfId="1" applyNumberFormat="1" applyFont="1" applyBorder="1" applyAlignment="1">
      <alignment horizontal="center" vertical="center"/>
    </xf>
    <xf numFmtId="166" fontId="25" fillId="0" borderId="0" xfId="1" applyNumberFormat="1" applyFont="1" applyAlignment="1">
      <alignment horizontal="left" vertical="center"/>
    </xf>
    <xf numFmtId="166" fontId="27" fillId="10" borderId="37" xfId="1" applyNumberFormat="1" applyFont="1" applyFill="1" applyBorder="1" applyAlignment="1">
      <alignment horizontal="center" vertical="center"/>
    </xf>
    <xf numFmtId="166" fontId="3" fillId="10" borderId="37" xfId="1" applyNumberFormat="1" applyFont="1" applyFill="1" applyBorder="1" applyAlignment="1">
      <alignment horizontal="center" vertical="center"/>
    </xf>
    <xf numFmtId="166" fontId="27" fillId="6" borderId="37" xfId="1" applyNumberFormat="1" applyFont="1" applyFill="1" applyBorder="1" applyAlignment="1">
      <alignment horizontal="center" vertical="center"/>
    </xf>
    <xf numFmtId="166" fontId="3" fillId="6" borderId="37" xfId="1" applyNumberFormat="1" applyFont="1" applyFill="1" applyBorder="1" applyAlignment="1">
      <alignment horizontal="center" vertical="center"/>
    </xf>
    <xf numFmtId="166" fontId="27" fillId="12" borderId="37" xfId="1" applyNumberFormat="1" applyFont="1" applyFill="1" applyBorder="1" applyAlignment="1">
      <alignment horizontal="center" vertical="center"/>
    </xf>
    <xf numFmtId="166" fontId="3" fillId="12" borderId="37" xfId="1" applyNumberFormat="1" applyFont="1" applyFill="1" applyBorder="1" applyAlignment="1">
      <alignment horizontal="center" vertical="center"/>
    </xf>
    <xf numFmtId="166" fontId="27" fillId="12" borderId="17" xfId="1" applyNumberFormat="1" applyFont="1" applyFill="1" applyBorder="1" applyAlignment="1">
      <alignment horizontal="center" vertical="center"/>
    </xf>
    <xf numFmtId="166" fontId="3" fillId="12" borderId="18" xfId="1" applyNumberFormat="1" applyFont="1" applyFill="1" applyBorder="1" applyAlignment="1">
      <alignment horizontal="center" vertical="center"/>
    </xf>
    <xf numFmtId="166" fontId="3" fillId="12" borderId="17" xfId="1" applyNumberFormat="1" applyFont="1" applyFill="1" applyBorder="1" applyAlignment="1">
      <alignment horizontal="center" vertical="center"/>
    </xf>
    <xf numFmtId="166" fontId="27" fillId="12" borderId="10" xfId="1" applyNumberFormat="1" applyFont="1" applyFill="1" applyBorder="1" applyAlignment="1">
      <alignment horizontal="center" vertical="center"/>
    </xf>
    <xf numFmtId="166" fontId="3" fillId="12" borderId="12" xfId="1" applyNumberFormat="1" applyFont="1" applyFill="1" applyBorder="1" applyAlignment="1">
      <alignment horizontal="center" vertical="center"/>
    </xf>
    <xf numFmtId="1" fontId="3" fillId="0" borderId="1" xfId="1" applyNumberFormat="1" applyFont="1" applyBorder="1" applyAlignment="1">
      <alignment horizontal="center" vertical="center"/>
    </xf>
    <xf numFmtId="0" fontId="1" fillId="0" borderId="37" xfId="1" applyBorder="1" applyAlignment="1">
      <alignment horizontal="center" vertical="center"/>
    </xf>
    <xf numFmtId="0" fontId="1" fillId="0" borderId="37" xfId="0" applyFont="1" applyBorder="1"/>
    <xf numFmtId="2" fontId="1" fillId="0" borderId="37" xfId="0" applyNumberFormat="1" applyFont="1" applyBorder="1"/>
    <xf numFmtId="0" fontId="2" fillId="0" borderId="0" xfId="0" applyFont="1"/>
    <xf numFmtId="0" fontId="6" fillId="0" borderId="8" xfId="1" applyFont="1" applyBorder="1" applyAlignment="1">
      <alignment horizontal="center" vertical="center"/>
    </xf>
    <xf numFmtId="0" fontId="6" fillId="6" borderId="8" xfId="1" applyFont="1" applyFill="1" applyBorder="1" applyAlignment="1">
      <alignment horizontal="center" vertical="center"/>
    </xf>
    <xf numFmtId="166" fontId="6" fillId="6" borderId="8" xfId="1" applyNumberFormat="1" applyFont="1" applyFill="1" applyBorder="1" applyAlignment="1">
      <alignment horizontal="center" vertical="center"/>
    </xf>
    <xf numFmtId="0" fontId="6" fillId="6" borderId="0" xfId="1" applyFont="1" applyFill="1" applyAlignment="1">
      <alignment horizontal="center" vertical="center"/>
    </xf>
    <xf numFmtId="166" fontId="6" fillId="6" borderId="0" xfId="1" applyNumberFormat="1" applyFont="1" applyFill="1" applyAlignment="1">
      <alignment horizontal="center" vertical="center"/>
    </xf>
    <xf numFmtId="166" fontId="5" fillId="6" borderId="8" xfId="1" applyNumberFormat="1" applyFont="1" applyFill="1" applyBorder="1" applyAlignment="1">
      <alignment horizontal="center" vertical="center"/>
    </xf>
    <xf numFmtId="166" fontId="5" fillId="6" borderId="0" xfId="1" applyNumberFormat="1" applyFont="1" applyFill="1" applyAlignment="1">
      <alignment horizontal="center" vertical="center"/>
    </xf>
    <xf numFmtId="0" fontId="5" fillId="6" borderId="8" xfId="1" applyFont="1" applyFill="1" applyBorder="1" applyAlignment="1">
      <alignment horizontal="center" vertical="center"/>
    </xf>
    <xf numFmtId="0" fontId="5" fillId="6" borderId="0" xfId="1" applyFont="1" applyFill="1" applyAlignment="1">
      <alignment horizontal="center" vertical="center"/>
    </xf>
    <xf numFmtId="0" fontId="29" fillId="0" borderId="37" xfId="0" applyFont="1" applyBorder="1" applyAlignment="1">
      <alignment horizontal="center"/>
    </xf>
    <xf numFmtId="0" fontId="2" fillId="0" borderId="37" xfId="0" applyFont="1" applyBorder="1"/>
    <xf numFmtId="0" fontId="2" fillId="0" borderId="17" xfId="0" applyFont="1" applyBorder="1"/>
    <xf numFmtId="0" fontId="11" fillId="0" borderId="17" xfId="0" applyFont="1" applyBorder="1" applyAlignment="1">
      <alignment horizontal="left" vertical="center" indent="1"/>
    </xf>
    <xf numFmtId="0" fontId="41" fillId="0" borderId="0" xfId="0" applyFont="1" applyAlignment="1">
      <alignment horizontal="left" vertical="center" indent="1"/>
    </xf>
    <xf numFmtId="0" fontId="41" fillId="0" borderId="17" xfId="0" applyFont="1" applyBorder="1" applyAlignment="1">
      <alignment horizontal="left" vertical="center" indent="1"/>
    </xf>
    <xf numFmtId="0" fontId="41" fillId="0" borderId="44" xfId="0" applyFont="1" applyBorder="1" applyAlignment="1">
      <alignment horizontal="left" vertical="center" indent="1"/>
    </xf>
    <xf numFmtId="0" fontId="42" fillId="0" borderId="0" xfId="1" applyFont="1" applyAlignment="1">
      <alignment horizontal="center" vertical="center"/>
    </xf>
    <xf numFmtId="0" fontId="43" fillId="0" borderId="0" xfId="0" applyFont="1" applyAlignment="1">
      <alignment horizontal="left" vertical="center" indent="1"/>
    </xf>
    <xf numFmtId="0" fontId="20" fillId="0" borderId="1" xfId="1" applyFont="1" applyBorder="1" applyAlignment="1">
      <alignment vertical="center"/>
    </xf>
    <xf numFmtId="0" fontId="3" fillId="0" borderId="1" xfId="1" applyFont="1" applyBorder="1" applyAlignment="1">
      <alignment horizontal="left" vertical="center"/>
    </xf>
    <xf numFmtId="0" fontId="39" fillId="11" borderId="0" xfId="1" applyFont="1" applyFill="1" applyAlignment="1">
      <alignment horizontal="center" vertical="center"/>
    </xf>
    <xf numFmtId="0" fontId="6" fillId="11" borderId="0" xfId="1" applyFont="1" applyFill="1" applyAlignment="1">
      <alignment horizontal="center" vertical="center"/>
    </xf>
    <xf numFmtId="166" fontId="39" fillId="11" borderId="0" xfId="0" applyNumberFormat="1" applyFont="1" applyFill="1" applyAlignment="1">
      <alignment horizontal="center"/>
    </xf>
    <xf numFmtId="166" fontId="0" fillId="11" borderId="0" xfId="0" applyNumberFormat="1" applyFill="1" applyAlignment="1">
      <alignment horizontal="center"/>
    </xf>
    <xf numFmtId="4" fontId="15" fillId="11" borderId="21" xfId="1" applyNumberFormat="1" applyFont="1" applyFill="1" applyBorder="1" applyAlignment="1">
      <alignment horizontal="center" vertical="center"/>
    </xf>
    <xf numFmtId="4" fontId="15" fillId="11" borderId="22" xfId="1" applyNumberFormat="1" applyFont="1" applyFill="1" applyBorder="1" applyAlignment="1">
      <alignment horizontal="center" vertical="center"/>
    </xf>
    <xf numFmtId="0" fontId="15" fillId="11" borderId="21" xfId="1" applyFont="1" applyFill="1" applyBorder="1" applyAlignment="1">
      <alignment horizontal="center" vertical="center"/>
    </xf>
    <xf numFmtId="0" fontId="15" fillId="11" borderId="22" xfId="1" applyFont="1" applyFill="1" applyBorder="1" applyAlignment="1">
      <alignment horizontal="center" vertical="center"/>
    </xf>
    <xf numFmtId="0" fontId="15" fillId="11" borderId="23" xfId="1" applyFont="1" applyFill="1" applyBorder="1" applyAlignment="1">
      <alignment horizontal="center" vertical="center"/>
    </xf>
    <xf numFmtId="0" fontId="16" fillId="0" borderId="7" xfId="1" applyFont="1" applyBorder="1" applyAlignment="1">
      <alignment horizontal="center" vertical="center" wrapText="1"/>
    </xf>
    <xf numFmtId="0" fontId="16" fillId="0" borderId="8" xfId="1" applyFont="1" applyBorder="1" applyAlignment="1">
      <alignment horizontal="center" vertical="center" wrapText="1"/>
    </xf>
    <xf numFmtId="0" fontId="16" fillId="0" borderId="10" xfId="1" applyFont="1" applyBorder="1" applyAlignment="1">
      <alignment horizontal="center" vertical="center" wrapText="1"/>
    </xf>
    <xf numFmtId="0" fontId="16" fillId="0" borderId="11" xfId="1" applyFont="1" applyBorder="1" applyAlignment="1">
      <alignment horizontal="center" vertical="center" wrapText="1"/>
    </xf>
    <xf numFmtId="0" fontId="16" fillId="0" borderId="7" xfId="1" quotePrefix="1" applyFont="1" applyBorder="1" applyAlignment="1">
      <alignment horizontal="center" vertical="center" wrapText="1"/>
    </xf>
    <xf numFmtId="0" fontId="16" fillId="0" borderId="8" xfId="1" quotePrefix="1" applyFont="1" applyBorder="1" applyAlignment="1">
      <alignment horizontal="center" vertical="center" wrapText="1"/>
    </xf>
    <xf numFmtId="0" fontId="16" fillId="0" borderId="9" xfId="1" quotePrefix="1" applyFont="1" applyBorder="1" applyAlignment="1">
      <alignment horizontal="center" vertical="center" wrapText="1"/>
    </xf>
    <xf numFmtId="0" fontId="16" fillId="0" borderId="10" xfId="1" quotePrefix="1" applyFont="1" applyBorder="1" applyAlignment="1">
      <alignment horizontal="center" vertical="center" wrapText="1"/>
    </xf>
    <xf numFmtId="0" fontId="16" fillId="0" borderId="11" xfId="1" quotePrefix="1" applyFont="1" applyBorder="1" applyAlignment="1">
      <alignment horizontal="center" vertical="center" wrapText="1"/>
    </xf>
    <xf numFmtId="0" fontId="16" fillId="0" borderId="12" xfId="1" quotePrefix="1" applyFont="1" applyBorder="1" applyAlignment="1">
      <alignment horizontal="center" vertical="center" wrapText="1"/>
    </xf>
    <xf numFmtId="0" fontId="16" fillId="0" borderId="7" xfId="1" quotePrefix="1" applyFont="1" applyBorder="1" applyAlignment="1">
      <alignment horizontal="center" vertical="center"/>
    </xf>
    <xf numFmtId="0" fontId="16" fillId="0" borderId="8" xfId="1" quotePrefix="1" applyFont="1" applyBorder="1" applyAlignment="1">
      <alignment horizontal="center" vertical="center"/>
    </xf>
    <xf numFmtId="0" fontId="16" fillId="0" borderId="9" xfId="1" quotePrefix="1" applyFont="1" applyBorder="1" applyAlignment="1">
      <alignment horizontal="center" vertical="center"/>
    </xf>
    <xf numFmtId="4" fontId="15" fillId="7" borderId="17" xfId="1" applyNumberFormat="1" applyFont="1" applyFill="1" applyBorder="1" applyAlignment="1">
      <alignment horizontal="center" vertical="center"/>
    </xf>
    <xf numFmtId="4" fontId="15" fillId="7" borderId="0" xfId="1" applyNumberFormat="1" applyFont="1" applyFill="1" applyAlignment="1">
      <alignment horizontal="center" vertical="center"/>
    </xf>
    <xf numFmtId="0" fontId="15" fillId="7" borderId="17" xfId="1" applyFont="1" applyFill="1" applyBorder="1" applyAlignment="1">
      <alignment horizontal="center" vertical="center"/>
    </xf>
    <xf numFmtId="0" fontId="15" fillId="7" borderId="0" xfId="1" applyFont="1" applyFill="1" applyAlignment="1">
      <alignment horizontal="center" vertical="center"/>
    </xf>
    <xf numFmtId="0" fontId="15" fillId="7" borderId="18" xfId="1" applyFont="1" applyFill="1" applyBorder="1" applyAlignment="1">
      <alignment horizontal="center" vertical="center"/>
    </xf>
    <xf numFmtId="4" fontId="15" fillId="10" borderId="17" xfId="1" applyNumberFormat="1" applyFont="1" applyFill="1" applyBorder="1" applyAlignment="1">
      <alignment horizontal="center" vertical="center"/>
    </xf>
    <xf numFmtId="4" fontId="15" fillId="10" borderId="0" xfId="1" applyNumberFormat="1" applyFont="1" applyFill="1" applyAlignment="1">
      <alignment horizontal="center" vertical="center"/>
    </xf>
    <xf numFmtId="0" fontId="15" fillId="10" borderId="17" xfId="1" applyFont="1" applyFill="1" applyBorder="1" applyAlignment="1">
      <alignment horizontal="center" vertical="center"/>
    </xf>
    <xf numFmtId="0" fontId="15" fillId="10" borderId="0" xfId="1" applyFont="1" applyFill="1" applyAlignment="1">
      <alignment horizontal="center" vertical="center"/>
    </xf>
    <xf numFmtId="0" fontId="15" fillId="10" borderId="18" xfId="1" applyFont="1" applyFill="1" applyBorder="1" applyAlignment="1">
      <alignment horizontal="center" vertical="center"/>
    </xf>
    <xf numFmtId="4" fontId="15" fillId="9" borderId="21" xfId="1" applyNumberFormat="1" applyFont="1" applyFill="1" applyBorder="1" applyAlignment="1">
      <alignment horizontal="center" vertical="center"/>
    </xf>
    <xf numFmtId="4" fontId="15" fillId="9" borderId="22" xfId="1" applyNumberFormat="1" applyFont="1" applyFill="1" applyBorder="1" applyAlignment="1">
      <alignment horizontal="center" vertical="center"/>
    </xf>
    <xf numFmtId="0" fontId="15" fillId="9" borderId="21" xfId="1" applyFont="1" applyFill="1" applyBorder="1" applyAlignment="1">
      <alignment horizontal="center" vertical="center"/>
    </xf>
    <xf numFmtId="0" fontId="15" fillId="9" borderId="22" xfId="1" applyFont="1" applyFill="1" applyBorder="1" applyAlignment="1">
      <alignment horizontal="center" vertical="center"/>
    </xf>
    <xf numFmtId="0" fontId="15" fillId="9" borderId="23" xfId="1" applyFont="1" applyFill="1" applyBorder="1" applyAlignment="1">
      <alignment horizontal="center" vertical="center"/>
    </xf>
    <xf numFmtId="4" fontId="15" fillId="8" borderId="21" xfId="1" applyNumberFormat="1" applyFont="1" applyFill="1" applyBorder="1" applyAlignment="1">
      <alignment horizontal="center" vertical="center"/>
    </xf>
    <xf numFmtId="4" fontId="15" fillId="8" borderId="22" xfId="1" applyNumberFormat="1" applyFont="1" applyFill="1" applyBorder="1" applyAlignment="1">
      <alignment horizontal="center" vertical="center"/>
    </xf>
    <xf numFmtId="0" fontId="15" fillId="8" borderId="21" xfId="1" applyFont="1" applyFill="1" applyBorder="1" applyAlignment="1">
      <alignment horizontal="center" vertical="center"/>
    </xf>
    <xf numFmtId="0" fontId="15" fillId="8" borderId="22" xfId="1" applyFont="1" applyFill="1" applyBorder="1" applyAlignment="1">
      <alignment horizontal="center" vertical="center"/>
    </xf>
    <xf numFmtId="0" fontId="15" fillId="8" borderId="23" xfId="1" applyFont="1" applyFill="1" applyBorder="1" applyAlignment="1">
      <alignment horizontal="center" vertical="center"/>
    </xf>
    <xf numFmtId="4" fontId="6" fillId="0" borderId="10" xfId="1" applyNumberFormat="1" applyFont="1" applyBorder="1" applyAlignment="1">
      <alignment horizontal="center" vertical="center"/>
    </xf>
    <xf numFmtId="4" fontId="6" fillId="0" borderId="11" xfId="1" applyNumberFormat="1" applyFont="1" applyBorder="1" applyAlignment="1">
      <alignment horizontal="center" vertical="center"/>
    </xf>
    <xf numFmtId="0" fontId="6" fillId="0" borderId="10" xfId="1" applyFont="1" applyBorder="1" applyAlignment="1">
      <alignment horizontal="center" vertical="center"/>
    </xf>
    <xf numFmtId="0" fontId="6" fillId="0" borderId="11" xfId="1" applyFont="1" applyBorder="1" applyAlignment="1">
      <alignment horizontal="center" vertical="center"/>
    </xf>
    <xf numFmtId="0" fontId="6" fillId="0" borderId="12" xfId="1" applyFont="1" applyBorder="1" applyAlignment="1">
      <alignment horizontal="center" vertical="center"/>
    </xf>
    <xf numFmtId="0" fontId="16" fillId="0" borderId="9" xfId="1" applyFont="1" applyBorder="1" applyAlignment="1">
      <alignment horizontal="center" vertical="center" wrapText="1"/>
    </xf>
    <xf numFmtId="0" fontId="16" fillId="0" borderId="12" xfId="1" applyFont="1" applyBorder="1" applyAlignment="1">
      <alignment horizontal="center" vertical="center" wrapText="1"/>
    </xf>
    <xf numFmtId="4" fontId="40" fillId="0" borderId="17" xfId="1" applyNumberFormat="1" applyFont="1" applyBorder="1" applyAlignment="1">
      <alignment horizontal="center" vertical="center"/>
    </xf>
    <xf numFmtId="4" fontId="40" fillId="0" borderId="0" xfId="1" applyNumberFormat="1" applyFont="1" applyAlignment="1">
      <alignment horizontal="center" vertical="center"/>
    </xf>
    <xf numFmtId="4" fontId="40" fillId="0" borderId="18" xfId="1" applyNumberFormat="1" applyFont="1" applyBorder="1" applyAlignment="1">
      <alignment horizontal="center" vertical="center"/>
    </xf>
    <xf numFmtId="165" fontId="40" fillId="0" borderId="17" xfId="1" applyNumberFormat="1" applyFont="1" applyBorder="1" applyAlignment="1">
      <alignment horizontal="center" vertical="center"/>
    </xf>
    <xf numFmtId="165" fontId="40" fillId="0" borderId="0" xfId="1" applyNumberFormat="1" applyFont="1" applyAlignment="1">
      <alignment horizontal="center" vertical="center"/>
    </xf>
    <xf numFmtId="165" fontId="40" fillId="0" borderId="18" xfId="1" applyNumberFormat="1" applyFont="1" applyBorder="1" applyAlignment="1">
      <alignment horizontal="center" vertical="center"/>
    </xf>
    <xf numFmtId="4" fontId="15" fillId="0" borderId="21" xfId="1" applyNumberFormat="1" applyFont="1" applyBorder="1" applyAlignment="1">
      <alignment horizontal="center" vertical="center"/>
    </xf>
    <xf numFmtId="4" fontId="15" fillId="0" borderId="22" xfId="1" applyNumberFormat="1" applyFont="1" applyBorder="1" applyAlignment="1">
      <alignment horizontal="center" vertical="center"/>
    </xf>
    <xf numFmtId="4" fontId="15" fillId="0" borderId="23" xfId="1" applyNumberFormat="1" applyFont="1" applyBorder="1" applyAlignment="1">
      <alignment horizontal="center" vertical="center"/>
    </xf>
    <xf numFmtId="165" fontId="15" fillId="0" borderId="21" xfId="1" applyNumberFormat="1" applyFont="1" applyBorder="1" applyAlignment="1">
      <alignment horizontal="center" vertical="center"/>
    </xf>
    <xf numFmtId="165" fontId="15" fillId="0" borderId="22" xfId="1" applyNumberFormat="1" applyFont="1" applyBorder="1" applyAlignment="1">
      <alignment horizontal="center" vertical="center"/>
    </xf>
    <xf numFmtId="165" fontId="15" fillId="0" borderId="23" xfId="1" applyNumberFormat="1" applyFont="1" applyBorder="1" applyAlignment="1">
      <alignment horizontal="center" vertical="center"/>
    </xf>
    <xf numFmtId="165" fontId="6" fillId="0" borderId="10" xfId="1" applyNumberFormat="1" applyFont="1" applyBorder="1" applyAlignment="1">
      <alignment horizontal="center" vertical="center"/>
    </xf>
    <xf numFmtId="165" fontId="6" fillId="0" borderId="11" xfId="1" applyNumberFormat="1" applyFont="1" applyBorder="1" applyAlignment="1">
      <alignment horizontal="center" vertical="center"/>
    </xf>
    <xf numFmtId="165" fontId="6" fillId="0" borderId="12" xfId="1" applyNumberFormat="1" applyFont="1" applyBorder="1" applyAlignment="1">
      <alignment horizontal="center" vertical="center"/>
    </xf>
    <xf numFmtId="0" fontId="5" fillId="0" borderId="7" xfId="1" applyFont="1" applyBorder="1" applyAlignment="1">
      <alignment horizontal="center" vertical="center"/>
    </xf>
    <xf numFmtId="0" fontId="5" fillId="0" borderId="8" xfId="1" applyFont="1" applyBorder="1" applyAlignment="1">
      <alignment horizontal="center" vertical="center"/>
    </xf>
    <xf numFmtId="0" fontId="5" fillId="0" borderId="10" xfId="1" applyFont="1" applyBorder="1" applyAlignment="1">
      <alignment horizontal="center" vertical="center"/>
    </xf>
    <xf numFmtId="0" fontId="5" fillId="0" borderId="11" xfId="1" applyFont="1" applyBorder="1" applyAlignment="1">
      <alignment horizontal="center" vertical="center"/>
    </xf>
    <xf numFmtId="0" fontId="5" fillId="0" borderId="7" xfId="1" applyFont="1" applyBorder="1" applyAlignment="1">
      <alignment horizontal="center" vertical="center" wrapText="1"/>
    </xf>
    <xf numFmtId="0" fontId="5" fillId="0" borderId="8" xfId="1" applyFont="1" applyBorder="1" applyAlignment="1">
      <alignment horizontal="center" vertical="center" wrapText="1"/>
    </xf>
    <xf numFmtId="0" fontId="5" fillId="0" borderId="10" xfId="1" applyFont="1" applyBorder="1" applyAlignment="1">
      <alignment horizontal="center" vertical="center" wrapText="1"/>
    </xf>
    <xf numFmtId="0" fontId="5" fillId="0" borderId="11"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2" xfId="1" applyFont="1" applyBorder="1" applyAlignment="1">
      <alignment horizontal="center" vertical="center" wrapText="1"/>
    </xf>
    <xf numFmtId="0" fontId="6" fillId="6" borderId="29" xfId="1" applyFont="1" applyFill="1" applyBorder="1" applyAlignment="1">
      <alignment horizontal="center" vertical="center" wrapText="1"/>
    </xf>
    <xf numFmtId="0" fontId="6" fillId="6" borderId="33" xfId="1" applyFont="1" applyFill="1" applyBorder="1" applyAlignment="1">
      <alignment horizontal="center" vertical="center" wrapText="1"/>
    </xf>
    <xf numFmtId="164" fontId="6" fillId="6" borderId="30" xfId="1" applyNumberFormat="1" applyFont="1" applyFill="1" applyBorder="1" applyAlignment="1">
      <alignment horizontal="center" vertical="center"/>
    </xf>
    <xf numFmtId="0" fontId="6" fillId="6" borderId="31" xfId="1" applyFont="1" applyFill="1" applyBorder="1" applyAlignment="1">
      <alignment horizontal="center" vertical="center"/>
    </xf>
    <xf numFmtId="0" fontId="6" fillId="6" borderId="32" xfId="1" applyFont="1" applyFill="1" applyBorder="1" applyAlignment="1">
      <alignment horizontal="center" vertical="center"/>
    </xf>
    <xf numFmtId="4" fontId="6" fillId="6" borderId="7" xfId="1" applyNumberFormat="1" applyFont="1" applyFill="1" applyBorder="1" applyAlignment="1">
      <alignment horizontal="center" vertical="center" wrapText="1"/>
    </xf>
    <xf numFmtId="0" fontId="6" fillId="6" borderId="8" xfId="1" applyFont="1" applyFill="1" applyBorder="1" applyAlignment="1">
      <alignment horizontal="center" vertical="center" wrapText="1"/>
    </xf>
    <xf numFmtId="0" fontId="6" fillId="6" borderId="10" xfId="1" applyFont="1" applyFill="1" applyBorder="1" applyAlignment="1">
      <alignment horizontal="center" vertical="center" wrapText="1"/>
    </xf>
    <xf numFmtId="0" fontId="6" fillId="6" borderId="11" xfId="1" applyFont="1" applyFill="1" applyBorder="1" applyAlignment="1">
      <alignment horizontal="center" vertical="center" wrapText="1"/>
    </xf>
    <xf numFmtId="4" fontId="6" fillId="6" borderId="30" xfId="1" applyNumberFormat="1" applyFont="1" applyFill="1" applyBorder="1" applyAlignment="1">
      <alignment horizontal="center" vertical="center"/>
    </xf>
    <xf numFmtId="164" fontId="5" fillId="6" borderId="7" xfId="1" applyNumberFormat="1" applyFont="1" applyFill="1" applyBorder="1" applyAlignment="1">
      <alignment horizontal="center" vertical="center" wrapText="1"/>
    </xf>
    <xf numFmtId="0" fontId="5" fillId="6" borderId="8" xfId="1" applyFont="1" applyFill="1" applyBorder="1" applyAlignment="1">
      <alignment horizontal="center" vertical="center" wrapText="1"/>
    </xf>
    <xf numFmtId="0" fontId="5" fillId="6" borderId="9" xfId="1" applyFont="1" applyFill="1" applyBorder="1" applyAlignment="1">
      <alignment horizontal="center" vertical="center" wrapText="1"/>
    </xf>
    <xf numFmtId="0" fontId="5" fillId="6" borderId="10" xfId="1" applyFont="1" applyFill="1" applyBorder="1" applyAlignment="1">
      <alignment horizontal="center" vertical="center" wrapText="1"/>
    </xf>
    <xf numFmtId="0" fontId="5" fillId="6" borderId="11" xfId="1" applyFont="1" applyFill="1" applyBorder="1" applyAlignment="1">
      <alignment horizontal="center" vertical="center" wrapText="1"/>
    </xf>
    <xf numFmtId="0" fontId="5" fillId="6" borderId="12" xfId="1" applyFont="1" applyFill="1" applyBorder="1" applyAlignment="1">
      <alignment horizontal="center" vertical="center" wrapText="1"/>
    </xf>
    <xf numFmtId="164" fontId="6" fillId="6" borderId="10" xfId="1" applyNumberFormat="1" applyFont="1" applyFill="1" applyBorder="1" applyAlignment="1">
      <alignment horizontal="center" vertical="center"/>
    </xf>
    <xf numFmtId="0" fontId="6" fillId="6" borderId="11" xfId="1" applyFont="1" applyFill="1" applyBorder="1" applyAlignment="1">
      <alignment horizontal="center" vertical="center"/>
    </xf>
    <xf numFmtId="0" fontId="6" fillId="6" borderId="12" xfId="1" applyFont="1" applyFill="1" applyBorder="1" applyAlignment="1">
      <alignment horizontal="center" vertical="center"/>
    </xf>
    <xf numFmtId="4" fontId="6" fillId="6" borderId="10" xfId="1" applyNumberFormat="1" applyFont="1" applyFill="1" applyBorder="1" applyAlignment="1">
      <alignment horizontal="center" vertical="center"/>
    </xf>
    <xf numFmtId="0" fontId="6" fillId="7" borderId="29" xfId="1" applyFont="1" applyFill="1" applyBorder="1" applyAlignment="1">
      <alignment horizontal="center" vertical="center" wrapText="1"/>
    </xf>
    <xf numFmtId="0" fontId="6" fillId="7" borderId="33" xfId="1" applyFont="1" applyFill="1" applyBorder="1" applyAlignment="1">
      <alignment horizontal="center" vertical="center" wrapText="1"/>
    </xf>
    <xf numFmtId="164" fontId="6" fillId="7" borderId="30" xfId="1" applyNumberFormat="1" applyFont="1" applyFill="1" applyBorder="1" applyAlignment="1">
      <alignment horizontal="center" vertical="center"/>
    </xf>
    <xf numFmtId="164" fontId="6" fillId="7" borderId="31" xfId="1" applyNumberFormat="1" applyFont="1" applyFill="1" applyBorder="1" applyAlignment="1">
      <alignment horizontal="center" vertical="center"/>
    </xf>
    <xf numFmtId="164" fontId="6" fillId="7" borderId="32" xfId="1" applyNumberFormat="1" applyFont="1" applyFill="1" applyBorder="1" applyAlignment="1">
      <alignment horizontal="center" vertical="center"/>
    </xf>
    <xf numFmtId="4" fontId="6" fillId="7" borderId="7" xfId="1" applyNumberFormat="1" applyFont="1" applyFill="1" applyBorder="1" applyAlignment="1">
      <alignment horizontal="center" vertical="center" wrapText="1"/>
    </xf>
    <xf numFmtId="0" fontId="6" fillId="7" borderId="8" xfId="1" applyFont="1" applyFill="1" applyBorder="1" applyAlignment="1">
      <alignment horizontal="center" vertical="center" wrapText="1"/>
    </xf>
    <xf numFmtId="0" fontId="6" fillId="7" borderId="10" xfId="1" applyFont="1" applyFill="1" applyBorder="1" applyAlignment="1">
      <alignment horizontal="center" vertical="center" wrapText="1"/>
    </xf>
    <xf numFmtId="0" fontId="6" fillId="7" borderId="11" xfId="1" applyFont="1" applyFill="1" applyBorder="1" applyAlignment="1">
      <alignment horizontal="center" vertical="center" wrapText="1"/>
    </xf>
    <xf numFmtId="4" fontId="6" fillId="7" borderId="30" xfId="1" applyNumberFormat="1" applyFont="1" applyFill="1" applyBorder="1" applyAlignment="1">
      <alignment horizontal="center" vertical="center"/>
    </xf>
    <xf numFmtId="0" fontId="6" fillId="7" borderId="31" xfId="1" applyFont="1" applyFill="1" applyBorder="1" applyAlignment="1">
      <alignment horizontal="center" vertical="center"/>
    </xf>
    <xf numFmtId="0" fontId="6" fillId="7" borderId="32" xfId="1" applyFont="1" applyFill="1" applyBorder="1" applyAlignment="1">
      <alignment horizontal="center" vertical="center"/>
    </xf>
    <xf numFmtId="164" fontId="5" fillId="7" borderId="7" xfId="1" applyNumberFormat="1" applyFont="1" applyFill="1" applyBorder="1" applyAlignment="1">
      <alignment horizontal="center" vertical="center" wrapText="1"/>
    </xf>
    <xf numFmtId="0" fontId="5" fillId="7" borderId="8" xfId="1" applyFont="1" applyFill="1" applyBorder="1" applyAlignment="1">
      <alignment horizontal="center" vertical="center" wrapText="1"/>
    </xf>
    <xf numFmtId="0" fontId="5" fillId="7" borderId="9" xfId="1" applyFont="1" applyFill="1" applyBorder="1" applyAlignment="1">
      <alignment horizontal="center" vertical="center" wrapText="1"/>
    </xf>
    <xf numFmtId="0" fontId="5" fillId="7" borderId="10" xfId="1" applyFont="1" applyFill="1" applyBorder="1" applyAlignment="1">
      <alignment horizontal="center" vertical="center" wrapText="1"/>
    </xf>
    <xf numFmtId="0" fontId="5" fillId="7" borderId="11" xfId="1" applyFont="1" applyFill="1" applyBorder="1" applyAlignment="1">
      <alignment horizontal="center" vertical="center" wrapText="1"/>
    </xf>
    <xf numFmtId="0" fontId="5" fillId="7" borderId="12" xfId="1" applyFont="1" applyFill="1" applyBorder="1" applyAlignment="1">
      <alignment horizontal="center" vertical="center" wrapText="1"/>
    </xf>
    <xf numFmtId="164" fontId="6" fillId="7" borderId="13" xfId="1" applyNumberFormat="1" applyFont="1" applyFill="1" applyBorder="1" applyAlignment="1">
      <alignment horizontal="center" vertical="center"/>
    </xf>
    <xf numFmtId="164" fontId="6" fillId="7" borderId="15" xfId="1" applyNumberFormat="1" applyFont="1" applyFill="1" applyBorder="1" applyAlignment="1">
      <alignment horizontal="center" vertical="center"/>
    </xf>
    <xf numFmtId="164" fontId="6" fillId="7" borderId="16" xfId="1" applyNumberFormat="1" applyFont="1" applyFill="1" applyBorder="1" applyAlignment="1">
      <alignment horizontal="center" vertical="center"/>
    </xf>
    <xf numFmtId="4" fontId="6" fillId="7" borderId="10" xfId="1" applyNumberFormat="1" applyFont="1" applyFill="1" applyBorder="1" applyAlignment="1">
      <alignment horizontal="center" vertical="center"/>
    </xf>
    <xf numFmtId="0" fontId="6" fillId="7" borderId="11" xfId="1" applyFont="1" applyFill="1" applyBorder="1" applyAlignment="1">
      <alignment horizontal="center" vertical="center"/>
    </xf>
    <xf numFmtId="0" fontId="6" fillId="7" borderId="12" xfId="1" applyFont="1" applyFill="1" applyBorder="1" applyAlignment="1">
      <alignment horizontal="center" vertical="center"/>
    </xf>
    <xf numFmtId="0" fontId="6" fillId="8" borderId="29" xfId="1" applyFont="1" applyFill="1" applyBorder="1" applyAlignment="1">
      <alignment horizontal="center" vertical="center" wrapText="1"/>
    </xf>
    <xf numFmtId="0" fontId="6" fillId="8" borderId="33" xfId="1" applyFont="1" applyFill="1" applyBorder="1" applyAlignment="1">
      <alignment horizontal="center" vertical="center" wrapText="1"/>
    </xf>
    <xf numFmtId="164" fontId="6" fillId="8" borderId="30" xfId="1" applyNumberFormat="1" applyFont="1" applyFill="1" applyBorder="1" applyAlignment="1">
      <alignment horizontal="center" vertical="center"/>
    </xf>
    <xf numFmtId="0" fontId="6" fillId="8" borderId="31" xfId="1" applyFont="1" applyFill="1" applyBorder="1" applyAlignment="1">
      <alignment horizontal="center" vertical="center"/>
    </xf>
    <xf numFmtId="0" fontId="6" fillId="8" borderId="32" xfId="1" applyFont="1" applyFill="1" applyBorder="1" applyAlignment="1">
      <alignment horizontal="center" vertical="center"/>
    </xf>
    <xf numFmtId="4" fontId="6" fillId="8" borderId="7" xfId="1" applyNumberFormat="1" applyFont="1" applyFill="1" applyBorder="1" applyAlignment="1">
      <alignment horizontal="center" vertical="center" wrapText="1"/>
    </xf>
    <xf numFmtId="0" fontId="6" fillId="8" borderId="8" xfId="1" applyFont="1" applyFill="1" applyBorder="1" applyAlignment="1">
      <alignment horizontal="center" vertical="center" wrapText="1"/>
    </xf>
    <xf numFmtId="0" fontId="6" fillId="8" borderId="10" xfId="1" applyFont="1" applyFill="1" applyBorder="1" applyAlignment="1">
      <alignment horizontal="center" vertical="center" wrapText="1"/>
    </xf>
    <xf numFmtId="0" fontId="6" fillId="8" borderId="11" xfId="1" applyFont="1" applyFill="1" applyBorder="1" applyAlignment="1">
      <alignment horizontal="center" vertical="center" wrapText="1"/>
    </xf>
    <xf numFmtId="4" fontId="6" fillId="8" borderId="30" xfId="1" applyNumberFormat="1" applyFont="1" applyFill="1" applyBorder="1" applyAlignment="1">
      <alignment horizontal="center" vertical="center"/>
    </xf>
    <xf numFmtId="164" fontId="5" fillId="8" borderId="7" xfId="1" applyNumberFormat="1" applyFont="1" applyFill="1" applyBorder="1" applyAlignment="1">
      <alignment horizontal="center" vertical="center" wrapText="1"/>
    </xf>
    <xf numFmtId="0" fontId="5" fillId="8" borderId="8" xfId="1" applyFont="1" applyFill="1" applyBorder="1" applyAlignment="1">
      <alignment horizontal="center" vertical="center" wrapText="1"/>
    </xf>
    <xf numFmtId="0" fontId="5" fillId="8" borderId="9" xfId="1" applyFont="1" applyFill="1" applyBorder="1" applyAlignment="1">
      <alignment horizontal="center" vertical="center" wrapText="1"/>
    </xf>
    <xf numFmtId="0" fontId="5" fillId="8" borderId="10" xfId="1" applyFont="1" applyFill="1" applyBorder="1" applyAlignment="1">
      <alignment horizontal="center" vertical="center" wrapText="1"/>
    </xf>
    <xf numFmtId="0" fontId="5" fillId="8" borderId="11" xfId="1" applyFont="1" applyFill="1" applyBorder="1" applyAlignment="1">
      <alignment horizontal="center" vertical="center" wrapText="1"/>
    </xf>
    <xf numFmtId="0" fontId="5" fillId="8" borderId="12" xfId="1" applyFont="1" applyFill="1" applyBorder="1" applyAlignment="1">
      <alignment horizontal="center" vertical="center" wrapText="1"/>
    </xf>
    <xf numFmtId="164" fontId="6" fillId="8" borderId="10" xfId="1" applyNumberFormat="1" applyFont="1" applyFill="1" applyBorder="1" applyAlignment="1">
      <alignment horizontal="center" vertical="center"/>
    </xf>
    <xf numFmtId="0" fontId="6" fillId="8" borderId="11" xfId="1" applyFont="1" applyFill="1" applyBorder="1" applyAlignment="1">
      <alignment horizontal="center" vertical="center"/>
    </xf>
    <xf numFmtId="0" fontId="6" fillId="8" borderId="12" xfId="1" applyFont="1" applyFill="1" applyBorder="1" applyAlignment="1">
      <alignment horizontal="center" vertical="center"/>
    </xf>
    <xf numFmtId="4" fontId="6" fillId="8" borderId="13" xfId="1" applyNumberFormat="1" applyFont="1" applyFill="1" applyBorder="1" applyAlignment="1">
      <alignment horizontal="center" vertical="center"/>
    </xf>
    <xf numFmtId="4" fontId="6" fillId="8" borderId="15" xfId="1" applyNumberFormat="1" applyFont="1" applyFill="1" applyBorder="1" applyAlignment="1">
      <alignment horizontal="center" vertical="center"/>
    </xf>
    <xf numFmtId="4" fontId="6" fillId="8" borderId="16" xfId="1" applyNumberFormat="1" applyFont="1" applyFill="1" applyBorder="1" applyAlignment="1">
      <alignment horizontal="center" vertical="center"/>
    </xf>
    <xf numFmtId="0" fontId="6" fillId="0" borderId="29" xfId="1" applyFont="1" applyBorder="1" applyAlignment="1">
      <alignment horizontal="center" vertical="center" wrapText="1"/>
    </xf>
    <xf numFmtId="0" fontId="6" fillId="0" borderId="33" xfId="1" applyFont="1" applyBorder="1" applyAlignment="1">
      <alignment horizontal="center" vertical="center" wrapText="1"/>
    </xf>
    <xf numFmtId="164" fontId="6" fillId="0" borderId="30" xfId="1" applyNumberFormat="1" applyFont="1" applyBorder="1" applyAlignment="1">
      <alignment horizontal="center" vertical="center"/>
    </xf>
    <xf numFmtId="164" fontId="6" fillId="0" borderId="31" xfId="1" applyNumberFormat="1" applyFont="1" applyBorder="1" applyAlignment="1">
      <alignment horizontal="center" vertical="center"/>
    </xf>
    <xf numFmtId="164" fontId="6" fillId="0" borderId="32" xfId="1" applyNumberFormat="1" applyFont="1" applyBorder="1" applyAlignment="1">
      <alignment horizontal="center" vertical="center"/>
    </xf>
    <xf numFmtId="4" fontId="6" fillId="0" borderId="7" xfId="1" applyNumberFormat="1" applyFont="1" applyBorder="1" applyAlignment="1">
      <alignment horizontal="center" vertical="center" wrapText="1"/>
    </xf>
    <xf numFmtId="4" fontId="6" fillId="0" borderId="8" xfId="1" applyNumberFormat="1" applyFont="1" applyBorder="1" applyAlignment="1">
      <alignment horizontal="center" vertical="center" wrapText="1"/>
    </xf>
    <xf numFmtId="4" fontId="6" fillId="0" borderId="9" xfId="1" applyNumberFormat="1" applyFont="1" applyBorder="1" applyAlignment="1">
      <alignment horizontal="center" vertical="center" wrapText="1"/>
    </xf>
    <xf numFmtId="4" fontId="6" fillId="0" borderId="10" xfId="1" applyNumberFormat="1" applyFont="1" applyBorder="1" applyAlignment="1">
      <alignment horizontal="center" vertical="center" wrapText="1"/>
    </xf>
    <xf numFmtId="4" fontId="6" fillId="0" borderId="11" xfId="1" applyNumberFormat="1" applyFont="1" applyBorder="1" applyAlignment="1">
      <alignment horizontal="center" vertical="center" wrapText="1"/>
    </xf>
    <xf numFmtId="4" fontId="6" fillId="0" borderId="12" xfId="1" applyNumberFormat="1" applyFont="1" applyBorder="1" applyAlignment="1">
      <alignment horizontal="center" vertical="center" wrapText="1"/>
    </xf>
    <xf numFmtId="4" fontId="6" fillId="0" borderId="39" xfId="1" applyNumberFormat="1" applyFont="1" applyBorder="1" applyAlignment="1">
      <alignment horizontal="center" vertical="center"/>
    </xf>
    <xf numFmtId="4" fontId="6" fillId="0" borderId="38" xfId="1" applyNumberFormat="1" applyFont="1" applyBorder="1" applyAlignment="1">
      <alignment horizontal="center" vertical="center"/>
    </xf>
    <xf numFmtId="4" fontId="6" fillId="0" borderId="40" xfId="1" applyNumberFormat="1" applyFont="1" applyBorder="1" applyAlignment="1">
      <alignment horizontal="center" vertical="center"/>
    </xf>
    <xf numFmtId="164" fontId="6" fillId="0" borderId="7" xfId="1" applyNumberFormat="1" applyFont="1" applyBorder="1" applyAlignment="1">
      <alignment horizontal="center" vertical="center" wrapText="1"/>
    </xf>
    <xf numFmtId="164" fontId="6" fillId="0" borderId="8" xfId="1" applyNumberFormat="1" applyFont="1" applyBorder="1" applyAlignment="1">
      <alignment horizontal="center" vertical="center" wrapText="1"/>
    </xf>
    <xf numFmtId="164" fontId="6" fillId="0" borderId="9" xfId="1" applyNumberFormat="1" applyFont="1" applyBorder="1" applyAlignment="1">
      <alignment horizontal="center" vertical="center" wrapText="1"/>
    </xf>
    <xf numFmtId="164" fontId="6" fillId="0" borderId="10" xfId="1" applyNumberFormat="1" applyFont="1" applyBorder="1" applyAlignment="1">
      <alignment horizontal="center" vertical="center" wrapText="1"/>
    </xf>
    <xf numFmtId="164" fontId="6" fillId="0" borderId="11" xfId="1" applyNumberFormat="1" applyFont="1" applyBorder="1" applyAlignment="1">
      <alignment horizontal="center" vertical="center" wrapText="1"/>
    </xf>
    <xf numFmtId="164" fontId="6" fillId="0" borderId="12" xfId="1" applyNumberFormat="1" applyFont="1" applyBorder="1" applyAlignment="1">
      <alignment horizontal="center" vertical="center" wrapText="1"/>
    </xf>
    <xf numFmtId="164" fontId="6" fillId="0" borderId="13" xfId="1" applyNumberFormat="1" applyFont="1" applyBorder="1" applyAlignment="1">
      <alignment horizontal="center" vertical="center"/>
    </xf>
    <xf numFmtId="164" fontId="6" fillId="0" borderId="15" xfId="1" applyNumberFormat="1" applyFont="1" applyBorder="1" applyAlignment="1">
      <alignment horizontal="center" vertical="center"/>
    </xf>
    <xf numFmtId="164" fontId="6" fillId="0" borderId="16" xfId="1" applyNumberFormat="1" applyFont="1" applyBorder="1" applyAlignment="1">
      <alignment horizontal="center" vertical="center"/>
    </xf>
    <xf numFmtId="4" fontId="6" fillId="0" borderId="30" xfId="1" applyNumberFormat="1" applyFont="1" applyBorder="1" applyAlignment="1">
      <alignment horizontal="center" vertical="center"/>
    </xf>
    <xf numFmtId="4" fontId="6" fillId="0" borderId="31" xfId="1" applyNumberFormat="1" applyFont="1" applyBorder="1" applyAlignment="1">
      <alignment horizontal="center" vertical="center"/>
    </xf>
    <xf numFmtId="4" fontId="6" fillId="0" borderId="32" xfId="1" applyNumberFormat="1" applyFont="1" applyBorder="1" applyAlignment="1">
      <alignment horizontal="center" vertical="center"/>
    </xf>
    <xf numFmtId="4" fontId="6" fillId="0" borderId="13" xfId="1" applyNumberFormat="1" applyFont="1" applyBorder="1" applyAlignment="1">
      <alignment horizontal="center" vertical="center"/>
    </xf>
    <xf numFmtId="4" fontId="6" fillId="0" borderId="15" xfId="1" applyNumberFormat="1" applyFont="1" applyBorder="1" applyAlignment="1">
      <alignment horizontal="center" vertical="center"/>
    </xf>
    <xf numFmtId="4" fontId="6" fillId="0" borderId="16" xfId="1" applyNumberFormat="1" applyFont="1" applyBorder="1" applyAlignment="1">
      <alignment horizontal="center" vertical="center"/>
    </xf>
    <xf numFmtId="2" fontId="6" fillId="0" borderId="7" xfId="1" applyNumberFormat="1" applyFont="1" applyBorder="1" applyAlignment="1">
      <alignment horizontal="center" vertical="center" wrapText="1"/>
    </xf>
    <xf numFmtId="2" fontId="6" fillId="0" borderId="8" xfId="1" applyNumberFormat="1" applyFont="1" applyBorder="1" applyAlignment="1">
      <alignment horizontal="center" vertical="center" wrapText="1"/>
    </xf>
    <xf numFmtId="2" fontId="6" fillId="0" borderId="9" xfId="1" applyNumberFormat="1" applyFont="1" applyBorder="1" applyAlignment="1">
      <alignment horizontal="center" vertical="center" wrapText="1"/>
    </xf>
    <xf numFmtId="2" fontId="6" fillId="0" borderId="10" xfId="1" applyNumberFormat="1" applyFont="1" applyBorder="1" applyAlignment="1">
      <alignment horizontal="center" vertical="center" wrapText="1"/>
    </xf>
    <xf numFmtId="2" fontId="6" fillId="0" borderId="11" xfId="1" applyNumberFormat="1" applyFont="1" applyBorder="1" applyAlignment="1">
      <alignment horizontal="center" vertical="center" wrapText="1"/>
    </xf>
    <xf numFmtId="2" fontId="6" fillId="0" borderId="12" xfId="1" applyNumberFormat="1" applyFont="1" applyBorder="1" applyAlignment="1">
      <alignment horizontal="center" vertical="center" wrapText="1"/>
    </xf>
    <xf numFmtId="0" fontId="6" fillId="0" borderId="30" xfId="1" applyFont="1" applyBorder="1" applyAlignment="1">
      <alignment horizontal="center" vertical="center"/>
    </xf>
    <xf numFmtId="0" fontId="6" fillId="0" borderId="31" xfId="1" applyFont="1" applyBorder="1" applyAlignment="1">
      <alignment horizontal="center" vertical="center"/>
    </xf>
    <xf numFmtId="0" fontId="6" fillId="0" borderId="32" xfId="1" applyFont="1" applyBorder="1" applyAlignment="1">
      <alignment horizontal="center" vertical="center"/>
    </xf>
    <xf numFmtId="0" fontId="6" fillId="0" borderId="7" xfId="1" applyFont="1" applyBorder="1" applyAlignment="1">
      <alignment horizontal="center" vertical="center" wrapText="1"/>
    </xf>
    <xf numFmtId="0" fontId="6" fillId="0" borderId="8" xfId="1" applyFont="1" applyBorder="1" applyAlignment="1">
      <alignment horizontal="center" vertical="center" wrapText="1"/>
    </xf>
    <xf numFmtId="0" fontId="6" fillId="0" borderId="9"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11" xfId="1" applyFont="1" applyBorder="1" applyAlignment="1">
      <alignment horizontal="center" vertical="center" wrapText="1"/>
    </xf>
    <xf numFmtId="0" fontId="6" fillId="0" borderId="12" xfId="1" applyFont="1" applyBorder="1" applyAlignment="1">
      <alignment horizontal="center" vertical="center" wrapText="1"/>
    </xf>
    <xf numFmtId="0" fontId="6" fillId="0" borderId="13" xfId="1" applyFont="1" applyBorder="1" applyAlignment="1">
      <alignment horizontal="center" vertical="center"/>
    </xf>
    <xf numFmtId="0" fontId="6" fillId="0" borderId="15" xfId="1" applyFont="1" applyBorder="1" applyAlignment="1">
      <alignment horizontal="center" vertical="center"/>
    </xf>
    <xf numFmtId="0" fontId="6" fillId="0" borderId="16" xfId="1" applyFont="1" applyBorder="1" applyAlignment="1">
      <alignment horizontal="center" vertical="center"/>
    </xf>
    <xf numFmtId="166" fontId="32" fillId="5" borderId="39" xfId="1" applyNumberFormat="1" applyFont="1" applyFill="1" applyBorder="1" applyAlignment="1">
      <alignment horizontal="center" vertical="center"/>
    </xf>
    <xf numFmtId="166" fontId="32" fillId="5" borderId="38" xfId="1" applyNumberFormat="1" applyFont="1" applyFill="1" applyBorder="1" applyAlignment="1">
      <alignment horizontal="center" vertical="center"/>
    </xf>
    <xf numFmtId="166" fontId="32" fillId="5" borderId="40" xfId="1" applyNumberFormat="1" applyFont="1" applyFill="1" applyBorder="1" applyAlignment="1">
      <alignment horizontal="center" vertical="center"/>
    </xf>
    <xf numFmtId="166" fontId="32" fillId="0" borderId="39" xfId="1" applyNumberFormat="1" applyFont="1" applyBorder="1" applyAlignment="1">
      <alignment horizontal="center" vertical="center"/>
    </xf>
    <xf numFmtId="166" fontId="32" fillId="0" borderId="40" xfId="1" applyNumberFormat="1" applyFont="1" applyBorder="1" applyAlignment="1">
      <alignment horizontal="center" vertical="center"/>
    </xf>
    <xf numFmtId="166" fontId="22" fillId="5" borderId="39" xfId="1" applyNumberFormat="1" applyFont="1" applyFill="1" applyBorder="1" applyAlignment="1">
      <alignment horizontal="center" vertical="center"/>
    </xf>
    <xf numFmtId="166" fontId="22" fillId="5" borderId="38" xfId="1" applyNumberFormat="1" applyFont="1" applyFill="1" applyBorder="1" applyAlignment="1">
      <alignment horizontal="center" vertical="center"/>
    </xf>
    <xf numFmtId="166" fontId="22" fillId="5" borderId="40" xfId="1" applyNumberFormat="1" applyFont="1" applyFill="1" applyBorder="1" applyAlignment="1">
      <alignment horizontal="center" vertical="center"/>
    </xf>
  </cellXfs>
  <cellStyles count="8">
    <cellStyle name="Normal" xfId="0" builtinId="0"/>
    <cellStyle name="Normal 2" xfId="1" xr:uid="{E407050A-B03F-4988-981D-5CD899E98422}"/>
    <cellStyle name="Normal 2 2" xfId="5" xr:uid="{0ED8D63C-E5A1-4F9A-BB12-900581F02A19}"/>
    <cellStyle name="Normal 3" xfId="2" xr:uid="{52BB560D-D37B-4815-ABBD-1EBA91C35E87}"/>
    <cellStyle name="Per cent 2" xfId="3" xr:uid="{663C3378-9759-4ADD-98F3-DBA5C391FCC7}"/>
    <cellStyle name="Per cent 2 2" xfId="6" xr:uid="{A474AFDB-90A5-4CFD-955C-910C4BB489E9}"/>
    <cellStyle name="Percent" xfId="7" builtinId="5"/>
    <cellStyle name="Percent 2" xfId="4" xr:uid="{9D48A9B0-E030-44DB-BAEB-9134ADD0E379}"/>
  </cellStyles>
  <dxfs count="0"/>
  <tableStyles count="1" defaultTableStyle="TableStyleMedium2" defaultPivotStyle="PivotStyleLight16">
    <tableStyle name="Invisible" pivot="0" table="0" count="0" xr9:uid="{0EB2A0D4-A43E-4C99-8ED6-B902976F34A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BikeHired</a:t>
            </a:r>
            <a:r>
              <a:rPr lang="en-AU" baseline="0"/>
              <a:t> &amp; Temperature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dispRSqr val="1"/>
            <c:dispEq val="1"/>
            <c:trendlineLbl>
              <c:layout>
                <c:manualLayout>
                  <c:x val="-0.51550890092516533"/>
                  <c:y val="-6.566650662068210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Correlation!$D$130:$D$494</c:f>
              <c:numCache>
                <c:formatCode>General</c:formatCode>
                <c:ptCount val="365"/>
                <c:pt idx="0">
                  <c:v>93</c:v>
                </c:pt>
                <c:pt idx="1">
                  <c:v>121</c:v>
                </c:pt>
                <c:pt idx="2">
                  <c:v>94</c:v>
                </c:pt>
                <c:pt idx="3">
                  <c:v>93</c:v>
                </c:pt>
                <c:pt idx="4">
                  <c:v>92</c:v>
                </c:pt>
                <c:pt idx="5">
                  <c:v>81</c:v>
                </c:pt>
                <c:pt idx="6">
                  <c:v>107</c:v>
                </c:pt>
                <c:pt idx="7">
                  <c:v>98</c:v>
                </c:pt>
                <c:pt idx="8">
                  <c:v>81</c:v>
                </c:pt>
                <c:pt idx="9">
                  <c:v>85</c:v>
                </c:pt>
                <c:pt idx="10">
                  <c:v>87</c:v>
                </c:pt>
                <c:pt idx="11">
                  <c:v>102</c:v>
                </c:pt>
                <c:pt idx="12">
                  <c:v>110</c:v>
                </c:pt>
                <c:pt idx="13">
                  <c:v>118</c:v>
                </c:pt>
                <c:pt idx="14">
                  <c:v>106</c:v>
                </c:pt>
                <c:pt idx="15">
                  <c:v>89</c:v>
                </c:pt>
                <c:pt idx="16">
                  <c:v>91</c:v>
                </c:pt>
                <c:pt idx="17">
                  <c:v>87</c:v>
                </c:pt>
                <c:pt idx="18">
                  <c:v>76</c:v>
                </c:pt>
                <c:pt idx="19">
                  <c:v>68</c:v>
                </c:pt>
                <c:pt idx="20">
                  <c:v>66</c:v>
                </c:pt>
                <c:pt idx="21">
                  <c:v>72</c:v>
                </c:pt>
                <c:pt idx="22">
                  <c:v>76</c:v>
                </c:pt>
                <c:pt idx="23">
                  <c:v>92</c:v>
                </c:pt>
                <c:pt idx="24">
                  <c:v>93</c:v>
                </c:pt>
                <c:pt idx="25">
                  <c:v>88</c:v>
                </c:pt>
                <c:pt idx="26">
                  <c:v>77</c:v>
                </c:pt>
                <c:pt idx="27">
                  <c:v>89</c:v>
                </c:pt>
                <c:pt idx="28">
                  <c:v>86</c:v>
                </c:pt>
                <c:pt idx="29">
                  <c:v>86</c:v>
                </c:pt>
                <c:pt idx="30">
                  <c:v>97</c:v>
                </c:pt>
                <c:pt idx="31">
                  <c:v>71</c:v>
                </c:pt>
                <c:pt idx="32">
                  <c:v>92</c:v>
                </c:pt>
                <c:pt idx="33">
                  <c:v>97</c:v>
                </c:pt>
                <c:pt idx="34">
                  <c:v>85</c:v>
                </c:pt>
                <c:pt idx="35">
                  <c:v>76</c:v>
                </c:pt>
                <c:pt idx="36">
                  <c:v>87</c:v>
                </c:pt>
                <c:pt idx="37">
                  <c:v>92</c:v>
                </c:pt>
                <c:pt idx="38">
                  <c:v>96</c:v>
                </c:pt>
                <c:pt idx="39">
                  <c:v>96</c:v>
                </c:pt>
                <c:pt idx="40">
                  <c:v>98</c:v>
                </c:pt>
                <c:pt idx="41">
                  <c:v>83</c:v>
                </c:pt>
                <c:pt idx="42">
                  <c:v>77</c:v>
                </c:pt>
                <c:pt idx="43">
                  <c:v>87</c:v>
                </c:pt>
                <c:pt idx="44">
                  <c:v>94</c:v>
                </c:pt>
                <c:pt idx="45">
                  <c:v>94</c:v>
                </c:pt>
                <c:pt idx="46">
                  <c:v>76</c:v>
                </c:pt>
                <c:pt idx="47">
                  <c:v>83</c:v>
                </c:pt>
                <c:pt idx="48">
                  <c:v>104</c:v>
                </c:pt>
                <c:pt idx="49">
                  <c:v>77</c:v>
                </c:pt>
                <c:pt idx="50">
                  <c:v>96</c:v>
                </c:pt>
                <c:pt idx="51">
                  <c:v>118</c:v>
                </c:pt>
                <c:pt idx="52">
                  <c:v>103</c:v>
                </c:pt>
                <c:pt idx="53">
                  <c:v>71</c:v>
                </c:pt>
                <c:pt idx="54">
                  <c:v>93</c:v>
                </c:pt>
                <c:pt idx="55">
                  <c:v>23</c:v>
                </c:pt>
                <c:pt idx="56">
                  <c:v>86</c:v>
                </c:pt>
                <c:pt idx="57">
                  <c:v>93</c:v>
                </c:pt>
                <c:pt idx="58">
                  <c:v>105</c:v>
                </c:pt>
                <c:pt idx="59">
                  <c:v>101</c:v>
                </c:pt>
                <c:pt idx="60">
                  <c:v>103</c:v>
                </c:pt>
                <c:pt idx="61">
                  <c:v>95</c:v>
                </c:pt>
                <c:pt idx="62">
                  <c:v>90</c:v>
                </c:pt>
                <c:pt idx="63">
                  <c:v>98</c:v>
                </c:pt>
                <c:pt idx="64">
                  <c:v>67</c:v>
                </c:pt>
                <c:pt idx="65">
                  <c:v>54</c:v>
                </c:pt>
                <c:pt idx="66">
                  <c:v>40</c:v>
                </c:pt>
                <c:pt idx="67">
                  <c:v>37</c:v>
                </c:pt>
                <c:pt idx="68">
                  <c:v>71</c:v>
                </c:pt>
                <c:pt idx="69">
                  <c:v>107</c:v>
                </c:pt>
                <c:pt idx="70">
                  <c:v>101</c:v>
                </c:pt>
                <c:pt idx="71">
                  <c:v>94</c:v>
                </c:pt>
                <c:pt idx="72">
                  <c:v>95</c:v>
                </c:pt>
                <c:pt idx="73">
                  <c:v>96</c:v>
                </c:pt>
                <c:pt idx="74">
                  <c:v>74</c:v>
                </c:pt>
                <c:pt idx="75">
                  <c:v>95</c:v>
                </c:pt>
                <c:pt idx="76">
                  <c:v>91</c:v>
                </c:pt>
                <c:pt idx="77">
                  <c:v>85</c:v>
                </c:pt>
                <c:pt idx="78">
                  <c:v>91</c:v>
                </c:pt>
                <c:pt idx="79">
                  <c:v>73</c:v>
                </c:pt>
                <c:pt idx="80">
                  <c:v>87</c:v>
                </c:pt>
                <c:pt idx="81">
                  <c:v>96</c:v>
                </c:pt>
                <c:pt idx="82">
                  <c:v>48</c:v>
                </c:pt>
                <c:pt idx="83">
                  <c:v>109</c:v>
                </c:pt>
                <c:pt idx="84">
                  <c:v>100</c:v>
                </c:pt>
                <c:pt idx="85">
                  <c:v>93</c:v>
                </c:pt>
                <c:pt idx="86">
                  <c:v>83</c:v>
                </c:pt>
                <c:pt idx="87">
                  <c:v>79</c:v>
                </c:pt>
                <c:pt idx="88">
                  <c:v>97</c:v>
                </c:pt>
                <c:pt idx="89">
                  <c:v>104</c:v>
                </c:pt>
                <c:pt idx="90">
                  <c:v>49</c:v>
                </c:pt>
                <c:pt idx="91">
                  <c:v>58</c:v>
                </c:pt>
                <c:pt idx="92">
                  <c:v>72</c:v>
                </c:pt>
                <c:pt idx="93">
                  <c:v>89</c:v>
                </c:pt>
                <c:pt idx="94">
                  <c:v>96</c:v>
                </c:pt>
                <c:pt idx="95">
                  <c:v>96</c:v>
                </c:pt>
                <c:pt idx="96">
                  <c:v>100</c:v>
                </c:pt>
                <c:pt idx="97">
                  <c:v>108</c:v>
                </c:pt>
                <c:pt idx="98">
                  <c:v>110</c:v>
                </c:pt>
                <c:pt idx="99">
                  <c:v>102</c:v>
                </c:pt>
                <c:pt idx="100">
                  <c:v>91</c:v>
                </c:pt>
                <c:pt idx="101">
                  <c:v>48</c:v>
                </c:pt>
                <c:pt idx="102">
                  <c:v>58</c:v>
                </c:pt>
                <c:pt idx="103">
                  <c:v>73</c:v>
                </c:pt>
                <c:pt idx="104">
                  <c:v>104</c:v>
                </c:pt>
                <c:pt idx="105">
                  <c:v>101</c:v>
                </c:pt>
                <c:pt idx="106">
                  <c:v>91</c:v>
                </c:pt>
                <c:pt idx="107">
                  <c:v>95</c:v>
                </c:pt>
                <c:pt idx="108">
                  <c:v>48</c:v>
                </c:pt>
                <c:pt idx="109">
                  <c:v>83</c:v>
                </c:pt>
                <c:pt idx="110">
                  <c:v>87</c:v>
                </c:pt>
                <c:pt idx="111">
                  <c:v>86</c:v>
                </c:pt>
                <c:pt idx="112">
                  <c:v>87</c:v>
                </c:pt>
                <c:pt idx="113">
                  <c:v>84</c:v>
                </c:pt>
                <c:pt idx="114">
                  <c:v>94</c:v>
                </c:pt>
                <c:pt idx="115">
                  <c:v>78</c:v>
                </c:pt>
                <c:pt idx="116">
                  <c:v>53</c:v>
                </c:pt>
                <c:pt idx="117">
                  <c:v>75</c:v>
                </c:pt>
                <c:pt idx="118">
                  <c:v>12</c:v>
                </c:pt>
                <c:pt idx="119">
                  <c:v>67</c:v>
                </c:pt>
                <c:pt idx="120">
                  <c:v>73</c:v>
                </c:pt>
                <c:pt idx="121">
                  <c:v>81</c:v>
                </c:pt>
                <c:pt idx="122">
                  <c:v>83</c:v>
                </c:pt>
                <c:pt idx="123">
                  <c:v>79</c:v>
                </c:pt>
                <c:pt idx="124">
                  <c:v>81</c:v>
                </c:pt>
                <c:pt idx="125">
                  <c:v>78</c:v>
                </c:pt>
                <c:pt idx="126">
                  <c:v>73</c:v>
                </c:pt>
                <c:pt idx="127">
                  <c:v>80</c:v>
                </c:pt>
                <c:pt idx="128">
                  <c:v>85</c:v>
                </c:pt>
                <c:pt idx="129">
                  <c:v>82</c:v>
                </c:pt>
                <c:pt idx="130">
                  <c:v>59</c:v>
                </c:pt>
                <c:pt idx="131">
                  <c:v>68</c:v>
                </c:pt>
                <c:pt idx="132">
                  <c:v>82</c:v>
                </c:pt>
                <c:pt idx="133">
                  <c:v>74</c:v>
                </c:pt>
                <c:pt idx="134">
                  <c:v>90</c:v>
                </c:pt>
                <c:pt idx="135">
                  <c:v>84</c:v>
                </c:pt>
                <c:pt idx="136">
                  <c:v>36</c:v>
                </c:pt>
                <c:pt idx="137">
                  <c:v>61</c:v>
                </c:pt>
                <c:pt idx="138">
                  <c:v>68</c:v>
                </c:pt>
                <c:pt idx="139">
                  <c:v>73</c:v>
                </c:pt>
                <c:pt idx="140">
                  <c:v>71</c:v>
                </c:pt>
                <c:pt idx="141">
                  <c:v>55</c:v>
                </c:pt>
                <c:pt idx="142">
                  <c:v>32</c:v>
                </c:pt>
                <c:pt idx="143">
                  <c:v>51</c:v>
                </c:pt>
                <c:pt idx="144">
                  <c:v>30</c:v>
                </c:pt>
                <c:pt idx="145">
                  <c:v>56</c:v>
                </c:pt>
                <c:pt idx="146">
                  <c:v>61</c:v>
                </c:pt>
                <c:pt idx="147">
                  <c:v>61</c:v>
                </c:pt>
                <c:pt idx="148">
                  <c:v>77</c:v>
                </c:pt>
                <c:pt idx="149">
                  <c:v>58</c:v>
                </c:pt>
                <c:pt idx="150">
                  <c:v>73</c:v>
                </c:pt>
                <c:pt idx="151">
                  <c:v>75</c:v>
                </c:pt>
                <c:pt idx="152">
                  <c:v>78</c:v>
                </c:pt>
                <c:pt idx="153">
                  <c:v>72</c:v>
                </c:pt>
                <c:pt idx="154">
                  <c:v>70</c:v>
                </c:pt>
                <c:pt idx="155">
                  <c:v>77</c:v>
                </c:pt>
                <c:pt idx="156">
                  <c:v>52</c:v>
                </c:pt>
                <c:pt idx="157">
                  <c:v>14</c:v>
                </c:pt>
                <c:pt idx="158">
                  <c:v>66</c:v>
                </c:pt>
                <c:pt idx="159">
                  <c:v>72</c:v>
                </c:pt>
                <c:pt idx="160">
                  <c:v>64</c:v>
                </c:pt>
                <c:pt idx="161">
                  <c:v>55</c:v>
                </c:pt>
                <c:pt idx="162">
                  <c:v>66</c:v>
                </c:pt>
                <c:pt idx="163">
                  <c:v>70</c:v>
                </c:pt>
                <c:pt idx="164">
                  <c:v>75</c:v>
                </c:pt>
                <c:pt idx="165">
                  <c:v>75</c:v>
                </c:pt>
                <c:pt idx="166">
                  <c:v>72</c:v>
                </c:pt>
                <c:pt idx="167">
                  <c:v>55</c:v>
                </c:pt>
                <c:pt idx="168">
                  <c:v>48</c:v>
                </c:pt>
                <c:pt idx="169">
                  <c:v>68</c:v>
                </c:pt>
                <c:pt idx="170">
                  <c:v>75</c:v>
                </c:pt>
                <c:pt idx="171">
                  <c:v>53</c:v>
                </c:pt>
                <c:pt idx="172">
                  <c:v>62</c:v>
                </c:pt>
                <c:pt idx="173">
                  <c:v>44</c:v>
                </c:pt>
                <c:pt idx="174">
                  <c:v>20</c:v>
                </c:pt>
                <c:pt idx="175">
                  <c:v>15</c:v>
                </c:pt>
                <c:pt idx="176">
                  <c:v>27</c:v>
                </c:pt>
                <c:pt idx="177">
                  <c:v>23</c:v>
                </c:pt>
                <c:pt idx="178">
                  <c:v>46</c:v>
                </c:pt>
                <c:pt idx="179">
                  <c:v>48</c:v>
                </c:pt>
                <c:pt idx="180">
                  <c:v>60</c:v>
                </c:pt>
                <c:pt idx="181">
                  <c:v>49</c:v>
                </c:pt>
                <c:pt idx="182">
                  <c:v>20</c:v>
                </c:pt>
                <c:pt idx="183">
                  <c:v>16</c:v>
                </c:pt>
                <c:pt idx="184">
                  <c:v>27</c:v>
                </c:pt>
                <c:pt idx="185">
                  <c:v>31</c:v>
                </c:pt>
                <c:pt idx="186">
                  <c:v>32</c:v>
                </c:pt>
                <c:pt idx="187">
                  <c:v>32</c:v>
                </c:pt>
                <c:pt idx="188">
                  <c:v>30</c:v>
                </c:pt>
                <c:pt idx="189">
                  <c:v>19</c:v>
                </c:pt>
                <c:pt idx="190">
                  <c:v>16</c:v>
                </c:pt>
                <c:pt idx="191">
                  <c:v>27</c:v>
                </c:pt>
                <c:pt idx="192">
                  <c:v>25</c:v>
                </c:pt>
                <c:pt idx="193">
                  <c:v>24</c:v>
                </c:pt>
                <c:pt idx="194">
                  <c:v>28</c:v>
                </c:pt>
                <c:pt idx="195">
                  <c:v>28</c:v>
                </c:pt>
                <c:pt idx="196">
                  <c:v>25</c:v>
                </c:pt>
                <c:pt idx="197">
                  <c:v>24</c:v>
                </c:pt>
                <c:pt idx="198">
                  <c:v>20</c:v>
                </c:pt>
                <c:pt idx="199">
                  <c:v>13</c:v>
                </c:pt>
                <c:pt idx="200">
                  <c:v>33</c:v>
                </c:pt>
                <c:pt idx="201">
                  <c:v>39</c:v>
                </c:pt>
                <c:pt idx="202">
                  <c:v>31</c:v>
                </c:pt>
                <c:pt idx="203">
                  <c:v>20</c:v>
                </c:pt>
                <c:pt idx="204">
                  <c:v>20</c:v>
                </c:pt>
                <c:pt idx="205">
                  <c:v>29</c:v>
                </c:pt>
                <c:pt idx="206">
                  <c:v>40</c:v>
                </c:pt>
                <c:pt idx="207">
                  <c:v>10</c:v>
                </c:pt>
                <c:pt idx="208">
                  <c:v>8</c:v>
                </c:pt>
                <c:pt idx="209">
                  <c:v>24</c:v>
                </c:pt>
                <c:pt idx="210">
                  <c:v>22</c:v>
                </c:pt>
                <c:pt idx="211">
                  <c:v>22</c:v>
                </c:pt>
                <c:pt idx="212">
                  <c:v>30</c:v>
                </c:pt>
                <c:pt idx="213">
                  <c:v>27</c:v>
                </c:pt>
                <c:pt idx="214">
                  <c:v>30</c:v>
                </c:pt>
                <c:pt idx="215">
                  <c:v>31</c:v>
                </c:pt>
                <c:pt idx="216">
                  <c:v>34</c:v>
                </c:pt>
                <c:pt idx="217">
                  <c:v>20</c:v>
                </c:pt>
                <c:pt idx="218">
                  <c:v>32</c:v>
                </c:pt>
                <c:pt idx="219">
                  <c:v>34</c:v>
                </c:pt>
                <c:pt idx="220">
                  <c:v>30</c:v>
                </c:pt>
                <c:pt idx="221">
                  <c:v>32</c:v>
                </c:pt>
                <c:pt idx="222">
                  <c:v>31</c:v>
                </c:pt>
                <c:pt idx="223">
                  <c:v>35</c:v>
                </c:pt>
                <c:pt idx="224">
                  <c:v>30</c:v>
                </c:pt>
                <c:pt idx="225">
                  <c:v>32</c:v>
                </c:pt>
                <c:pt idx="226">
                  <c:v>38</c:v>
                </c:pt>
                <c:pt idx="227">
                  <c:v>37</c:v>
                </c:pt>
                <c:pt idx="228">
                  <c:v>42</c:v>
                </c:pt>
                <c:pt idx="229">
                  <c:v>49</c:v>
                </c:pt>
                <c:pt idx="230">
                  <c:v>59</c:v>
                </c:pt>
                <c:pt idx="231">
                  <c:v>33</c:v>
                </c:pt>
                <c:pt idx="232">
                  <c:v>36</c:v>
                </c:pt>
                <c:pt idx="233">
                  <c:v>22</c:v>
                </c:pt>
                <c:pt idx="234">
                  <c:v>29</c:v>
                </c:pt>
                <c:pt idx="235">
                  <c:v>39</c:v>
                </c:pt>
                <c:pt idx="236">
                  <c:v>36</c:v>
                </c:pt>
                <c:pt idx="237">
                  <c:v>29</c:v>
                </c:pt>
                <c:pt idx="238">
                  <c:v>39</c:v>
                </c:pt>
                <c:pt idx="239">
                  <c:v>48</c:v>
                </c:pt>
                <c:pt idx="240">
                  <c:v>29</c:v>
                </c:pt>
                <c:pt idx="241">
                  <c:v>37</c:v>
                </c:pt>
                <c:pt idx="242">
                  <c:v>43</c:v>
                </c:pt>
                <c:pt idx="243">
                  <c:v>33</c:v>
                </c:pt>
                <c:pt idx="244">
                  <c:v>39</c:v>
                </c:pt>
                <c:pt idx="245">
                  <c:v>42</c:v>
                </c:pt>
                <c:pt idx="246">
                  <c:v>12</c:v>
                </c:pt>
                <c:pt idx="247">
                  <c:v>38</c:v>
                </c:pt>
                <c:pt idx="248">
                  <c:v>42</c:v>
                </c:pt>
                <c:pt idx="249">
                  <c:v>38</c:v>
                </c:pt>
                <c:pt idx="250">
                  <c:v>13</c:v>
                </c:pt>
                <c:pt idx="251">
                  <c:v>40</c:v>
                </c:pt>
                <c:pt idx="252">
                  <c:v>42</c:v>
                </c:pt>
                <c:pt idx="253">
                  <c:v>49</c:v>
                </c:pt>
                <c:pt idx="254">
                  <c:v>41</c:v>
                </c:pt>
                <c:pt idx="255">
                  <c:v>41</c:v>
                </c:pt>
                <c:pt idx="256">
                  <c:v>43</c:v>
                </c:pt>
                <c:pt idx="257">
                  <c:v>54</c:v>
                </c:pt>
                <c:pt idx="258">
                  <c:v>65</c:v>
                </c:pt>
                <c:pt idx="259">
                  <c:v>62</c:v>
                </c:pt>
                <c:pt idx="260">
                  <c:v>49</c:v>
                </c:pt>
                <c:pt idx="261">
                  <c:v>42</c:v>
                </c:pt>
                <c:pt idx="262">
                  <c:v>54</c:v>
                </c:pt>
                <c:pt idx="263">
                  <c:v>42</c:v>
                </c:pt>
                <c:pt idx="264">
                  <c:v>37</c:v>
                </c:pt>
                <c:pt idx="265">
                  <c:v>44</c:v>
                </c:pt>
                <c:pt idx="266">
                  <c:v>50</c:v>
                </c:pt>
                <c:pt idx="267">
                  <c:v>33</c:v>
                </c:pt>
                <c:pt idx="268">
                  <c:v>40</c:v>
                </c:pt>
                <c:pt idx="269">
                  <c:v>48</c:v>
                </c:pt>
                <c:pt idx="270">
                  <c:v>30</c:v>
                </c:pt>
                <c:pt idx="271">
                  <c:v>34</c:v>
                </c:pt>
                <c:pt idx="272">
                  <c:v>44</c:v>
                </c:pt>
                <c:pt idx="273">
                  <c:v>45</c:v>
                </c:pt>
                <c:pt idx="274">
                  <c:v>65</c:v>
                </c:pt>
                <c:pt idx="275">
                  <c:v>63</c:v>
                </c:pt>
                <c:pt idx="276">
                  <c:v>36</c:v>
                </c:pt>
                <c:pt idx="277">
                  <c:v>56</c:v>
                </c:pt>
                <c:pt idx="278">
                  <c:v>62</c:v>
                </c:pt>
                <c:pt idx="279">
                  <c:v>29</c:v>
                </c:pt>
                <c:pt idx="280">
                  <c:v>50</c:v>
                </c:pt>
                <c:pt idx="281">
                  <c:v>58</c:v>
                </c:pt>
                <c:pt idx="282">
                  <c:v>67</c:v>
                </c:pt>
                <c:pt idx="283">
                  <c:v>41</c:v>
                </c:pt>
                <c:pt idx="284">
                  <c:v>43</c:v>
                </c:pt>
                <c:pt idx="285">
                  <c:v>66</c:v>
                </c:pt>
                <c:pt idx="286">
                  <c:v>63</c:v>
                </c:pt>
                <c:pt idx="287">
                  <c:v>15</c:v>
                </c:pt>
                <c:pt idx="288">
                  <c:v>75</c:v>
                </c:pt>
                <c:pt idx="289">
                  <c:v>68</c:v>
                </c:pt>
                <c:pt idx="290">
                  <c:v>64</c:v>
                </c:pt>
                <c:pt idx="291">
                  <c:v>79</c:v>
                </c:pt>
                <c:pt idx="292">
                  <c:v>84</c:v>
                </c:pt>
                <c:pt idx="293">
                  <c:v>34</c:v>
                </c:pt>
                <c:pt idx="294">
                  <c:v>80</c:v>
                </c:pt>
                <c:pt idx="295">
                  <c:v>84</c:v>
                </c:pt>
                <c:pt idx="296">
                  <c:v>81</c:v>
                </c:pt>
                <c:pt idx="297">
                  <c:v>88</c:v>
                </c:pt>
                <c:pt idx="298">
                  <c:v>78</c:v>
                </c:pt>
                <c:pt idx="299">
                  <c:v>81</c:v>
                </c:pt>
                <c:pt idx="300">
                  <c:v>92</c:v>
                </c:pt>
                <c:pt idx="301">
                  <c:v>106</c:v>
                </c:pt>
                <c:pt idx="302">
                  <c:v>67</c:v>
                </c:pt>
                <c:pt idx="303">
                  <c:v>88</c:v>
                </c:pt>
                <c:pt idx="304">
                  <c:v>89</c:v>
                </c:pt>
                <c:pt idx="305">
                  <c:v>53</c:v>
                </c:pt>
                <c:pt idx="306">
                  <c:v>88</c:v>
                </c:pt>
                <c:pt idx="307">
                  <c:v>92</c:v>
                </c:pt>
                <c:pt idx="308">
                  <c:v>94</c:v>
                </c:pt>
                <c:pt idx="309">
                  <c:v>87</c:v>
                </c:pt>
                <c:pt idx="310">
                  <c:v>87</c:v>
                </c:pt>
                <c:pt idx="311">
                  <c:v>96</c:v>
                </c:pt>
                <c:pt idx="312">
                  <c:v>84</c:v>
                </c:pt>
                <c:pt idx="313">
                  <c:v>97</c:v>
                </c:pt>
                <c:pt idx="314">
                  <c:v>82</c:v>
                </c:pt>
                <c:pt idx="315">
                  <c:v>68</c:v>
                </c:pt>
                <c:pt idx="316">
                  <c:v>91</c:v>
                </c:pt>
                <c:pt idx="317">
                  <c:v>79</c:v>
                </c:pt>
                <c:pt idx="318">
                  <c:v>83</c:v>
                </c:pt>
                <c:pt idx="319">
                  <c:v>77</c:v>
                </c:pt>
                <c:pt idx="320">
                  <c:v>92</c:v>
                </c:pt>
                <c:pt idx="321">
                  <c:v>98</c:v>
                </c:pt>
                <c:pt idx="322">
                  <c:v>116</c:v>
                </c:pt>
                <c:pt idx="323">
                  <c:v>94</c:v>
                </c:pt>
                <c:pt idx="324">
                  <c:v>86</c:v>
                </c:pt>
                <c:pt idx="325">
                  <c:v>90</c:v>
                </c:pt>
                <c:pt idx="326">
                  <c:v>100</c:v>
                </c:pt>
                <c:pt idx="327">
                  <c:v>93</c:v>
                </c:pt>
                <c:pt idx="328">
                  <c:v>93</c:v>
                </c:pt>
                <c:pt idx="329">
                  <c:v>95</c:v>
                </c:pt>
                <c:pt idx="330">
                  <c:v>96</c:v>
                </c:pt>
                <c:pt idx="331">
                  <c:v>82</c:v>
                </c:pt>
                <c:pt idx="332">
                  <c:v>79</c:v>
                </c:pt>
                <c:pt idx="333">
                  <c:v>79</c:v>
                </c:pt>
                <c:pt idx="334">
                  <c:v>100</c:v>
                </c:pt>
                <c:pt idx="335">
                  <c:v>106</c:v>
                </c:pt>
                <c:pt idx="336">
                  <c:v>106</c:v>
                </c:pt>
                <c:pt idx="337">
                  <c:v>98</c:v>
                </c:pt>
                <c:pt idx="338">
                  <c:v>91</c:v>
                </c:pt>
                <c:pt idx="339">
                  <c:v>96</c:v>
                </c:pt>
                <c:pt idx="340">
                  <c:v>89</c:v>
                </c:pt>
                <c:pt idx="341">
                  <c:v>78</c:v>
                </c:pt>
                <c:pt idx="342">
                  <c:v>91</c:v>
                </c:pt>
                <c:pt idx="343">
                  <c:v>100</c:v>
                </c:pt>
                <c:pt idx="344">
                  <c:v>89</c:v>
                </c:pt>
                <c:pt idx="345">
                  <c:v>100</c:v>
                </c:pt>
                <c:pt idx="346">
                  <c:v>98</c:v>
                </c:pt>
                <c:pt idx="347">
                  <c:v>103</c:v>
                </c:pt>
                <c:pt idx="348">
                  <c:v>75</c:v>
                </c:pt>
                <c:pt idx="349">
                  <c:v>97</c:v>
                </c:pt>
                <c:pt idx="350">
                  <c:v>102</c:v>
                </c:pt>
                <c:pt idx="351">
                  <c:v>95</c:v>
                </c:pt>
                <c:pt idx="352">
                  <c:v>80</c:v>
                </c:pt>
                <c:pt idx="353">
                  <c:v>96</c:v>
                </c:pt>
                <c:pt idx="354">
                  <c:v>90</c:v>
                </c:pt>
                <c:pt idx="355">
                  <c:v>96</c:v>
                </c:pt>
                <c:pt idx="356">
                  <c:v>99</c:v>
                </c:pt>
                <c:pt idx="357">
                  <c:v>104</c:v>
                </c:pt>
                <c:pt idx="358">
                  <c:v>106</c:v>
                </c:pt>
                <c:pt idx="359">
                  <c:v>94</c:v>
                </c:pt>
                <c:pt idx="360">
                  <c:v>93</c:v>
                </c:pt>
                <c:pt idx="361">
                  <c:v>105</c:v>
                </c:pt>
                <c:pt idx="362">
                  <c:v>111</c:v>
                </c:pt>
                <c:pt idx="363">
                  <c:v>107</c:v>
                </c:pt>
                <c:pt idx="364">
                  <c:v>102</c:v>
                </c:pt>
              </c:numCache>
            </c:numRef>
          </c:xVal>
          <c:yVal>
            <c:numRef>
              <c:f>Correlation!$E$130:$E$494</c:f>
              <c:numCache>
                <c:formatCode>0</c:formatCode>
                <c:ptCount val="365"/>
                <c:pt idx="0">
                  <c:v>32.250015000000005</c:v>
                </c:pt>
                <c:pt idx="1">
                  <c:v>32.700015</c:v>
                </c:pt>
                <c:pt idx="2">
                  <c:v>33.600014999999999</c:v>
                </c:pt>
                <c:pt idx="3">
                  <c:v>32.4</c:v>
                </c:pt>
                <c:pt idx="4">
                  <c:v>33.75</c:v>
                </c:pt>
                <c:pt idx="5">
                  <c:v>31.912514999999999</c:v>
                </c:pt>
                <c:pt idx="6">
                  <c:v>32.999985000000002</c:v>
                </c:pt>
                <c:pt idx="7">
                  <c:v>33.637500000000003</c:v>
                </c:pt>
                <c:pt idx="8">
                  <c:v>34.3125</c:v>
                </c:pt>
                <c:pt idx="9">
                  <c:v>35.737514999999995</c:v>
                </c:pt>
                <c:pt idx="10">
                  <c:v>33.600014999999999</c:v>
                </c:pt>
                <c:pt idx="11">
                  <c:v>30.637485000000002</c:v>
                </c:pt>
                <c:pt idx="12">
                  <c:v>29.849984999999997</c:v>
                </c:pt>
                <c:pt idx="13">
                  <c:v>30.900015</c:v>
                </c:pt>
                <c:pt idx="14">
                  <c:v>32.362515000000002</c:v>
                </c:pt>
                <c:pt idx="15">
                  <c:v>33.600014999999999</c:v>
                </c:pt>
                <c:pt idx="16">
                  <c:v>34.950015</c:v>
                </c:pt>
                <c:pt idx="17">
                  <c:v>34.574985000000005</c:v>
                </c:pt>
                <c:pt idx="18">
                  <c:v>36.674999999999997</c:v>
                </c:pt>
                <c:pt idx="19">
                  <c:v>38.174985</c:v>
                </c:pt>
                <c:pt idx="20">
                  <c:v>38.212515000000003</c:v>
                </c:pt>
                <c:pt idx="21">
                  <c:v>37.35</c:v>
                </c:pt>
                <c:pt idx="22">
                  <c:v>33.449984999999998</c:v>
                </c:pt>
                <c:pt idx="23">
                  <c:v>34.725014999999999</c:v>
                </c:pt>
                <c:pt idx="24">
                  <c:v>34.875</c:v>
                </c:pt>
                <c:pt idx="25">
                  <c:v>35.062515000000005</c:v>
                </c:pt>
                <c:pt idx="26">
                  <c:v>37.724984999999997</c:v>
                </c:pt>
                <c:pt idx="27">
                  <c:v>36.187514999999998</c:v>
                </c:pt>
                <c:pt idx="28">
                  <c:v>36.262484999999998</c:v>
                </c:pt>
                <c:pt idx="29">
                  <c:v>34.725014999999999</c:v>
                </c:pt>
                <c:pt idx="30">
                  <c:v>35.249984999999995</c:v>
                </c:pt>
                <c:pt idx="31">
                  <c:v>32.925014999999995</c:v>
                </c:pt>
                <c:pt idx="32">
                  <c:v>31.95</c:v>
                </c:pt>
                <c:pt idx="33">
                  <c:v>31.987485000000003</c:v>
                </c:pt>
                <c:pt idx="34">
                  <c:v>32.250015000000005</c:v>
                </c:pt>
                <c:pt idx="35">
                  <c:v>33.412500000000001</c:v>
                </c:pt>
                <c:pt idx="36">
                  <c:v>34.424999999999997</c:v>
                </c:pt>
                <c:pt idx="37">
                  <c:v>34.875</c:v>
                </c:pt>
                <c:pt idx="38">
                  <c:v>34.500014999999998</c:v>
                </c:pt>
                <c:pt idx="39">
                  <c:v>32.287500000000001</c:v>
                </c:pt>
                <c:pt idx="40">
                  <c:v>31.874984999999999</c:v>
                </c:pt>
                <c:pt idx="41">
                  <c:v>30.862485</c:v>
                </c:pt>
                <c:pt idx="42">
                  <c:v>30.450015</c:v>
                </c:pt>
                <c:pt idx="43">
                  <c:v>29.962485000000001</c:v>
                </c:pt>
                <c:pt idx="44">
                  <c:v>31.537485</c:v>
                </c:pt>
                <c:pt idx="45">
                  <c:v>32.549985</c:v>
                </c:pt>
                <c:pt idx="46">
                  <c:v>32.025015000000003</c:v>
                </c:pt>
                <c:pt idx="47">
                  <c:v>30.825000000000003</c:v>
                </c:pt>
                <c:pt idx="48">
                  <c:v>31.387499999999999</c:v>
                </c:pt>
                <c:pt idx="49">
                  <c:v>31.987485000000003</c:v>
                </c:pt>
                <c:pt idx="50">
                  <c:v>31.125015000000001</c:v>
                </c:pt>
                <c:pt idx="51">
                  <c:v>28.837485000000001</c:v>
                </c:pt>
                <c:pt idx="52">
                  <c:v>30.299985</c:v>
                </c:pt>
                <c:pt idx="53">
                  <c:v>30.787514999999999</c:v>
                </c:pt>
                <c:pt idx="54">
                  <c:v>31.499999999999996</c:v>
                </c:pt>
                <c:pt idx="55">
                  <c:v>30.6</c:v>
                </c:pt>
                <c:pt idx="56">
                  <c:v>31.817654999999998</c:v>
                </c:pt>
                <c:pt idx="57">
                  <c:v>28.650015</c:v>
                </c:pt>
                <c:pt idx="58">
                  <c:v>28.762515</c:v>
                </c:pt>
                <c:pt idx="59">
                  <c:v>29.550014999999998</c:v>
                </c:pt>
                <c:pt idx="60">
                  <c:v>29.475000000000001</c:v>
                </c:pt>
                <c:pt idx="61">
                  <c:v>28.949985000000002</c:v>
                </c:pt>
                <c:pt idx="62">
                  <c:v>30.112514999999998</c:v>
                </c:pt>
                <c:pt idx="63">
                  <c:v>31.912514999999999</c:v>
                </c:pt>
                <c:pt idx="64">
                  <c:v>30.299985</c:v>
                </c:pt>
                <c:pt idx="65">
                  <c:v>24.3</c:v>
                </c:pt>
                <c:pt idx="66">
                  <c:v>26.962515</c:v>
                </c:pt>
                <c:pt idx="67">
                  <c:v>28.526084999999998</c:v>
                </c:pt>
                <c:pt idx="68">
                  <c:v>29.25</c:v>
                </c:pt>
                <c:pt idx="69">
                  <c:v>29.700000000000003</c:v>
                </c:pt>
                <c:pt idx="70">
                  <c:v>29.399985000000001</c:v>
                </c:pt>
                <c:pt idx="71">
                  <c:v>28.995660000000001</c:v>
                </c:pt>
                <c:pt idx="72">
                  <c:v>29.287485</c:v>
                </c:pt>
                <c:pt idx="73">
                  <c:v>30.299985</c:v>
                </c:pt>
                <c:pt idx="74">
                  <c:v>25.987500000000001</c:v>
                </c:pt>
                <c:pt idx="75">
                  <c:v>21.112514999999998</c:v>
                </c:pt>
                <c:pt idx="76">
                  <c:v>22.125015000000001</c:v>
                </c:pt>
                <c:pt idx="77">
                  <c:v>22.837499999999999</c:v>
                </c:pt>
                <c:pt idx="78">
                  <c:v>24.712515</c:v>
                </c:pt>
                <c:pt idx="79">
                  <c:v>25.275015</c:v>
                </c:pt>
                <c:pt idx="80">
                  <c:v>26.774999999999999</c:v>
                </c:pt>
                <c:pt idx="81">
                  <c:v>28.274985000000001</c:v>
                </c:pt>
                <c:pt idx="82">
                  <c:v>27.412514999999999</c:v>
                </c:pt>
                <c:pt idx="83">
                  <c:v>27.300014999999998</c:v>
                </c:pt>
                <c:pt idx="84">
                  <c:v>28.537515000000003</c:v>
                </c:pt>
                <c:pt idx="85">
                  <c:v>29.212515000000003</c:v>
                </c:pt>
                <c:pt idx="86">
                  <c:v>28.650015</c:v>
                </c:pt>
                <c:pt idx="87">
                  <c:v>28.574999999999999</c:v>
                </c:pt>
                <c:pt idx="88">
                  <c:v>27.750014999999998</c:v>
                </c:pt>
                <c:pt idx="89">
                  <c:v>25.387515</c:v>
                </c:pt>
                <c:pt idx="90">
                  <c:v>18.45</c:v>
                </c:pt>
                <c:pt idx="91">
                  <c:v>16.050015000000002</c:v>
                </c:pt>
                <c:pt idx="92">
                  <c:v>17.287514999999999</c:v>
                </c:pt>
                <c:pt idx="93">
                  <c:v>21.787514999999999</c:v>
                </c:pt>
                <c:pt idx="94">
                  <c:v>24.224984999999997</c:v>
                </c:pt>
                <c:pt idx="95">
                  <c:v>22.237515000000002</c:v>
                </c:pt>
                <c:pt idx="96">
                  <c:v>22.987485</c:v>
                </c:pt>
                <c:pt idx="97">
                  <c:v>23.475014999999999</c:v>
                </c:pt>
                <c:pt idx="98">
                  <c:v>24.337485000000001</c:v>
                </c:pt>
                <c:pt idx="99">
                  <c:v>25.687485000000002</c:v>
                </c:pt>
                <c:pt idx="100">
                  <c:v>25.500015000000001</c:v>
                </c:pt>
                <c:pt idx="101">
                  <c:v>24.449984999999998</c:v>
                </c:pt>
                <c:pt idx="102">
                  <c:v>26.512515</c:v>
                </c:pt>
                <c:pt idx="103">
                  <c:v>24.787485</c:v>
                </c:pt>
                <c:pt idx="104">
                  <c:v>22.800014999999998</c:v>
                </c:pt>
                <c:pt idx="105">
                  <c:v>23.025015</c:v>
                </c:pt>
                <c:pt idx="106">
                  <c:v>24.037514999999999</c:v>
                </c:pt>
                <c:pt idx="107">
                  <c:v>23.962499999999999</c:v>
                </c:pt>
                <c:pt idx="108">
                  <c:v>24.378254999999999</c:v>
                </c:pt>
                <c:pt idx="109">
                  <c:v>21.412485</c:v>
                </c:pt>
                <c:pt idx="110">
                  <c:v>19.237500000000001</c:v>
                </c:pt>
                <c:pt idx="111">
                  <c:v>19.012499999999999</c:v>
                </c:pt>
                <c:pt idx="112">
                  <c:v>18.975014999999999</c:v>
                </c:pt>
                <c:pt idx="113">
                  <c:v>20.849985</c:v>
                </c:pt>
                <c:pt idx="114">
                  <c:v>21.225014999999999</c:v>
                </c:pt>
                <c:pt idx="115">
                  <c:v>21.787514999999999</c:v>
                </c:pt>
                <c:pt idx="116">
                  <c:v>21.15</c:v>
                </c:pt>
                <c:pt idx="117">
                  <c:v>14.887485</c:v>
                </c:pt>
                <c:pt idx="118">
                  <c:v>11.437514999999999</c:v>
                </c:pt>
                <c:pt idx="119">
                  <c:v>14.362514999999998</c:v>
                </c:pt>
                <c:pt idx="120">
                  <c:v>15.3</c:v>
                </c:pt>
                <c:pt idx="121">
                  <c:v>18.037485</c:v>
                </c:pt>
                <c:pt idx="122">
                  <c:v>16.987500000000001</c:v>
                </c:pt>
                <c:pt idx="123">
                  <c:v>18.374984999999999</c:v>
                </c:pt>
                <c:pt idx="124">
                  <c:v>18.149985000000001</c:v>
                </c:pt>
                <c:pt idx="125">
                  <c:v>14.700014999999999</c:v>
                </c:pt>
                <c:pt idx="126">
                  <c:v>15.674985</c:v>
                </c:pt>
                <c:pt idx="127">
                  <c:v>17.775000000000002</c:v>
                </c:pt>
                <c:pt idx="128">
                  <c:v>18.374984999999999</c:v>
                </c:pt>
                <c:pt idx="129">
                  <c:v>18</c:v>
                </c:pt>
                <c:pt idx="130">
                  <c:v>17.100000000000001</c:v>
                </c:pt>
                <c:pt idx="131">
                  <c:v>14.587515</c:v>
                </c:pt>
                <c:pt idx="132">
                  <c:v>16.050015000000002</c:v>
                </c:pt>
                <c:pt idx="133">
                  <c:v>19.837484999999997</c:v>
                </c:pt>
                <c:pt idx="134">
                  <c:v>23.85</c:v>
                </c:pt>
                <c:pt idx="135">
                  <c:v>23.85</c:v>
                </c:pt>
                <c:pt idx="136">
                  <c:v>20.550014999999998</c:v>
                </c:pt>
                <c:pt idx="137">
                  <c:v>15.375014999999999</c:v>
                </c:pt>
                <c:pt idx="138">
                  <c:v>12.337515</c:v>
                </c:pt>
                <c:pt idx="139">
                  <c:v>14.812514999999999</c:v>
                </c:pt>
                <c:pt idx="140">
                  <c:v>20.849985</c:v>
                </c:pt>
                <c:pt idx="141">
                  <c:v>20.137499999999999</c:v>
                </c:pt>
                <c:pt idx="142">
                  <c:v>18.750015000000001</c:v>
                </c:pt>
                <c:pt idx="143">
                  <c:v>19.837484999999997</c:v>
                </c:pt>
                <c:pt idx="144">
                  <c:v>16.799985</c:v>
                </c:pt>
                <c:pt idx="145">
                  <c:v>16.875</c:v>
                </c:pt>
                <c:pt idx="146">
                  <c:v>16.912485</c:v>
                </c:pt>
                <c:pt idx="147">
                  <c:v>20.662514999999999</c:v>
                </c:pt>
                <c:pt idx="148">
                  <c:v>22.656510000000001</c:v>
                </c:pt>
                <c:pt idx="149">
                  <c:v>20.624984999999999</c:v>
                </c:pt>
                <c:pt idx="150">
                  <c:v>14.625</c:v>
                </c:pt>
                <c:pt idx="151">
                  <c:v>14.0625</c:v>
                </c:pt>
                <c:pt idx="152">
                  <c:v>14.137514999999999</c:v>
                </c:pt>
                <c:pt idx="153">
                  <c:v>13.462515000000002</c:v>
                </c:pt>
                <c:pt idx="154">
                  <c:v>14.887485</c:v>
                </c:pt>
                <c:pt idx="155">
                  <c:v>17.362485</c:v>
                </c:pt>
                <c:pt idx="156">
                  <c:v>20.8125</c:v>
                </c:pt>
                <c:pt idx="157">
                  <c:v>18.45</c:v>
                </c:pt>
                <c:pt idx="158">
                  <c:v>11.962484999999999</c:v>
                </c:pt>
                <c:pt idx="159">
                  <c:v>13.087485000000001</c:v>
                </c:pt>
                <c:pt idx="160">
                  <c:v>12.375000000000002</c:v>
                </c:pt>
                <c:pt idx="161">
                  <c:v>9.9374850000000006</c:v>
                </c:pt>
                <c:pt idx="162">
                  <c:v>10.724985</c:v>
                </c:pt>
                <c:pt idx="163">
                  <c:v>12.712499999999999</c:v>
                </c:pt>
                <c:pt idx="164">
                  <c:v>14.2875</c:v>
                </c:pt>
                <c:pt idx="165">
                  <c:v>19.012499999999999</c:v>
                </c:pt>
                <c:pt idx="166">
                  <c:v>16.875</c:v>
                </c:pt>
                <c:pt idx="167">
                  <c:v>11.624984999999999</c:v>
                </c:pt>
                <c:pt idx="168">
                  <c:v>10.724985</c:v>
                </c:pt>
                <c:pt idx="169">
                  <c:v>12.450015</c:v>
                </c:pt>
                <c:pt idx="170">
                  <c:v>17.362485</c:v>
                </c:pt>
                <c:pt idx="171">
                  <c:v>19.274985000000001</c:v>
                </c:pt>
                <c:pt idx="172">
                  <c:v>19.049985</c:v>
                </c:pt>
                <c:pt idx="173">
                  <c:v>16.799985</c:v>
                </c:pt>
                <c:pt idx="174">
                  <c:v>13.612499999999999</c:v>
                </c:pt>
                <c:pt idx="175">
                  <c:v>12.365235</c:v>
                </c:pt>
                <c:pt idx="176">
                  <c:v>14.478255000000001</c:v>
                </c:pt>
                <c:pt idx="177">
                  <c:v>14.625</c:v>
                </c:pt>
                <c:pt idx="178">
                  <c:v>13.460850000000001</c:v>
                </c:pt>
                <c:pt idx="179">
                  <c:v>11.174985</c:v>
                </c:pt>
                <c:pt idx="180">
                  <c:v>14.025015000000002</c:v>
                </c:pt>
                <c:pt idx="181">
                  <c:v>18.45</c:v>
                </c:pt>
                <c:pt idx="182">
                  <c:v>15.487515</c:v>
                </c:pt>
                <c:pt idx="183">
                  <c:v>16.35651</c:v>
                </c:pt>
                <c:pt idx="184">
                  <c:v>8.8363800000000001</c:v>
                </c:pt>
                <c:pt idx="185">
                  <c:v>9</c:v>
                </c:pt>
                <c:pt idx="186">
                  <c:v>10.213065</c:v>
                </c:pt>
                <c:pt idx="187">
                  <c:v>9.1956600000000002</c:v>
                </c:pt>
                <c:pt idx="188">
                  <c:v>8.843490000000001</c:v>
                </c:pt>
                <c:pt idx="189">
                  <c:v>7.4250000000000007</c:v>
                </c:pt>
                <c:pt idx="190">
                  <c:v>6.2249850000000002</c:v>
                </c:pt>
                <c:pt idx="191">
                  <c:v>6.7874850000000002</c:v>
                </c:pt>
                <c:pt idx="192">
                  <c:v>7.6090949999999999</c:v>
                </c:pt>
                <c:pt idx="193">
                  <c:v>7.7727149999999998</c:v>
                </c:pt>
                <c:pt idx="194">
                  <c:v>7.4250000000000007</c:v>
                </c:pt>
                <c:pt idx="195">
                  <c:v>7.2391500000000004</c:v>
                </c:pt>
                <c:pt idx="196">
                  <c:v>10.499985000000001</c:v>
                </c:pt>
                <c:pt idx="197">
                  <c:v>10.425015</c:v>
                </c:pt>
                <c:pt idx="198">
                  <c:v>7.9124849999999993</c:v>
                </c:pt>
                <c:pt idx="199">
                  <c:v>9.7500149999999994</c:v>
                </c:pt>
                <c:pt idx="200">
                  <c:v>13.147829999999999</c:v>
                </c:pt>
                <c:pt idx="201">
                  <c:v>11.775015</c:v>
                </c:pt>
                <c:pt idx="202">
                  <c:v>7.9874999999999998</c:v>
                </c:pt>
                <c:pt idx="203">
                  <c:v>2.6608679999999998</c:v>
                </c:pt>
                <c:pt idx="204">
                  <c:v>4.3434765000000004</c:v>
                </c:pt>
                <c:pt idx="205">
                  <c:v>4.3826084999999999</c:v>
                </c:pt>
                <c:pt idx="206">
                  <c:v>10.056510000000001</c:v>
                </c:pt>
                <c:pt idx="207">
                  <c:v>9.7874999999999996</c:v>
                </c:pt>
                <c:pt idx="208">
                  <c:v>8.7750000000000004</c:v>
                </c:pt>
                <c:pt idx="209">
                  <c:v>9.156509999999999</c:v>
                </c:pt>
                <c:pt idx="210">
                  <c:v>8.843490000000001</c:v>
                </c:pt>
                <c:pt idx="211">
                  <c:v>9.7434899999999995</c:v>
                </c:pt>
                <c:pt idx="212">
                  <c:v>8.1374849999999999</c:v>
                </c:pt>
                <c:pt idx="213">
                  <c:v>8.6478300000000008</c:v>
                </c:pt>
                <c:pt idx="214">
                  <c:v>11.700000000000001</c:v>
                </c:pt>
                <c:pt idx="215">
                  <c:v>8.4130650000000013</c:v>
                </c:pt>
                <c:pt idx="216">
                  <c:v>9.50868</c:v>
                </c:pt>
                <c:pt idx="217">
                  <c:v>10.499985000000001</c:v>
                </c:pt>
                <c:pt idx="218">
                  <c:v>12.862485</c:v>
                </c:pt>
                <c:pt idx="219">
                  <c:v>12.225014999999999</c:v>
                </c:pt>
                <c:pt idx="220">
                  <c:v>9.9374850000000006</c:v>
                </c:pt>
                <c:pt idx="221">
                  <c:v>6.0652349999999995</c:v>
                </c:pt>
                <c:pt idx="222">
                  <c:v>6.49566</c:v>
                </c:pt>
                <c:pt idx="223">
                  <c:v>8.5090950000000003</c:v>
                </c:pt>
                <c:pt idx="224">
                  <c:v>10.012499999999999</c:v>
                </c:pt>
                <c:pt idx="225">
                  <c:v>14.243490000000001</c:v>
                </c:pt>
                <c:pt idx="226">
                  <c:v>18.675000000000001</c:v>
                </c:pt>
                <c:pt idx="227">
                  <c:v>11.973915000000002</c:v>
                </c:pt>
                <c:pt idx="228">
                  <c:v>14.321745</c:v>
                </c:pt>
                <c:pt idx="229">
                  <c:v>19.612485</c:v>
                </c:pt>
                <c:pt idx="230">
                  <c:v>23.475014999999999</c:v>
                </c:pt>
                <c:pt idx="231">
                  <c:v>17.962515</c:v>
                </c:pt>
                <c:pt idx="232">
                  <c:v>12.834764999999999</c:v>
                </c:pt>
                <c:pt idx="233">
                  <c:v>13.649985000000001</c:v>
                </c:pt>
                <c:pt idx="234">
                  <c:v>8.1999899999999997</c:v>
                </c:pt>
                <c:pt idx="235">
                  <c:v>9.978254999999999</c:v>
                </c:pt>
                <c:pt idx="236">
                  <c:v>13.304340000000002</c:v>
                </c:pt>
                <c:pt idx="237">
                  <c:v>16.395659999999999</c:v>
                </c:pt>
                <c:pt idx="238">
                  <c:v>12.712499999999999</c:v>
                </c:pt>
                <c:pt idx="239">
                  <c:v>15.45651</c:v>
                </c:pt>
                <c:pt idx="240">
                  <c:v>18.327285</c:v>
                </c:pt>
                <c:pt idx="241">
                  <c:v>12.000014999999999</c:v>
                </c:pt>
                <c:pt idx="242">
                  <c:v>15.075000000000001</c:v>
                </c:pt>
                <c:pt idx="243">
                  <c:v>8.9249850000000013</c:v>
                </c:pt>
                <c:pt idx="244">
                  <c:v>11.775015</c:v>
                </c:pt>
                <c:pt idx="245">
                  <c:v>17.287514999999999</c:v>
                </c:pt>
                <c:pt idx="246">
                  <c:v>16.943490000000001</c:v>
                </c:pt>
                <c:pt idx="247">
                  <c:v>11.778255</c:v>
                </c:pt>
                <c:pt idx="248">
                  <c:v>13.1625</c:v>
                </c:pt>
                <c:pt idx="249">
                  <c:v>13.312485000000001</c:v>
                </c:pt>
                <c:pt idx="250">
                  <c:v>17.509095000000002</c:v>
                </c:pt>
                <c:pt idx="251">
                  <c:v>14.243490000000001</c:v>
                </c:pt>
                <c:pt idx="252">
                  <c:v>14.812514999999999</c:v>
                </c:pt>
                <c:pt idx="253">
                  <c:v>17.295660000000002</c:v>
                </c:pt>
                <c:pt idx="254">
                  <c:v>14.634765</c:v>
                </c:pt>
                <c:pt idx="255">
                  <c:v>14.282594999999999</c:v>
                </c:pt>
                <c:pt idx="256">
                  <c:v>16.434765000000002</c:v>
                </c:pt>
                <c:pt idx="257">
                  <c:v>18.675000000000001</c:v>
                </c:pt>
                <c:pt idx="258">
                  <c:v>24.3</c:v>
                </c:pt>
                <c:pt idx="259">
                  <c:v>21.262499999999999</c:v>
                </c:pt>
                <c:pt idx="260">
                  <c:v>14.9625</c:v>
                </c:pt>
                <c:pt idx="261">
                  <c:v>19.369575000000001</c:v>
                </c:pt>
                <c:pt idx="262">
                  <c:v>19.875014999999998</c:v>
                </c:pt>
                <c:pt idx="263">
                  <c:v>15.613065000000001</c:v>
                </c:pt>
                <c:pt idx="264">
                  <c:v>12.824999999999999</c:v>
                </c:pt>
                <c:pt idx="265">
                  <c:v>11.887514999999999</c:v>
                </c:pt>
                <c:pt idx="266">
                  <c:v>11.962484999999999</c:v>
                </c:pt>
                <c:pt idx="267">
                  <c:v>11.386935000000001</c:v>
                </c:pt>
                <c:pt idx="268">
                  <c:v>11.895660000000001</c:v>
                </c:pt>
                <c:pt idx="269">
                  <c:v>13.612499999999999</c:v>
                </c:pt>
                <c:pt idx="270">
                  <c:v>13.5</c:v>
                </c:pt>
                <c:pt idx="271">
                  <c:v>12.074985</c:v>
                </c:pt>
                <c:pt idx="272">
                  <c:v>13.5</c:v>
                </c:pt>
                <c:pt idx="273">
                  <c:v>14.175000000000001</c:v>
                </c:pt>
                <c:pt idx="274">
                  <c:v>17.024984999999997</c:v>
                </c:pt>
                <c:pt idx="275">
                  <c:v>25.799985</c:v>
                </c:pt>
                <c:pt idx="276">
                  <c:v>18.637515</c:v>
                </c:pt>
                <c:pt idx="277">
                  <c:v>17.587485000000001</c:v>
                </c:pt>
                <c:pt idx="278">
                  <c:v>19.6875</c:v>
                </c:pt>
                <c:pt idx="279">
                  <c:v>15.112485</c:v>
                </c:pt>
                <c:pt idx="280">
                  <c:v>15.412500000000001</c:v>
                </c:pt>
                <c:pt idx="281">
                  <c:v>19.200015</c:v>
                </c:pt>
                <c:pt idx="282">
                  <c:v>26.80434</c:v>
                </c:pt>
                <c:pt idx="283">
                  <c:v>22.612499999999997</c:v>
                </c:pt>
                <c:pt idx="284">
                  <c:v>18.5625</c:v>
                </c:pt>
                <c:pt idx="285">
                  <c:v>21.037500000000001</c:v>
                </c:pt>
                <c:pt idx="286">
                  <c:v>20.100014999999999</c:v>
                </c:pt>
                <c:pt idx="287">
                  <c:v>19.387485000000002</c:v>
                </c:pt>
                <c:pt idx="288">
                  <c:v>20.550014999999998</c:v>
                </c:pt>
                <c:pt idx="289">
                  <c:v>23.062499999999996</c:v>
                </c:pt>
                <c:pt idx="290">
                  <c:v>22.762484999999998</c:v>
                </c:pt>
                <c:pt idx="291">
                  <c:v>26.774999999999999</c:v>
                </c:pt>
                <c:pt idx="292">
                  <c:v>20.662514999999999</c:v>
                </c:pt>
                <c:pt idx="293">
                  <c:v>15.150015</c:v>
                </c:pt>
                <c:pt idx="294">
                  <c:v>20.7</c:v>
                </c:pt>
                <c:pt idx="295">
                  <c:v>26.175015000000002</c:v>
                </c:pt>
                <c:pt idx="296">
                  <c:v>27.300014999999998</c:v>
                </c:pt>
                <c:pt idx="297">
                  <c:v>28.425014999999998</c:v>
                </c:pt>
                <c:pt idx="298">
                  <c:v>27.9</c:v>
                </c:pt>
                <c:pt idx="299">
                  <c:v>27.787500000000001</c:v>
                </c:pt>
                <c:pt idx="300">
                  <c:v>22.95</c:v>
                </c:pt>
                <c:pt idx="301">
                  <c:v>21.262499999999999</c:v>
                </c:pt>
                <c:pt idx="302">
                  <c:v>20.325015</c:v>
                </c:pt>
                <c:pt idx="303">
                  <c:v>24.712515</c:v>
                </c:pt>
                <c:pt idx="304">
                  <c:v>27.750014999999998</c:v>
                </c:pt>
                <c:pt idx="305">
                  <c:v>18.637515</c:v>
                </c:pt>
                <c:pt idx="306">
                  <c:v>20.662514999999999</c:v>
                </c:pt>
                <c:pt idx="307">
                  <c:v>21.562515000000001</c:v>
                </c:pt>
                <c:pt idx="308">
                  <c:v>23.400000000000002</c:v>
                </c:pt>
                <c:pt idx="309">
                  <c:v>23.774985000000001</c:v>
                </c:pt>
                <c:pt idx="310">
                  <c:v>23.962499999999999</c:v>
                </c:pt>
                <c:pt idx="311">
                  <c:v>23.962499999999999</c:v>
                </c:pt>
                <c:pt idx="312">
                  <c:v>24.412499999999998</c:v>
                </c:pt>
                <c:pt idx="313">
                  <c:v>24.075000000000003</c:v>
                </c:pt>
                <c:pt idx="314">
                  <c:v>23.062499999999996</c:v>
                </c:pt>
                <c:pt idx="315">
                  <c:v>23.437484999999999</c:v>
                </c:pt>
                <c:pt idx="316">
                  <c:v>25.3125</c:v>
                </c:pt>
                <c:pt idx="317">
                  <c:v>25.987500000000001</c:v>
                </c:pt>
                <c:pt idx="318">
                  <c:v>25.275015</c:v>
                </c:pt>
                <c:pt idx="319">
                  <c:v>24.750000000000004</c:v>
                </c:pt>
                <c:pt idx="320">
                  <c:v>23.887485000000002</c:v>
                </c:pt>
                <c:pt idx="321">
                  <c:v>24.150015</c:v>
                </c:pt>
                <c:pt idx="322">
                  <c:v>27.112500000000001</c:v>
                </c:pt>
                <c:pt idx="323">
                  <c:v>27.187515000000001</c:v>
                </c:pt>
                <c:pt idx="324">
                  <c:v>28.425014999999998</c:v>
                </c:pt>
                <c:pt idx="325">
                  <c:v>29.700000000000003</c:v>
                </c:pt>
                <c:pt idx="326">
                  <c:v>29.737485</c:v>
                </c:pt>
                <c:pt idx="327">
                  <c:v>31.874984999999999</c:v>
                </c:pt>
                <c:pt idx="328">
                  <c:v>30.675015000000002</c:v>
                </c:pt>
                <c:pt idx="329">
                  <c:v>29.512485000000002</c:v>
                </c:pt>
                <c:pt idx="330">
                  <c:v>30.037499999999998</c:v>
                </c:pt>
                <c:pt idx="331">
                  <c:v>32.999985000000002</c:v>
                </c:pt>
                <c:pt idx="332">
                  <c:v>34.875</c:v>
                </c:pt>
                <c:pt idx="333">
                  <c:v>34.387515</c:v>
                </c:pt>
                <c:pt idx="334">
                  <c:v>32.174999999999997</c:v>
                </c:pt>
                <c:pt idx="335">
                  <c:v>27.9</c:v>
                </c:pt>
                <c:pt idx="336">
                  <c:v>28.574999999999999</c:v>
                </c:pt>
                <c:pt idx="337">
                  <c:v>29.174985000000003</c:v>
                </c:pt>
                <c:pt idx="338">
                  <c:v>30.524984999999997</c:v>
                </c:pt>
                <c:pt idx="339">
                  <c:v>31.837500000000002</c:v>
                </c:pt>
                <c:pt idx="340">
                  <c:v>34.912484999999997</c:v>
                </c:pt>
                <c:pt idx="341">
                  <c:v>36.374984999999995</c:v>
                </c:pt>
                <c:pt idx="342">
                  <c:v>33.975000000000001</c:v>
                </c:pt>
                <c:pt idx="343">
                  <c:v>32.625</c:v>
                </c:pt>
                <c:pt idx="344">
                  <c:v>31.162500000000001</c:v>
                </c:pt>
                <c:pt idx="345">
                  <c:v>28.574999999999999</c:v>
                </c:pt>
                <c:pt idx="346">
                  <c:v>27.187515000000001</c:v>
                </c:pt>
                <c:pt idx="347">
                  <c:v>28.200015</c:v>
                </c:pt>
                <c:pt idx="348">
                  <c:v>28.274985000000001</c:v>
                </c:pt>
                <c:pt idx="349">
                  <c:v>29.212515000000003</c:v>
                </c:pt>
                <c:pt idx="350">
                  <c:v>31.350015000000003</c:v>
                </c:pt>
                <c:pt idx="351">
                  <c:v>31.462515</c:v>
                </c:pt>
                <c:pt idx="352">
                  <c:v>28.574999999999999</c:v>
                </c:pt>
                <c:pt idx="353">
                  <c:v>30.637485000000002</c:v>
                </c:pt>
                <c:pt idx="354">
                  <c:v>32.999985000000002</c:v>
                </c:pt>
                <c:pt idx="355">
                  <c:v>32.774985000000001</c:v>
                </c:pt>
                <c:pt idx="356">
                  <c:v>32.587515000000003</c:v>
                </c:pt>
                <c:pt idx="357">
                  <c:v>31.274999999999999</c:v>
                </c:pt>
                <c:pt idx="358">
                  <c:v>30.6</c:v>
                </c:pt>
                <c:pt idx="359">
                  <c:v>30.712499999999999</c:v>
                </c:pt>
                <c:pt idx="360">
                  <c:v>33.487515000000002</c:v>
                </c:pt>
                <c:pt idx="361">
                  <c:v>32.774985000000001</c:v>
                </c:pt>
                <c:pt idx="362">
                  <c:v>31.350015000000003</c:v>
                </c:pt>
                <c:pt idx="363">
                  <c:v>32.512500000000003</c:v>
                </c:pt>
                <c:pt idx="364">
                  <c:v>33.224985000000004</c:v>
                </c:pt>
              </c:numCache>
            </c:numRef>
          </c:yVal>
          <c:smooth val="0"/>
          <c:extLst>
            <c:ext xmlns:c16="http://schemas.microsoft.com/office/drawing/2014/chart" uri="{C3380CC4-5D6E-409C-BE32-E72D297353CC}">
              <c16:uniqueId val="{00000000-C58A-46D2-9FEB-A4C862D3539A}"/>
            </c:ext>
          </c:extLst>
        </c:ser>
        <c:dLbls>
          <c:showLegendKey val="0"/>
          <c:showVal val="0"/>
          <c:showCatName val="0"/>
          <c:showSerName val="0"/>
          <c:showPercent val="0"/>
          <c:showBubbleSize val="0"/>
        </c:dLbls>
        <c:axId val="1113905439"/>
        <c:axId val="1113890079"/>
      </c:scatterChart>
      <c:valAx>
        <c:axId val="1113905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BikeHired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890079"/>
        <c:crosses val="autoZero"/>
        <c:crossBetween val="midCat"/>
      </c:valAx>
      <c:valAx>
        <c:axId val="1113890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9054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BikeHired</a:t>
            </a:r>
            <a:r>
              <a:rPr lang="en-US" baseline="0"/>
              <a:t> &amp; Humidity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44441140282872227"/>
                  <c:y val="-0.3078651408454937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Correlation!$F$130:$F$494</c:f>
              <c:numCache>
                <c:formatCode>0</c:formatCode>
                <c:ptCount val="365"/>
                <c:pt idx="0">
                  <c:v>80.583300000000008</c:v>
                </c:pt>
                <c:pt idx="1">
                  <c:v>69.608699999999999</c:v>
                </c:pt>
                <c:pt idx="2">
                  <c:v>43.7273</c:v>
                </c:pt>
                <c:pt idx="3">
                  <c:v>59.043500000000002</c:v>
                </c:pt>
                <c:pt idx="4">
                  <c:v>43.695699999999995</c:v>
                </c:pt>
                <c:pt idx="5">
                  <c:v>51.826099999999997</c:v>
                </c:pt>
                <c:pt idx="6">
                  <c:v>49.869599999999998</c:v>
                </c:pt>
                <c:pt idx="7">
                  <c:v>53.583300000000001</c:v>
                </c:pt>
                <c:pt idx="8">
                  <c:v>43.416700000000006</c:v>
                </c:pt>
                <c:pt idx="9">
                  <c:v>48.291699999999999</c:v>
                </c:pt>
                <c:pt idx="10">
                  <c:v>68.636399999999995</c:v>
                </c:pt>
                <c:pt idx="11">
                  <c:v>59.954499999999996</c:v>
                </c:pt>
                <c:pt idx="12">
                  <c:v>47.041699999999999</c:v>
                </c:pt>
                <c:pt idx="13">
                  <c:v>53.782600000000002</c:v>
                </c:pt>
                <c:pt idx="14">
                  <c:v>49.875</c:v>
                </c:pt>
                <c:pt idx="15">
                  <c:v>48.375</c:v>
                </c:pt>
                <c:pt idx="16">
                  <c:v>53.75</c:v>
                </c:pt>
                <c:pt idx="17">
                  <c:v>86.166699999999992</c:v>
                </c:pt>
                <c:pt idx="18">
                  <c:v>74.173900000000003</c:v>
                </c:pt>
                <c:pt idx="19">
                  <c:v>53.833299999999994</c:v>
                </c:pt>
                <c:pt idx="20">
                  <c:v>45.708300000000001</c:v>
                </c:pt>
                <c:pt idx="21">
                  <c:v>40</c:v>
                </c:pt>
                <c:pt idx="22">
                  <c:v>43.652200000000001</c:v>
                </c:pt>
                <c:pt idx="23">
                  <c:v>49.173899999999996</c:v>
                </c:pt>
                <c:pt idx="24">
                  <c:v>61.695699999999995</c:v>
                </c:pt>
                <c:pt idx="25">
                  <c:v>86.25</c:v>
                </c:pt>
                <c:pt idx="26">
                  <c:v>68.75</c:v>
                </c:pt>
                <c:pt idx="27">
                  <c:v>79.304300000000012</c:v>
                </c:pt>
                <c:pt idx="28">
                  <c:v>65.173899999999989</c:v>
                </c:pt>
                <c:pt idx="29">
                  <c:v>72.217399999999998</c:v>
                </c:pt>
                <c:pt idx="30">
                  <c:v>60.375</c:v>
                </c:pt>
                <c:pt idx="31">
                  <c:v>82.956500000000005</c:v>
                </c:pt>
                <c:pt idx="32">
                  <c:v>77.541700000000006</c:v>
                </c:pt>
                <c:pt idx="33">
                  <c:v>43.782600000000002</c:v>
                </c:pt>
                <c:pt idx="34">
                  <c:v>58.521699999999996</c:v>
                </c:pt>
                <c:pt idx="35">
                  <c:v>92.916699999999992</c:v>
                </c:pt>
                <c:pt idx="36">
                  <c:v>56.833299999999994</c:v>
                </c:pt>
                <c:pt idx="37">
                  <c:v>73.833300000000008</c:v>
                </c:pt>
                <c:pt idx="38">
                  <c:v>53.791699999999999</c:v>
                </c:pt>
                <c:pt idx="39">
                  <c:v>49.478299999999997</c:v>
                </c:pt>
                <c:pt idx="40">
                  <c:v>43.739100000000001</c:v>
                </c:pt>
                <c:pt idx="41">
                  <c:v>50.636400000000002</c:v>
                </c:pt>
                <c:pt idx="42">
                  <c:v>54.416699999999999</c:v>
                </c:pt>
                <c:pt idx="43">
                  <c:v>45.739100000000001</c:v>
                </c:pt>
                <c:pt idx="44">
                  <c:v>37.583299999999994</c:v>
                </c:pt>
                <c:pt idx="45">
                  <c:v>31.434800000000003</c:v>
                </c:pt>
                <c:pt idx="46">
                  <c:v>42.347799999999999</c:v>
                </c:pt>
                <c:pt idx="47">
                  <c:v>50.5</c:v>
                </c:pt>
                <c:pt idx="48">
                  <c:v>51.666699999999999</c:v>
                </c:pt>
                <c:pt idx="49">
                  <c:v>18.791699999999999</c:v>
                </c:pt>
                <c:pt idx="50">
                  <c:v>40.782600000000002</c:v>
                </c:pt>
                <c:pt idx="51">
                  <c:v>60.5</c:v>
                </c:pt>
                <c:pt idx="52">
                  <c:v>57.777799999999999</c:v>
                </c:pt>
                <c:pt idx="53">
                  <c:v>42.304299999999998</c:v>
                </c:pt>
                <c:pt idx="54">
                  <c:v>69.739099999999993</c:v>
                </c:pt>
                <c:pt idx="55">
                  <c:v>71.217399999999998</c:v>
                </c:pt>
                <c:pt idx="56">
                  <c:v>53.791699999999999</c:v>
                </c:pt>
                <c:pt idx="57">
                  <c:v>68</c:v>
                </c:pt>
                <c:pt idx="58">
                  <c:v>87.636400000000009</c:v>
                </c:pt>
                <c:pt idx="59">
                  <c:v>53.5</c:v>
                </c:pt>
                <c:pt idx="60">
                  <c:v>44.958300000000001</c:v>
                </c:pt>
                <c:pt idx="61">
                  <c:v>31.833299999999998</c:v>
                </c:pt>
                <c:pt idx="62">
                  <c:v>61.041699999999999</c:v>
                </c:pt>
                <c:pt idx="63">
                  <c:v>78.916699999999992</c:v>
                </c:pt>
                <c:pt idx="64">
                  <c:v>94.826099999999997</c:v>
                </c:pt>
                <c:pt idx="65">
                  <c:v>55.130400000000002</c:v>
                </c:pt>
                <c:pt idx="66">
                  <c:v>42.083300000000001</c:v>
                </c:pt>
                <c:pt idx="67">
                  <c:v>77.541700000000006</c:v>
                </c:pt>
                <c:pt idx="68">
                  <c:v>0</c:v>
                </c:pt>
                <c:pt idx="69">
                  <c:v>64.956499999999991</c:v>
                </c:pt>
                <c:pt idx="70">
                  <c:v>59.458299999999994</c:v>
                </c:pt>
                <c:pt idx="71">
                  <c:v>52.739100000000008</c:v>
                </c:pt>
                <c:pt idx="72">
                  <c:v>49.695699999999995</c:v>
                </c:pt>
                <c:pt idx="73">
                  <c:v>65.565200000000004</c:v>
                </c:pt>
                <c:pt idx="74">
                  <c:v>77.652200000000008</c:v>
                </c:pt>
                <c:pt idx="75">
                  <c:v>60.291700000000006</c:v>
                </c:pt>
                <c:pt idx="76">
                  <c:v>52.521700000000003</c:v>
                </c:pt>
                <c:pt idx="77">
                  <c:v>37.916699999999999</c:v>
                </c:pt>
                <c:pt idx="78">
                  <c:v>47.375</c:v>
                </c:pt>
                <c:pt idx="79">
                  <c:v>73.739100000000008</c:v>
                </c:pt>
                <c:pt idx="80">
                  <c:v>62.458300000000001</c:v>
                </c:pt>
                <c:pt idx="81">
                  <c:v>83.956500000000005</c:v>
                </c:pt>
                <c:pt idx="82">
                  <c:v>80.583300000000008</c:v>
                </c:pt>
                <c:pt idx="83">
                  <c:v>49.5</c:v>
                </c:pt>
                <c:pt idx="84">
                  <c:v>39.416699999999999</c:v>
                </c:pt>
                <c:pt idx="85">
                  <c:v>49.391300000000001</c:v>
                </c:pt>
                <c:pt idx="86">
                  <c:v>30.217400000000001</c:v>
                </c:pt>
                <c:pt idx="87">
                  <c:v>31.416699999999999</c:v>
                </c:pt>
                <c:pt idx="88">
                  <c:v>64.666700000000006</c:v>
                </c:pt>
                <c:pt idx="89">
                  <c:v>91.833299999999994</c:v>
                </c:pt>
                <c:pt idx="90">
                  <c:v>68.625</c:v>
                </c:pt>
                <c:pt idx="91">
                  <c:v>65.375</c:v>
                </c:pt>
                <c:pt idx="92">
                  <c:v>48</c:v>
                </c:pt>
                <c:pt idx="93">
                  <c:v>42.625</c:v>
                </c:pt>
                <c:pt idx="94">
                  <c:v>64.208299999999994</c:v>
                </c:pt>
                <c:pt idx="95">
                  <c:v>47.083300000000001</c:v>
                </c:pt>
                <c:pt idx="96">
                  <c:v>60.291700000000006</c:v>
                </c:pt>
                <c:pt idx="97">
                  <c:v>83.625</c:v>
                </c:pt>
                <c:pt idx="98">
                  <c:v>87.75</c:v>
                </c:pt>
                <c:pt idx="99">
                  <c:v>85.75</c:v>
                </c:pt>
                <c:pt idx="100">
                  <c:v>71.695599999999999</c:v>
                </c:pt>
                <c:pt idx="101">
                  <c:v>73.916700000000006</c:v>
                </c:pt>
                <c:pt idx="102">
                  <c:v>81.916699999999992</c:v>
                </c:pt>
                <c:pt idx="103">
                  <c:v>54.041700000000006</c:v>
                </c:pt>
                <c:pt idx="104">
                  <c:v>67.125</c:v>
                </c:pt>
                <c:pt idx="105">
                  <c:v>88.833300000000008</c:v>
                </c:pt>
                <c:pt idx="106">
                  <c:v>47.958300000000001</c:v>
                </c:pt>
                <c:pt idx="107">
                  <c:v>54.25</c:v>
                </c:pt>
                <c:pt idx="108">
                  <c:v>66.583299999999994</c:v>
                </c:pt>
                <c:pt idx="109">
                  <c:v>61.416699999999999</c:v>
                </c:pt>
                <c:pt idx="110">
                  <c:v>40.708299999999994</c:v>
                </c:pt>
                <c:pt idx="111">
                  <c:v>72.958299999999994</c:v>
                </c:pt>
                <c:pt idx="112">
                  <c:v>88.791699999999992</c:v>
                </c:pt>
                <c:pt idx="113">
                  <c:v>81.083300000000008</c:v>
                </c:pt>
                <c:pt idx="114">
                  <c:v>77.666700000000006</c:v>
                </c:pt>
                <c:pt idx="115">
                  <c:v>72.916700000000006</c:v>
                </c:pt>
                <c:pt idx="116">
                  <c:v>83.541699999999992</c:v>
                </c:pt>
                <c:pt idx="117">
                  <c:v>70.083300000000008</c:v>
                </c:pt>
                <c:pt idx="118">
                  <c:v>45.708300000000001</c:v>
                </c:pt>
                <c:pt idx="119">
                  <c:v>50.333300000000001</c:v>
                </c:pt>
                <c:pt idx="120">
                  <c:v>76.208299999999994</c:v>
                </c:pt>
                <c:pt idx="121">
                  <c:v>73</c:v>
                </c:pt>
                <c:pt idx="122">
                  <c:v>69.708299999999994</c:v>
                </c:pt>
                <c:pt idx="123">
                  <c:v>73.708300000000008</c:v>
                </c:pt>
                <c:pt idx="124">
                  <c:v>44.416699999999999</c:v>
                </c:pt>
                <c:pt idx="125">
                  <c:v>59</c:v>
                </c:pt>
                <c:pt idx="126">
                  <c:v>54.125</c:v>
                </c:pt>
                <c:pt idx="127">
                  <c:v>63.166699999999999</c:v>
                </c:pt>
                <c:pt idx="128">
                  <c:v>58.875</c:v>
                </c:pt>
                <c:pt idx="129">
                  <c:v>48.916699999999999</c:v>
                </c:pt>
                <c:pt idx="130">
                  <c:v>63.291699999999992</c:v>
                </c:pt>
                <c:pt idx="131">
                  <c:v>74.75</c:v>
                </c:pt>
                <c:pt idx="132">
                  <c:v>86.333300000000008</c:v>
                </c:pt>
                <c:pt idx="133">
                  <c:v>92.25</c:v>
                </c:pt>
                <c:pt idx="134">
                  <c:v>86.708300000000008</c:v>
                </c:pt>
                <c:pt idx="135">
                  <c:v>78.791699999999992</c:v>
                </c:pt>
                <c:pt idx="136">
                  <c:v>83.791700000000006</c:v>
                </c:pt>
                <c:pt idx="137">
                  <c:v>87</c:v>
                </c:pt>
                <c:pt idx="138">
                  <c:v>82.958299999999994</c:v>
                </c:pt>
                <c:pt idx="139">
                  <c:v>71.958299999999994</c:v>
                </c:pt>
                <c:pt idx="140">
                  <c:v>62.666699999999999</c:v>
                </c:pt>
                <c:pt idx="141">
                  <c:v>74.958299999999994</c:v>
                </c:pt>
                <c:pt idx="142">
                  <c:v>81</c:v>
                </c:pt>
                <c:pt idx="143">
                  <c:v>74.083299999999994</c:v>
                </c:pt>
                <c:pt idx="144">
                  <c:v>69.625</c:v>
                </c:pt>
                <c:pt idx="145">
                  <c:v>67.75</c:v>
                </c:pt>
                <c:pt idx="146">
                  <c:v>65.375</c:v>
                </c:pt>
                <c:pt idx="147">
                  <c:v>72.958299999999994</c:v>
                </c:pt>
                <c:pt idx="148">
                  <c:v>81.875</c:v>
                </c:pt>
                <c:pt idx="149">
                  <c:v>68.5</c:v>
                </c:pt>
                <c:pt idx="150">
                  <c:v>63.666699999999999</c:v>
                </c:pt>
                <c:pt idx="151">
                  <c:v>67.708299999999994</c:v>
                </c:pt>
                <c:pt idx="152">
                  <c:v>30.5</c:v>
                </c:pt>
                <c:pt idx="153">
                  <c:v>35.416699999999999</c:v>
                </c:pt>
                <c:pt idx="154">
                  <c:v>45.625</c:v>
                </c:pt>
                <c:pt idx="155">
                  <c:v>65.25</c:v>
                </c:pt>
                <c:pt idx="156">
                  <c:v>60</c:v>
                </c:pt>
                <c:pt idx="157">
                  <c:v>59.791700000000006</c:v>
                </c:pt>
                <c:pt idx="158">
                  <c:v>62.208300000000008</c:v>
                </c:pt>
                <c:pt idx="159">
                  <c:v>56.833299999999994</c:v>
                </c:pt>
                <c:pt idx="160">
                  <c:v>60.5</c:v>
                </c:pt>
                <c:pt idx="161">
                  <c:v>65.458300000000008</c:v>
                </c:pt>
                <c:pt idx="162">
                  <c:v>74.791700000000006</c:v>
                </c:pt>
                <c:pt idx="163">
                  <c:v>49.458300000000001</c:v>
                </c:pt>
                <c:pt idx="164">
                  <c:v>50.708299999999994</c:v>
                </c:pt>
                <c:pt idx="165">
                  <c:v>47.166699999999999</c:v>
                </c:pt>
                <c:pt idx="166">
                  <c:v>68.833299999999994</c:v>
                </c:pt>
                <c:pt idx="167">
                  <c:v>73.583299999999994</c:v>
                </c:pt>
                <c:pt idx="168">
                  <c:v>67.041700000000006</c:v>
                </c:pt>
                <c:pt idx="169">
                  <c:v>66.666700000000006</c:v>
                </c:pt>
                <c:pt idx="170">
                  <c:v>74.625</c:v>
                </c:pt>
                <c:pt idx="171">
                  <c:v>77.041700000000006</c:v>
                </c:pt>
                <c:pt idx="172">
                  <c:v>70.75</c:v>
                </c:pt>
                <c:pt idx="173">
                  <c:v>70.333299999999994</c:v>
                </c:pt>
                <c:pt idx="174">
                  <c:v>57.333300000000001</c:v>
                </c:pt>
                <c:pt idx="175">
                  <c:v>48.333300000000001</c:v>
                </c:pt>
                <c:pt idx="176">
                  <c:v>51.333300000000001</c:v>
                </c:pt>
                <c:pt idx="177">
                  <c:v>65.833299999999994</c:v>
                </c:pt>
                <c:pt idx="178">
                  <c:v>63.416700000000006</c:v>
                </c:pt>
                <c:pt idx="179">
                  <c:v>49.791699999999999</c:v>
                </c:pt>
                <c:pt idx="180">
                  <c:v>43.416700000000006</c:v>
                </c:pt>
                <c:pt idx="181">
                  <c:v>39.625</c:v>
                </c:pt>
                <c:pt idx="182">
                  <c:v>44.458300000000001</c:v>
                </c:pt>
                <c:pt idx="183">
                  <c:v>68.25</c:v>
                </c:pt>
                <c:pt idx="184">
                  <c:v>63.791699999999999</c:v>
                </c:pt>
                <c:pt idx="185">
                  <c:v>59.041699999999999</c:v>
                </c:pt>
                <c:pt idx="186">
                  <c:v>74.333300000000008</c:v>
                </c:pt>
                <c:pt idx="187">
                  <c:v>65.125</c:v>
                </c:pt>
                <c:pt idx="188">
                  <c:v>75.791699999999992</c:v>
                </c:pt>
                <c:pt idx="189">
                  <c:v>60.916699999999999</c:v>
                </c:pt>
                <c:pt idx="190">
                  <c:v>57.833300000000001</c:v>
                </c:pt>
                <c:pt idx="191">
                  <c:v>63.583300000000001</c:v>
                </c:pt>
                <c:pt idx="192">
                  <c:v>55.916699999999999</c:v>
                </c:pt>
                <c:pt idx="193">
                  <c:v>63.166699999999999</c:v>
                </c:pt>
                <c:pt idx="194">
                  <c:v>47.625</c:v>
                </c:pt>
                <c:pt idx="195">
                  <c:v>59.125000000000007</c:v>
                </c:pt>
                <c:pt idx="196">
                  <c:v>58.5</c:v>
                </c:pt>
                <c:pt idx="197">
                  <c:v>60.416699999999999</c:v>
                </c:pt>
                <c:pt idx="198">
                  <c:v>65.125</c:v>
                </c:pt>
                <c:pt idx="199">
                  <c:v>65.041700000000006</c:v>
                </c:pt>
                <c:pt idx="200">
                  <c:v>70.708300000000008</c:v>
                </c:pt>
                <c:pt idx="201">
                  <c:v>69.125</c:v>
                </c:pt>
                <c:pt idx="202">
                  <c:v>58.041699999999999</c:v>
                </c:pt>
                <c:pt idx="203">
                  <c:v>50</c:v>
                </c:pt>
                <c:pt idx="204">
                  <c:v>55.083300000000001</c:v>
                </c:pt>
                <c:pt idx="205">
                  <c:v>75.708299999999994</c:v>
                </c:pt>
                <c:pt idx="206">
                  <c:v>54.083300000000001</c:v>
                </c:pt>
                <c:pt idx="207">
                  <c:v>40.291700000000006</c:v>
                </c:pt>
                <c:pt idx="208">
                  <c:v>58.333300000000001</c:v>
                </c:pt>
                <c:pt idx="209">
                  <c:v>54.25</c:v>
                </c:pt>
                <c:pt idx="210">
                  <c:v>46.583300000000001</c:v>
                </c:pt>
                <c:pt idx="211">
                  <c:v>48.083300000000001</c:v>
                </c:pt>
                <c:pt idx="212">
                  <c:v>55.083300000000001</c:v>
                </c:pt>
                <c:pt idx="213">
                  <c:v>49.125</c:v>
                </c:pt>
                <c:pt idx="214">
                  <c:v>65.75</c:v>
                </c:pt>
                <c:pt idx="215">
                  <c:v>75.75</c:v>
                </c:pt>
                <c:pt idx="216">
                  <c:v>63.083299999999994</c:v>
                </c:pt>
                <c:pt idx="217">
                  <c:v>75.5</c:v>
                </c:pt>
                <c:pt idx="218">
                  <c:v>75.291699999999992</c:v>
                </c:pt>
                <c:pt idx="219">
                  <c:v>59.208300000000001</c:v>
                </c:pt>
                <c:pt idx="220">
                  <c:v>57.041699999999992</c:v>
                </c:pt>
                <c:pt idx="221">
                  <c:v>42.416699999999999</c:v>
                </c:pt>
                <c:pt idx="222">
                  <c:v>42.375</c:v>
                </c:pt>
                <c:pt idx="223">
                  <c:v>41.5</c:v>
                </c:pt>
                <c:pt idx="224">
                  <c:v>72.958299999999994</c:v>
                </c:pt>
                <c:pt idx="225">
                  <c:v>81.75</c:v>
                </c:pt>
                <c:pt idx="226">
                  <c:v>71.208300000000008</c:v>
                </c:pt>
                <c:pt idx="227">
                  <c:v>57.833300000000001</c:v>
                </c:pt>
                <c:pt idx="228">
                  <c:v>57.541699999999999</c:v>
                </c:pt>
                <c:pt idx="229">
                  <c:v>65.458300000000008</c:v>
                </c:pt>
                <c:pt idx="230">
                  <c:v>72.291700000000006</c:v>
                </c:pt>
                <c:pt idx="231">
                  <c:v>67.416699999999992</c:v>
                </c:pt>
                <c:pt idx="232">
                  <c:v>77</c:v>
                </c:pt>
                <c:pt idx="233">
                  <c:v>47</c:v>
                </c:pt>
                <c:pt idx="234">
                  <c:v>45.541699999999999</c:v>
                </c:pt>
                <c:pt idx="235">
                  <c:v>60.5</c:v>
                </c:pt>
                <c:pt idx="236">
                  <c:v>77.166700000000006</c:v>
                </c:pt>
                <c:pt idx="237">
                  <c:v>76.125</c:v>
                </c:pt>
                <c:pt idx="238">
                  <c:v>85</c:v>
                </c:pt>
                <c:pt idx="239">
                  <c:v>56.176499999999997</c:v>
                </c:pt>
                <c:pt idx="240">
                  <c:v>55.458300000000008</c:v>
                </c:pt>
                <c:pt idx="241">
                  <c:v>54.833299999999994</c:v>
                </c:pt>
                <c:pt idx="242">
                  <c:v>59.791700000000006</c:v>
                </c:pt>
                <c:pt idx="243">
                  <c:v>63.916700000000006</c:v>
                </c:pt>
                <c:pt idx="244">
                  <c:v>72.708300000000008</c:v>
                </c:pt>
                <c:pt idx="245">
                  <c:v>71.666700000000006</c:v>
                </c:pt>
                <c:pt idx="246">
                  <c:v>74.208300000000008</c:v>
                </c:pt>
                <c:pt idx="247">
                  <c:v>79.041700000000006</c:v>
                </c:pt>
                <c:pt idx="248">
                  <c:v>88.695700000000002</c:v>
                </c:pt>
                <c:pt idx="249">
                  <c:v>91.708299999999994</c:v>
                </c:pt>
                <c:pt idx="250">
                  <c:v>93.956500000000005</c:v>
                </c:pt>
                <c:pt idx="251">
                  <c:v>89.791699999999992</c:v>
                </c:pt>
                <c:pt idx="252">
                  <c:v>75.375</c:v>
                </c:pt>
                <c:pt idx="253">
                  <c:v>71.375</c:v>
                </c:pt>
                <c:pt idx="254">
                  <c:v>69.217399999999998</c:v>
                </c:pt>
                <c:pt idx="255">
                  <c:v>71.25</c:v>
                </c:pt>
                <c:pt idx="256">
                  <c:v>69.708299999999994</c:v>
                </c:pt>
                <c:pt idx="257">
                  <c:v>70.916700000000006</c:v>
                </c:pt>
                <c:pt idx="258">
                  <c:v>59.041699999999999</c:v>
                </c:pt>
                <c:pt idx="259">
                  <c:v>71.833299999999994</c:v>
                </c:pt>
                <c:pt idx="260">
                  <c:v>69.5</c:v>
                </c:pt>
                <c:pt idx="261">
                  <c:v>69</c:v>
                </c:pt>
                <c:pt idx="262">
                  <c:v>88.125</c:v>
                </c:pt>
                <c:pt idx="263">
                  <c:v>90</c:v>
                </c:pt>
                <c:pt idx="264">
                  <c:v>90.208299999999994</c:v>
                </c:pt>
                <c:pt idx="265">
                  <c:v>97.25</c:v>
                </c:pt>
                <c:pt idx="266">
                  <c:v>86.25</c:v>
                </c:pt>
                <c:pt idx="267">
                  <c:v>84.5</c:v>
                </c:pt>
                <c:pt idx="268">
                  <c:v>84.833299999999994</c:v>
                </c:pt>
                <c:pt idx="269">
                  <c:v>88.541700000000006</c:v>
                </c:pt>
                <c:pt idx="270">
                  <c:v>84.875</c:v>
                </c:pt>
                <c:pt idx="271">
                  <c:v>69.916699999999992</c:v>
                </c:pt>
                <c:pt idx="272">
                  <c:v>64.75</c:v>
                </c:pt>
                <c:pt idx="273">
                  <c:v>75.375</c:v>
                </c:pt>
                <c:pt idx="274">
                  <c:v>79.166700000000006</c:v>
                </c:pt>
                <c:pt idx="275">
                  <c:v>76.083299999999994</c:v>
                </c:pt>
                <c:pt idx="276">
                  <c:v>71</c:v>
                </c:pt>
                <c:pt idx="277">
                  <c:v>64.791699999999992</c:v>
                </c:pt>
                <c:pt idx="278">
                  <c:v>62.083299999999994</c:v>
                </c:pt>
                <c:pt idx="279">
                  <c:v>68.416699999999992</c:v>
                </c:pt>
                <c:pt idx="280">
                  <c:v>70.125</c:v>
                </c:pt>
                <c:pt idx="281">
                  <c:v>72.75</c:v>
                </c:pt>
                <c:pt idx="282">
                  <c:v>73.375</c:v>
                </c:pt>
                <c:pt idx="283">
                  <c:v>80.875</c:v>
                </c:pt>
                <c:pt idx="284">
                  <c:v>90.625</c:v>
                </c:pt>
                <c:pt idx="285">
                  <c:v>89.666700000000006</c:v>
                </c:pt>
                <c:pt idx="286">
                  <c:v>71.625</c:v>
                </c:pt>
                <c:pt idx="287">
                  <c:v>48.333300000000001</c:v>
                </c:pt>
                <c:pt idx="288">
                  <c:v>48.666699999999999</c:v>
                </c:pt>
                <c:pt idx="289">
                  <c:v>57.958299999999994</c:v>
                </c:pt>
                <c:pt idx="290">
                  <c:v>70.166700000000006</c:v>
                </c:pt>
                <c:pt idx="291">
                  <c:v>89.52170000000001</c:v>
                </c:pt>
                <c:pt idx="292">
                  <c:v>63.625</c:v>
                </c:pt>
                <c:pt idx="293">
                  <c:v>57.416699999999999</c:v>
                </c:pt>
                <c:pt idx="294">
                  <c:v>62.916700000000006</c:v>
                </c:pt>
                <c:pt idx="295">
                  <c:v>74.125</c:v>
                </c:pt>
                <c:pt idx="296">
                  <c:v>77.208299999999994</c:v>
                </c:pt>
                <c:pt idx="297">
                  <c:v>62.291700000000006</c:v>
                </c:pt>
                <c:pt idx="298">
                  <c:v>72.041699999999992</c:v>
                </c:pt>
                <c:pt idx="299">
                  <c:v>81.291700000000006</c:v>
                </c:pt>
                <c:pt idx="300">
                  <c:v>58.583300000000008</c:v>
                </c:pt>
                <c:pt idx="301">
                  <c:v>88.25</c:v>
                </c:pt>
                <c:pt idx="302">
                  <c:v>62.375</c:v>
                </c:pt>
                <c:pt idx="303">
                  <c:v>70.333299999999994</c:v>
                </c:pt>
                <c:pt idx="304">
                  <c:v>68.375</c:v>
                </c:pt>
                <c:pt idx="305">
                  <c:v>71.875</c:v>
                </c:pt>
                <c:pt idx="306">
                  <c:v>70.208300000000008</c:v>
                </c:pt>
                <c:pt idx="307">
                  <c:v>62.250000000000007</c:v>
                </c:pt>
                <c:pt idx="308">
                  <c:v>51.916700000000006</c:v>
                </c:pt>
                <c:pt idx="309">
                  <c:v>73.458299999999994</c:v>
                </c:pt>
                <c:pt idx="310">
                  <c:v>75.875</c:v>
                </c:pt>
                <c:pt idx="311">
                  <c:v>72.166699999999992</c:v>
                </c:pt>
                <c:pt idx="312">
                  <c:v>75.833300000000008</c:v>
                </c:pt>
                <c:pt idx="313">
                  <c:v>81.333299999999994</c:v>
                </c:pt>
                <c:pt idx="314">
                  <c:v>44.625</c:v>
                </c:pt>
                <c:pt idx="315">
                  <c:v>55.291699999999999</c:v>
                </c:pt>
                <c:pt idx="316">
                  <c:v>45.833300000000001</c:v>
                </c:pt>
                <c:pt idx="317">
                  <c:v>58.708300000000001</c:v>
                </c:pt>
                <c:pt idx="318">
                  <c:v>68.875</c:v>
                </c:pt>
                <c:pt idx="319">
                  <c:v>93</c:v>
                </c:pt>
                <c:pt idx="320">
                  <c:v>57.583300000000001</c:v>
                </c:pt>
                <c:pt idx="321">
                  <c:v>41</c:v>
                </c:pt>
                <c:pt idx="322">
                  <c:v>50.208299999999994</c:v>
                </c:pt>
                <c:pt idx="323">
                  <c:v>68.458300000000008</c:v>
                </c:pt>
                <c:pt idx="324">
                  <c:v>91</c:v>
                </c:pt>
                <c:pt idx="325">
                  <c:v>96.25</c:v>
                </c:pt>
                <c:pt idx="326">
                  <c:v>75.791699999999992</c:v>
                </c:pt>
                <c:pt idx="327">
                  <c:v>54.916699999999999</c:v>
                </c:pt>
                <c:pt idx="328">
                  <c:v>64.375</c:v>
                </c:pt>
                <c:pt idx="329">
                  <c:v>68.166700000000006</c:v>
                </c:pt>
                <c:pt idx="330">
                  <c:v>69.833299999999994</c:v>
                </c:pt>
                <c:pt idx="331">
                  <c:v>74.304299999999998</c:v>
                </c:pt>
                <c:pt idx="332">
                  <c:v>83.083300000000008</c:v>
                </c:pt>
                <c:pt idx="333">
                  <c:v>61.333300000000001</c:v>
                </c:pt>
                <c:pt idx="334">
                  <c:v>52.458300000000001</c:v>
                </c:pt>
                <c:pt idx="335">
                  <c:v>62.583299999999994</c:v>
                </c:pt>
                <c:pt idx="336">
                  <c:v>61.291700000000006</c:v>
                </c:pt>
                <c:pt idx="337">
                  <c:v>77.583299999999994</c:v>
                </c:pt>
                <c:pt idx="338">
                  <c:v>82.708300000000008</c:v>
                </c:pt>
                <c:pt idx="339">
                  <c:v>94.958299999999994</c:v>
                </c:pt>
                <c:pt idx="340">
                  <c:v>97.041699999999992</c:v>
                </c:pt>
                <c:pt idx="341">
                  <c:v>57.999999999999993</c:v>
                </c:pt>
                <c:pt idx="342">
                  <c:v>69.583300000000008</c:v>
                </c:pt>
                <c:pt idx="343">
                  <c:v>50.749999999999993</c:v>
                </c:pt>
                <c:pt idx="344">
                  <c:v>49</c:v>
                </c:pt>
                <c:pt idx="345">
                  <c:v>67.083300000000008</c:v>
                </c:pt>
                <c:pt idx="346">
                  <c:v>59</c:v>
                </c:pt>
                <c:pt idx="347">
                  <c:v>66.375</c:v>
                </c:pt>
                <c:pt idx="348">
                  <c:v>63.416700000000006</c:v>
                </c:pt>
                <c:pt idx="349">
                  <c:v>50.041699999999999</c:v>
                </c:pt>
                <c:pt idx="350">
                  <c:v>56.083300000000001</c:v>
                </c:pt>
                <c:pt idx="351">
                  <c:v>58.625000000000007</c:v>
                </c:pt>
                <c:pt idx="352">
                  <c:v>63.749999999999993</c:v>
                </c:pt>
                <c:pt idx="353">
                  <c:v>59.541699999999999</c:v>
                </c:pt>
                <c:pt idx="354">
                  <c:v>85.833300000000008</c:v>
                </c:pt>
                <c:pt idx="355">
                  <c:v>75.75</c:v>
                </c:pt>
                <c:pt idx="356">
                  <c:v>68.625</c:v>
                </c:pt>
                <c:pt idx="357">
                  <c:v>54.25</c:v>
                </c:pt>
                <c:pt idx="358">
                  <c:v>68.130400000000009</c:v>
                </c:pt>
                <c:pt idx="359">
                  <c:v>50.695700000000002</c:v>
                </c:pt>
                <c:pt idx="360">
                  <c:v>76.25</c:v>
                </c:pt>
                <c:pt idx="361">
                  <c:v>50.391300000000008</c:v>
                </c:pt>
                <c:pt idx="362">
                  <c:v>57.416699999999999</c:v>
                </c:pt>
                <c:pt idx="363">
                  <c:v>63.666699999999999</c:v>
                </c:pt>
                <c:pt idx="364">
                  <c:v>61.583299999999994</c:v>
                </c:pt>
              </c:numCache>
            </c:numRef>
          </c:xVal>
          <c:yVal>
            <c:numRef>
              <c:f>Correlation!$G$130:$G$494</c:f>
              <c:numCache>
                <c:formatCode>General</c:formatCode>
                <c:ptCount val="365"/>
                <c:pt idx="0">
                  <c:v>93</c:v>
                </c:pt>
                <c:pt idx="1">
                  <c:v>121</c:v>
                </c:pt>
                <c:pt idx="2">
                  <c:v>94</c:v>
                </c:pt>
                <c:pt idx="3">
                  <c:v>93</c:v>
                </c:pt>
                <c:pt idx="4">
                  <c:v>92</c:v>
                </c:pt>
                <c:pt idx="5">
                  <c:v>81</c:v>
                </c:pt>
                <c:pt idx="6">
                  <c:v>107</c:v>
                </c:pt>
                <c:pt idx="7">
                  <c:v>98</c:v>
                </c:pt>
                <c:pt idx="8">
                  <c:v>81</c:v>
                </c:pt>
                <c:pt idx="9">
                  <c:v>85</c:v>
                </c:pt>
                <c:pt idx="10">
                  <c:v>87</c:v>
                </c:pt>
                <c:pt idx="11">
                  <c:v>102</c:v>
                </c:pt>
                <c:pt idx="12">
                  <c:v>110</c:v>
                </c:pt>
                <c:pt idx="13">
                  <c:v>118</c:v>
                </c:pt>
                <c:pt idx="14">
                  <c:v>106</c:v>
                </c:pt>
                <c:pt idx="15">
                  <c:v>89</c:v>
                </c:pt>
                <c:pt idx="16">
                  <c:v>91</c:v>
                </c:pt>
                <c:pt idx="17">
                  <c:v>87</c:v>
                </c:pt>
                <c:pt idx="18">
                  <c:v>76</c:v>
                </c:pt>
                <c:pt idx="19">
                  <c:v>68</c:v>
                </c:pt>
                <c:pt idx="20">
                  <c:v>66</c:v>
                </c:pt>
                <c:pt idx="21">
                  <c:v>72</c:v>
                </c:pt>
                <c:pt idx="22">
                  <c:v>76</c:v>
                </c:pt>
                <c:pt idx="23">
                  <c:v>92</c:v>
                </c:pt>
                <c:pt idx="24">
                  <c:v>93</c:v>
                </c:pt>
                <c:pt idx="25">
                  <c:v>88</c:v>
                </c:pt>
                <c:pt idx="26">
                  <c:v>77</c:v>
                </c:pt>
                <c:pt idx="27">
                  <c:v>89</c:v>
                </c:pt>
                <c:pt idx="28">
                  <c:v>86</c:v>
                </c:pt>
                <c:pt idx="29">
                  <c:v>86</c:v>
                </c:pt>
                <c:pt idx="30">
                  <c:v>97</c:v>
                </c:pt>
                <c:pt idx="31">
                  <c:v>71</c:v>
                </c:pt>
                <c:pt idx="32">
                  <c:v>92</c:v>
                </c:pt>
                <c:pt idx="33">
                  <c:v>97</c:v>
                </c:pt>
                <c:pt idx="34">
                  <c:v>85</c:v>
                </c:pt>
                <c:pt idx="35">
                  <c:v>76</c:v>
                </c:pt>
                <c:pt idx="36">
                  <c:v>87</c:v>
                </c:pt>
                <c:pt idx="37">
                  <c:v>92</c:v>
                </c:pt>
                <c:pt idx="38">
                  <c:v>96</c:v>
                </c:pt>
                <c:pt idx="39">
                  <c:v>96</c:v>
                </c:pt>
                <c:pt idx="40">
                  <c:v>98</c:v>
                </c:pt>
                <c:pt idx="41">
                  <c:v>83</c:v>
                </c:pt>
                <c:pt idx="42">
                  <c:v>77</c:v>
                </c:pt>
                <c:pt idx="43">
                  <c:v>87</c:v>
                </c:pt>
                <c:pt idx="44">
                  <c:v>94</c:v>
                </c:pt>
                <c:pt idx="45">
                  <c:v>94</c:v>
                </c:pt>
                <c:pt idx="46">
                  <c:v>76</c:v>
                </c:pt>
                <c:pt idx="47">
                  <c:v>83</c:v>
                </c:pt>
                <c:pt idx="48">
                  <c:v>104</c:v>
                </c:pt>
                <c:pt idx="49">
                  <c:v>77</c:v>
                </c:pt>
                <c:pt idx="50">
                  <c:v>96</c:v>
                </c:pt>
                <c:pt idx="51">
                  <c:v>118</c:v>
                </c:pt>
                <c:pt idx="52">
                  <c:v>103</c:v>
                </c:pt>
                <c:pt idx="53">
                  <c:v>71</c:v>
                </c:pt>
                <c:pt idx="54">
                  <c:v>93</c:v>
                </c:pt>
                <c:pt idx="55">
                  <c:v>23</c:v>
                </c:pt>
                <c:pt idx="56">
                  <c:v>86</c:v>
                </c:pt>
                <c:pt idx="57">
                  <c:v>93</c:v>
                </c:pt>
                <c:pt idx="58">
                  <c:v>105</c:v>
                </c:pt>
                <c:pt idx="59">
                  <c:v>101</c:v>
                </c:pt>
                <c:pt idx="60">
                  <c:v>103</c:v>
                </c:pt>
                <c:pt idx="61">
                  <c:v>95</c:v>
                </c:pt>
                <c:pt idx="62">
                  <c:v>90</c:v>
                </c:pt>
                <c:pt idx="63">
                  <c:v>98</c:v>
                </c:pt>
                <c:pt idx="64">
                  <c:v>67</c:v>
                </c:pt>
                <c:pt idx="65">
                  <c:v>54</c:v>
                </c:pt>
                <c:pt idx="66">
                  <c:v>40</c:v>
                </c:pt>
                <c:pt idx="67">
                  <c:v>37</c:v>
                </c:pt>
                <c:pt idx="68">
                  <c:v>71</c:v>
                </c:pt>
                <c:pt idx="69">
                  <c:v>107</c:v>
                </c:pt>
                <c:pt idx="70">
                  <c:v>101</c:v>
                </c:pt>
                <c:pt idx="71">
                  <c:v>94</c:v>
                </c:pt>
                <c:pt idx="72">
                  <c:v>95</c:v>
                </c:pt>
                <c:pt idx="73">
                  <c:v>96</c:v>
                </c:pt>
                <c:pt idx="74">
                  <c:v>74</c:v>
                </c:pt>
                <c:pt idx="75">
                  <c:v>95</c:v>
                </c:pt>
                <c:pt idx="76">
                  <c:v>91</c:v>
                </c:pt>
                <c:pt idx="77">
                  <c:v>85</c:v>
                </c:pt>
                <c:pt idx="78">
                  <c:v>91</c:v>
                </c:pt>
                <c:pt idx="79">
                  <c:v>73</c:v>
                </c:pt>
                <c:pt idx="80">
                  <c:v>87</c:v>
                </c:pt>
                <c:pt idx="81">
                  <c:v>96</c:v>
                </c:pt>
                <c:pt idx="82">
                  <c:v>48</c:v>
                </c:pt>
                <c:pt idx="83">
                  <c:v>109</c:v>
                </c:pt>
                <c:pt idx="84">
                  <c:v>100</c:v>
                </c:pt>
                <c:pt idx="85">
                  <c:v>93</c:v>
                </c:pt>
                <c:pt idx="86">
                  <c:v>83</c:v>
                </c:pt>
                <c:pt idx="87">
                  <c:v>79</c:v>
                </c:pt>
                <c:pt idx="88">
                  <c:v>97</c:v>
                </c:pt>
                <c:pt idx="89">
                  <c:v>104</c:v>
                </c:pt>
                <c:pt idx="90">
                  <c:v>49</c:v>
                </c:pt>
                <c:pt idx="91">
                  <c:v>58</c:v>
                </c:pt>
                <c:pt idx="92">
                  <c:v>72</c:v>
                </c:pt>
                <c:pt idx="93">
                  <c:v>89</c:v>
                </c:pt>
                <c:pt idx="94">
                  <c:v>96</c:v>
                </c:pt>
                <c:pt idx="95">
                  <c:v>96</c:v>
                </c:pt>
                <c:pt idx="96">
                  <c:v>100</c:v>
                </c:pt>
                <c:pt idx="97">
                  <c:v>108</c:v>
                </c:pt>
                <c:pt idx="98">
                  <c:v>110</c:v>
                </c:pt>
                <c:pt idx="99">
                  <c:v>102</c:v>
                </c:pt>
                <c:pt idx="100">
                  <c:v>91</c:v>
                </c:pt>
                <c:pt idx="101">
                  <c:v>48</c:v>
                </c:pt>
                <c:pt idx="102">
                  <c:v>58</c:v>
                </c:pt>
                <c:pt idx="103">
                  <c:v>73</c:v>
                </c:pt>
                <c:pt idx="104">
                  <c:v>104</c:v>
                </c:pt>
                <c:pt idx="105">
                  <c:v>101</c:v>
                </c:pt>
                <c:pt idx="106">
                  <c:v>91</c:v>
                </c:pt>
                <c:pt idx="107">
                  <c:v>95</c:v>
                </c:pt>
                <c:pt idx="108">
                  <c:v>48</c:v>
                </c:pt>
                <c:pt idx="109">
                  <c:v>83</c:v>
                </c:pt>
                <c:pt idx="110">
                  <c:v>87</c:v>
                </c:pt>
                <c:pt idx="111">
                  <c:v>86</c:v>
                </c:pt>
                <c:pt idx="112">
                  <c:v>87</c:v>
                </c:pt>
                <c:pt idx="113">
                  <c:v>84</c:v>
                </c:pt>
                <c:pt idx="114">
                  <c:v>94</c:v>
                </c:pt>
                <c:pt idx="115">
                  <c:v>78</c:v>
                </c:pt>
                <c:pt idx="116">
                  <c:v>53</c:v>
                </c:pt>
                <c:pt idx="117">
                  <c:v>75</c:v>
                </c:pt>
                <c:pt idx="118">
                  <c:v>12</c:v>
                </c:pt>
                <c:pt idx="119">
                  <c:v>67</c:v>
                </c:pt>
                <c:pt idx="120">
                  <c:v>73</c:v>
                </c:pt>
                <c:pt idx="121">
                  <c:v>81</c:v>
                </c:pt>
                <c:pt idx="122">
                  <c:v>83</c:v>
                </c:pt>
                <c:pt idx="123">
                  <c:v>79</c:v>
                </c:pt>
                <c:pt idx="124">
                  <c:v>81</c:v>
                </c:pt>
                <c:pt idx="125">
                  <c:v>78</c:v>
                </c:pt>
                <c:pt idx="126">
                  <c:v>73</c:v>
                </c:pt>
                <c:pt idx="127">
                  <c:v>80</c:v>
                </c:pt>
                <c:pt idx="128">
                  <c:v>85</c:v>
                </c:pt>
                <c:pt idx="129">
                  <c:v>82</c:v>
                </c:pt>
                <c:pt idx="130">
                  <c:v>59</c:v>
                </c:pt>
                <c:pt idx="131">
                  <c:v>68</c:v>
                </c:pt>
                <c:pt idx="132">
                  <c:v>82</c:v>
                </c:pt>
                <c:pt idx="133">
                  <c:v>74</c:v>
                </c:pt>
                <c:pt idx="134">
                  <c:v>90</c:v>
                </c:pt>
                <c:pt idx="135">
                  <c:v>84</c:v>
                </c:pt>
                <c:pt idx="136">
                  <c:v>36</c:v>
                </c:pt>
                <c:pt idx="137">
                  <c:v>61</c:v>
                </c:pt>
                <c:pt idx="138">
                  <c:v>68</c:v>
                </c:pt>
                <c:pt idx="139">
                  <c:v>73</c:v>
                </c:pt>
                <c:pt idx="140">
                  <c:v>71</c:v>
                </c:pt>
                <c:pt idx="141">
                  <c:v>55</c:v>
                </c:pt>
                <c:pt idx="142">
                  <c:v>32</c:v>
                </c:pt>
                <c:pt idx="143">
                  <c:v>51</c:v>
                </c:pt>
                <c:pt idx="144">
                  <c:v>30</c:v>
                </c:pt>
                <c:pt idx="145">
                  <c:v>56</c:v>
                </c:pt>
                <c:pt idx="146">
                  <c:v>61</c:v>
                </c:pt>
                <c:pt idx="147">
                  <c:v>61</c:v>
                </c:pt>
                <c:pt idx="148">
                  <c:v>77</c:v>
                </c:pt>
                <c:pt idx="149">
                  <c:v>58</c:v>
                </c:pt>
                <c:pt idx="150">
                  <c:v>73</c:v>
                </c:pt>
                <c:pt idx="151">
                  <c:v>75</c:v>
                </c:pt>
                <c:pt idx="152">
                  <c:v>78</c:v>
                </c:pt>
                <c:pt idx="153">
                  <c:v>72</c:v>
                </c:pt>
                <c:pt idx="154">
                  <c:v>70</c:v>
                </c:pt>
                <c:pt idx="155">
                  <c:v>77</c:v>
                </c:pt>
                <c:pt idx="156">
                  <c:v>52</c:v>
                </c:pt>
                <c:pt idx="157">
                  <c:v>14</c:v>
                </c:pt>
                <c:pt idx="158">
                  <c:v>66</c:v>
                </c:pt>
                <c:pt idx="159">
                  <c:v>72</c:v>
                </c:pt>
                <c:pt idx="160">
                  <c:v>64</c:v>
                </c:pt>
                <c:pt idx="161">
                  <c:v>55</c:v>
                </c:pt>
                <c:pt idx="162">
                  <c:v>66</c:v>
                </c:pt>
                <c:pt idx="163">
                  <c:v>70</c:v>
                </c:pt>
                <c:pt idx="164">
                  <c:v>75</c:v>
                </c:pt>
                <c:pt idx="165">
                  <c:v>75</c:v>
                </c:pt>
                <c:pt idx="166">
                  <c:v>72</c:v>
                </c:pt>
                <c:pt idx="167">
                  <c:v>55</c:v>
                </c:pt>
                <c:pt idx="168">
                  <c:v>48</c:v>
                </c:pt>
                <c:pt idx="169">
                  <c:v>68</c:v>
                </c:pt>
                <c:pt idx="170">
                  <c:v>75</c:v>
                </c:pt>
                <c:pt idx="171">
                  <c:v>53</c:v>
                </c:pt>
                <c:pt idx="172">
                  <c:v>62</c:v>
                </c:pt>
                <c:pt idx="173">
                  <c:v>44</c:v>
                </c:pt>
                <c:pt idx="174">
                  <c:v>20</c:v>
                </c:pt>
                <c:pt idx="175">
                  <c:v>15</c:v>
                </c:pt>
                <c:pt idx="176">
                  <c:v>27</c:v>
                </c:pt>
                <c:pt idx="177">
                  <c:v>23</c:v>
                </c:pt>
                <c:pt idx="178">
                  <c:v>46</c:v>
                </c:pt>
                <c:pt idx="179">
                  <c:v>48</c:v>
                </c:pt>
                <c:pt idx="180">
                  <c:v>60</c:v>
                </c:pt>
                <c:pt idx="181">
                  <c:v>49</c:v>
                </c:pt>
                <c:pt idx="182">
                  <c:v>20</c:v>
                </c:pt>
                <c:pt idx="183">
                  <c:v>16</c:v>
                </c:pt>
                <c:pt idx="184">
                  <c:v>27</c:v>
                </c:pt>
                <c:pt idx="185">
                  <c:v>31</c:v>
                </c:pt>
                <c:pt idx="186">
                  <c:v>32</c:v>
                </c:pt>
                <c:pt idx="187">
                  <c:v>32</c:v>
                </c:pt>
                <c:pt idx="188">
                  <c:v>30</c:v>
                </c:pt>
                <c:pt idx="189">
                  <c:v>19</c:v>
                </c:pt>
                <c:pt idx="190">
                  <c:v>16</c:v>
                </c:pt>
                <c:pt idx="191">
                  <c:v>27</c:v>
                </c:pt>
                <c:pt idx="192">
                  <c:v>25</c:v>
                </c:pt>
                <c:pt idx="193">
                  <c:v>24</c:v>
                </c:pt>
                <c:pt idx="194">
                  <c:v>28</c:v>
                </c:pt>
                <c:pt idx="195">
                  <c:v>28</c:v>
                </c:pt>
                <c:pt idx="196">
                  <c:v>25</c:v>
                </c:pt>
                <c:pt idx="197">
                  <c:v>24</c:v>
                </c:pt>
                <c:pt idx="198">
                  <c:v>20</c:v>
                </c:pt>
                <c:pt idx="199">
                  <c:v>13</c:v>
                </c:pt>
                <c:pt idx="200">
                  <c:v>33</c:v>
                </c:pt>
                <c:pt idx="201">
                  <c:v>39</c:v>
                </c:pt>
                <c:pt idx="202">
                  <c:v>31</c:v>
                </c:pt>
                <c:pt idx="203">
                  <c:v>20</c:v>
                </c:pt>
                <c:pt idx="204">
                  <c:v>20</c:v>
                </c:pt>
                <c:pt idx="205">
                  <c:v>29</c:v>
                </c:pt>
                <c:pt idx="206">
                  <c:v>40</c:v>
                </c:pt>
                <c:pt idx="207">
                  <c:v>10</c:v>
                </c:pt>
                <c:pt idx="208">
                  <c:v>8</c:v>
                </c:pt>
                <c:pt idx="209">
                  <c:v>24</c:v>
                </c:pt>
                <c:pt idx="210">
                  <c:v>22</c:v>
                </c:pt>
                <c:pt idx="211">
                  <c:v>22</c:v>
                </c:pt>
                <c:pt idx="212">
                  <c:v>30</c:v>
                </c:pt>
                <c:pt idx="213">
                  <c:v>27</c:v>
                </c:pt>
                <c:pt idx="214">
                  <c:v>30</c:v>
                </c:pt>
                <c:pt idx="215">
                  <c:v>31</c:v>
                </c:pt>
                <c:pt idx="216">
                  <c:v>34</c:v>
                </c:pt>
                <c:pt idx="217">
                  <c:v>20</c:v>
                </c:pt>
                <c:pt idx="218">
                  <c:v>32</c:v>
                </c:pt>
                <c:pt idx="219">
                  <c:v>34</c:v>
                </c:pt>
                <c:pt idx="220">
                  <c:v>30</c:v>
                </c:pt>
                <c:pt idx="221">
                  <c:v>32</c:v>
                </c:pt>
                <c:pt idx="222">
                  <c:v>31</c:v>
                </c:pt>
                <c:pt idx="223">
                  <c:v>35</c:v>
                </c:pt>
                <c:pt idx="224">
                  <c:v>30</c:v>
                </c:pt>
                <c:pt idx="225">
                  <c:v>32</c:v>
                </c:pt>
                <c:pt idx="226">
                  <c:v>38</c:v>
                </c:pt>
                <c:pt idx="227">
                  <c:v>37</c:v>
                </c:pt>
                <c:pt idx="228">
                  <c:v>42</c:v>
                </c:pt>
                <c:pt idx="229">
                  <c:v>49</c:v>
                </c:pt>
                <c:pt idx="230">
                  <c:v>59</c:v>
                </c:pt>
                <c:pt idx="231">
                  <c:v>33</c:v>
                </c:pt>
                <c:pt idx="232">
                  <c:v>36</c:v>
                </c:pt>
                <c:pt idx="233">
                  <c:v>22</c:v>
                </c:pt>
                <c:pt idx="234">
                  <c:v>29</c:v>
                </c:pt>
                <c:pt idx="235">
                  <c:v>39</c:v>
                </c:pt>
                <c:pt idx="236">
                  <c:v>36</c:v>
                </c:pt>
                <c:pt idx="237">
                  <c:v>29</c:v>
                </c:pt>
                <c:pt idx="238">
                  <c:v>39</c:v>
                </c:pt>
                <c:pt idx="239">
                  <c:v>48</c:v>
                </c:pt>
                <c:pt idx="240">
                  <c:v>29</c:v>
                </c:pt>
                <c:pt idx="241">
                  <c:v>37</c:v>
                </c:pt>
                <c:pt idx="242">
                  <c:v>43</c:v>
                </c:pt>
                <c:pt idx="243">
                  <c:v>33</c:v>
                </c:pt>
                <c:pt idx="244">
                  <c:v>39</c:v>
                </c:pt>
                <c:pt idx="245">
                  <c:v>42</c:v>
                </c:pt>
                <c:pt idx="246">
                  <c:v>12</c:v>
                </c:pt>
                <c:pt idx="247">
                  <c:v>38</c:v>
                </c:pt>
                <c:pt idx="248">
                  <c:v>42</c:v>
                </c:pt>
                <c:pt idx="249">
                  <c:v>38</c:v>
                </c:pt>
                <c:pt idx="250">
                  <c:v>13</c:v>
                </c:pt>
                <c:pt idx="251">
                  <c:v>40</c:v>
                </c:pt>
                <c:pt idx="252">
                  <c:v>42</c:v>
                </c:pt>
                <c:pt idx="253">
                  <c:v>49</c:v>
                </c:pt>
                <c:pt idx="254">
                  <c:v>41</c:v>
                </c:pt>
                <c:pt idx="255">
                  <c:v>41</c:v>
                </c:pt>
                <c:pt idx="256">
                  <c:v>43</c:v>
                </c:pt>
                <c:pt idx="257">
                  <c:v>54</c:v>
                </c:pt>
                <c:pt idx="258">
                  <c:v>65</c:v>
                </c:pt>
                <c:pt idx="259">
                  <c:v>62</c:v>
                </c:pt>
                <c:pt idx="260">
                  <c:v>49</c:v>
                </c:pt>
                <c:pt idx="261">
                  <c:v>42</c:v>
                </c:pt>
                <c:pt idx="262">
                  <c:v>54</c:v>
                </c:pt>
                <c:pt idx="263">
                  <c:v>42</c:v>
                </c:pt>
                <c:pt idx="264">
                  <c:v>37</c:v>
                </c:pt>
                <c:pt idx="265">
                  <c:v>44</c:v>
                </c:pt>
                <c:pt idx="266">
                  <c:v>50</c:v>
                </c:pt>
                <c:pt idx="267">
                  <c:v>33</c:v>
                </c:pt>
                <c:pt idx="268">
                  <c:v>40</c:v>
                </c:pt>
                <c:pt idx="269">
                  <c:v>48</c:v>
                </c:pt>
                <c:pt idx="270">
                  <c:v>30</c:v>
                </c:pt>
                <c:pt idx="271">
                  <c:v>34</c:v>
                </c:pt>
                <c:pt idx="272">
                  <c:v>44</c:v>
                </c:pt>
                <c:pt idx="273">
                  <c:v>45</c:v>
                </c:pt>
                <c:pt idx="274">
                  <c:v>65</c:v>
                </c:pt>
                <c:pt idx="275">
                  <c:v>63</c:v>
                </c:pt>
                <c:pt idx="276">
                  <c:v>36</c:v>
                </c:pt>
                <c:pt idx="277">
                  <c:v>56</c:v>
                </c:pt>
                <c:pt idx="278">
                  <c:v>62</c:v>
                </c:pt>
                <c:pt idx="279">
                  <c:v>29</c:v>
                </c:pt>
                <c:pt idx="280">
                  <c:v>50</c:v>
                </c:pt>
                <c:pt idx="281">
                  <c:v>58</c:v>
                </c:pt>
                <c:pt idx="282">
                  <c:v>67</c:v>
                </c:pt>
                <c:pt idx="283">
                  <c:v>41</c:v>
                </c:pt>
                <c:pt idx="284">
                  <c:v>43</c:v>
                </c:pt>
                <c:pt idx="285">
                  <c:v>66</c:v>
                </c:pt>
                <c:pt idx="286">
                  <c:v>63</c:v>
                </c:pt>
                <c:pt idx="287">
                  <c:v>15</c:v>
                </c:pt>
                <c:pt idx="288">
                  <c:v>75</c:v>
                </c:pt>
                <c:pt idx="289">
                  <c:v>68</c:v>
                </c:pt>
                <c:pt idx="290">
                  <c:v>64</c:v>
                </c:pt>
                <c:pt idx="291">
                  <c:v>79</c:v>
                </c:pt>
                <c:pt idx="292">
                  <c:v>84</c:v>
                </c:pt>
                <c:pt idx="293">
                  <c:v>34</c:v>
                </c:pt>
                <c:pt idx="294">
                  <c:v>80</c:v>
                </c:pt>
                <c:pt idx="295">
                  <c:v>84</c:v>
                </c:pt>
                <c:pt idx="296">
                  <c:v>81</c:v>
                </c:pt>
                <c:pt idx="297">
                  <c:v>88</c:v>
                </c:pt>
                <c:pt idx="298">
                  <c:v>78</c:v>
                </c:pt>
                <c:pt idx="299">
                  <c:v>81</c:v>
                </c:pt>
                <c:pt idx="300">
                  <c:v>92</c:v>
                </c:pt>
                <c:pt idx="301">
                  <c:v>106</c:v>
                </c:pt>
                <c:pt idx="302">
                  <c:v>67</c:v>
                </c:pt>
                <c:pt idx="303">
                  <c:v>88</c:v>
                </c:pt>
                <c:pt idx="304">
                  <c:v>89</c:v>
                </c:pt>
                <c:pt idx="305">
                  <c:v>53</c:v>
                </c:pt>
                <c:pt idx="306">
                  <c:v>88</c:v>
                </c:pt>
                <c:pt idx="307">
                  <c:v>92</c:v>
                </c:pt>
                <c:pt idx="308">
                  <c:v>94</c:v>
                </c:pt>
                <c:pt idx="309">
                  <c:v>87</c:v>
                </c:pt>
                <c:pt idx="310">
                  <c:v>87</c:v>
                </c:pt>
                <c:pt idx="311">
                  <c:v>96</c:v>
                </c:pt>
                <c:pt idx="312">
                  <c:v>84</c:v>
                </c:pt>
                <c:pt idx="313">
                  <c:v>97</c:v>
                </c:pt>
                <c:pt idx="314">
                  <c:v>82</c:v>
                </c:pt>
                <c:pt idx="315">
                  <c:v>68</c:v>
                </c:pt>
                <c:pt idx="316">
                  <c:v>91</c:v>
                </c:pt>
                <c:pt idx="317">
                  <c:v>79</c:v>
                </c:pt>
                <c:pt idx="318">
                  <c:v>83</c:v>
                </c:pt>
                <c:pt idx="319">
                  <c:v>77</c:v>
                </c:pt>
                <c:pt idx="320">
                  <c:v>92</c:v>
                </c:pt>
                <c:pt idx="321">
                  <c:v>98</c:v>
                </c:pt>
                <c:pt idx="322">
                  <c:v>116</c:v>
                </c:pt>
                <c:pt idx="323">
                  <c:v>94</c:v>
                </c:pt>
                <c:pt idx="324">
                  <c:v>86</c:v>
                </c:pt>
                <c:pt idx="325">
                  <c:v>90</c:v>
                </c:pt>
                <c:pt idx="326">
                  <c:v>100</c:v>
                </c:pt>
                <c:pt idx="327">
                  <c:v>93</c:v>
                </c:pt>
                <c:pt idx="328">
                  <c:v>93</c:v>
                </c:pt>
                <c:pt idx="329">
                  <c:v>95</c:v>
                </c:pt>
                <c:pt idx="330">
                  <c:v>96</c:v>
                </c:pt>
                <c:pt idx="331">
                  <c:v>82</c:v>
                </c:pt>
                <c:pt idx="332">
                  <c:v>79</c:v>
                </c:pt>
                <c:pt idx="333">
                  <c:v>79</c:v>
                </c:pt>
                <c:pt idx="334">
                  <c:v>100</c:v>
                </c:pt>
                <c:pt idx="335">
                  <c:v>106</c:v>
                </c:pt>
                <c:pt idx="336">
                  <c:v>106</c:v>
                </c:pt>
                <c:pt idx="337">
                  <c:v>98</c:v>
                </c:pt>
                <c:pt idx="338">
                  <c:v>91</c:v>
                </c:pt>
                <c:pt idx="339">
                  <c:v>96</c:v>
                </c:pt>
                <c:pt idx="340">
                  <c:v>89</c:v>
                </c:pt>
                <c:pt idx="341">
                  <c:v>78</c:v>
                </c:pt>
                <c:pt idx="342">
                  <c:v>91</c:v>
                </c:pt>
                <c:pt idx="343">
                  <c:v>100</c:v>
                </c:pt>
                <c:pt idx="344">
                  <c:v>89</c:v>
                </c:pt>
                <c:pt idx="345">
                  <c:v>100</c:v>
                </c:pt>
                <c:pt idx="346">
                  <c:v>98</c:v>
                </c:pt>
                <c:pt idx="347">
                  <c:v>103</c:v>
                </c:pt>
                <c:pt idx="348">
                  <c:v>75</c:v>
                </c:pt>
                <c:pt idx="349">
                  <c:v>97</c:v>
                </c:pt>
                <c:pt idx="350">
                  <c:v>102</c:v>
                </c:pt>
                <c:pt idx="351">
                  <c:v>95</c:v>
                </c:pt>
                <c:pt idx="352">
                  <c:v>80</c:v>
                </c:pt>
                <c:pt idx="353">
                  <c:v>96</c:v>
                </c:pt>
                <c:pt idx="354">
                  <c:v>90</c:v>
                </c:pt>
                <c:pt idx="355">
                  <c:v>96</c:v>
                </c:pt>
                <c:pt idx="356">
                  <c:v>99</c:v>
                </c:pt>
                <c:pt idx="357">
                  <c:v>104</c:v>
                </c:pt>
                <c:pt idx="358">
                  <c:v>106</c:v>
                </c:pt>
                <c:pt idx="359">
                  <c:v>94</c:v>
                </c:pt>
                <c:pt idx="360">
                  <c:v>93</c:v>
                </c:pt>
                <c:pt idx="361">
                  <c:v>105</c:v>
                </c:pt>
                <c:pt idx="362">
                  <c:v>111</c:v>
                </c:pt>
                <c:pt idx="363">
                  <c:v>107</c:v>
                </c:pt>
                <c:pt idx="364">
                  <c:v>102</c:v>
                </c:pt>
              </c:numCache>
            </c:numRef>
          </c:yVal>
          <c:smooth val="0"/>
          <c:extLst>
            <c:ext xmlns:c16="http://schemas.microsoft.com/office/drawing/2014/chart" uri="{C3380CC4-5D6E-409C-BE32-E72D297353CC}">
              <c16:uniqueId val="{00000000-251B-4367-B323-3A6A75732C0F}"/>
            </c:ext>
          </c:extLst>
        </c:ser>
        <c:dLbls>
          <c:showLegendKey val="0"/>
          <c:showVal val="0"/>
          <c:showCatName val="0"/>
          <c:showSerName val="0"/>
          <c:showPercent val="0"/>
          <c:showBubbleSize val="0"/>
        </c:dLbls>
        <c:axId val="1113916479"/>
        <c:axId val="1113892959"/>
      </c:scatterChart>
      <c:valAx>
        <c:axId val="11139164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BikeHired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892959"/>
        <c:crosses val="autoZero"/>
        <c:crossBetween val="midCat"/>
      </c:valAx>
      <c:valAx>
        <c:axId val="111389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Humidity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9164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BikeHired &amp; Windspeed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Correlation!$BT$1</c:f>
              <c:strCache>
                <c:ptCount val="1"/>
                <c:pt idx="0">
                  <c:v>BikeHired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50334864650594391"/>
                  <c:y val="-0.2223436896962585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Correlation!$BS$2:$BS$366</c:f>
              <c:numCache>
                <c:formatCode>0</c:formatCode>
                <c:ptCount val="365"/>
                <c:pt idx="0">
                  <c:v>10.749881999999999</c:v>
                </c:pt>
                <c:pt idx="1">
                  <c:v>16.652113</c:v>
                </c:pt>
                <c:pt idx="2">
                  <c:v>16.636703000000001</c:v>
                </c:pt>
                <c:pt idx="3">
                  <c:v>10.739832</c:v>
                </c:pt>
                <c:pt idx="4">
                  <c:v>12.522300000000001</c:v>
                </c:pt>
                <c:pt idx="5">
                  <c:v>6.0008683999999999</c:v>
                </c:pt>
                <c:pt idx="6">
                  <c:v>11.304641999999999</c:v>
                </c:pt>
                <c:pt idx="7">
                  <c:v>17.875868000000001</c:v>
                </c:pt>
                <c:pt idx="8">
                  <c:v>24.25065</c:v>
                </c:pt>
                <c:pt idx="9">
                  <c:v>14.958888999999999</c:v>
                </c:pt>
                <c:pt idx="10">
                  <c:v>8.1828440000000011</c:v>
                </c:pt>
                <c:pt idx="11">
                  <c:v>20.410008999999999</c:v>
                </c:pt>
                <c:pt idx="12">
                  <c:v>20.166999999999998</c:v>
                </c:pt>
                <c:pt idx="13">
                  <c:v>8.4787160000000004</c:v>
                </c:pt>
                <c:pt idx="14">
                  <c:v>10.583520999999999</c:v>
                </c:pt>
                <c:pt idx="15">
                  <c:v>12.625010999999999</c:v>
                </c:pt>
                <c:pt idx="16">
                  <c:v>12.999139</c:v>
                </c:pt>
                <c:pt idx="17">
                  <c:v>9.8339249999999989</c:v>
                </c:pt>
                <c:pt idx="18">
                  <c:v>13.957239</c:v>
                </c:pt>
                <c:pt idx="19">
                  <c:v>13.125567999999999</c:v>
                </c:pt>
                <c:pt idx="20">
                  <c:v>23.667214000000001</c:v>
                </c:pt>
                <c:pt idx="21">
                  <c:v>11.521990000000001</c:v>
                </c:pt>
                <c:pt idx="22">
                  <c:v>16.522200000000002</c:v>
                </c:pt>
                <c:pt idx="23">
                  <c:v>10.60811</c:v>
                </c:pt>
                <c:pt idx="24">
                  <c:v>8.696332</c:v>
                </c:pt>
                <c:pt idx="25">
                  <c:v>19.687950000000001</c:v>
                </c:pt>
                <c:pt idx="26">
                  <c:v>7.6270789999999993</c:v>
                </c:pt>
                <c:pt idx="27">
                  <c:v>8.2611000000000008</c:v>
                </c:pt>
                <c:pt idx="28">
                  <c:v>9.7394549999999995</c:v>
                </c:pt>
                <c:pt idx="29">
                  <c:v>4.9568341999999994</c:v>
                </c:pt>
                <c:pt idx="30">
                  <c:v>12.541864</c:v>
                </c:pt>
                <c:pt idx="31">
                  <c:v>3.5652710000000001</c:v>
                </c:pt>
                <c:pt idx="32">
                  <c:v>17.708635999999998</c:v>
                </c:pt>
                <c:pt idx="33">
                  <c:v>18.609383999999999</c:v>
                </c:pt>
                <c:pt idx="34">
                  <c:v>8.565213</c:v>
                </c:pt>
                <c:pt idx="35">
                  <c:v>10.792293000000001</c:v>
                </c:pt>
                <c:pt idx="36">
                  <c:v>9.5006000000000004</c:v>
                </c:pt>
                <c:pt idx="37">
                  <c:v>3.0423561000000001</c:v>
                </c:pt>
                <c:pt idx="38">
                  <c:v>24.25065</c:v>
                </c:pt>
                <c:pt idx="39">
                  <c:v>12.652213</c:v>
                </c:pt>
                <c:pt idx="40">
                  <c:v>14.869645</c:v>
                </c:pt>
                <c:pt idx="41">
                  <c:v>7.2728499999999991</c:v>
                </c:pt>
                <c:pt idx="42">
                  <c:v>13.625589</c:v>
                </c:pt>
                <c:pt idx="43">
                  <c:v>17.479160999999998</c:v>
                </c:pt>
                <c:pt idx="44">
                  <c:v>27.999835999999998</c:v>
                </c:pt>
                <c:pt idx="45">
                  <c:v>19.522058000000001</c:v>
                </c:pt>
                <c:pt idx="46">
                  <c:v>16.869996999999998</c:v>
                </c:pt>
                <c:pt idx="47">
                  <c:v>15.416968000000001</c:v>
                </c:pt>
                <c:pt idx="48">
                  <c:v>17.749975000000003</c:v>
                </c:pt>
                <c:pt idx="49">
                  <c:v>34.000020999999997</c:v>
                </c:pt>
                <c:pt idx="50">
                  <c:v>14.956745</c:v>
                </c:pt>
                <c:pt idx="51">
                  <c:v>20.625682000000001</c:v>
                </c:pt>
                <c:pt idx="52">
                  <c:v>13.110761</c:v>
                </c:pt>
                <c:pt idx="53">
                  <c:v>6.3055710000000005</c:v>
                </c:pt>
                <c:pt idx="54">
                  <c:v>16.783231999999998</c:v>
                </c:pt>
                <c:pt idx="55">
                  <c:v>23.218112999999999</c:v>
                </c:pt>
                <c:pt idx="56">
                  <c:v>12.500257</c:v>
                </c:pt>
                <c:pt idx="57">
                  <c:v>8.3916159999999991</c:v>
                </c:pt>
                <c:pt idx="58">
                  <c:v>19.408961999999999</c:v>
                </c:pt>
                <c:pt idx="59">
                  <c:v>14.500475</c:v>
                </c:pt>
                <c:pt idx="60">
                  <c:v>20.624811000000001</c:v>
                </c:pt>
                <c:pt idx="61">
                  <c:v>15.125518000000001</c:v>
                </c:pt>
                <c:pt idx="62">
                  <c:v>13.624181999999999</c:v>
                </c:pt>
                <c:pt idx="63">
                  <c:v>16.875357000000001</c:v>
                </c:pt>
                <c:pt idx="64">
                  <c:v>23.000229000000001</c:v>
                </c:pt>
                <c:pt idx="65">
                  <c:v>22.870584000000001</c:v>
                </c:pt>
                <c:pt idx="66">
                  <c:v>8.0835499999999989</c:v>
                </c:pt>
                <c:pt idx="67">
                  <c:v>14.750050000000002</c:v>
                </c:pt>
                <c:pt idx="68">
                  <c:v>17.545759</c:v>
                </c:pt>
                <c:pt idx="69">
                  <c:v>15.60899</c:v>
                </c:pt>
                <c:pt idx="70">
                  <c:v>14.791924999999999</c:v>
                </c:pt>
                <c:pt idx="71">
                  <c:v>18.130468</c:v>
                </c:pt>
                <c:pt idx="72">
                  <c:v>9.174042</c:v>
                </c:pt>
                <c:pt idx="73">
                  <c:v>12.348703</c:v>
                </c:pt>
                <c:pt idx="74">
                  <c:v>13.608839</c:v>
                </c:pt>
                <c:pt idx="75">
                  <c:v>14.041792999999998</c:v>
                </c:pt>
                <c:pt idx="76">
                  <c:v>15.478139000000001</c:v>
                </c:pt>
                <c:pt idx="77">
                  <c:v>24.667189</c:v>
                </c:pt>
                <c:pt idx="78">
                  <c:v>13.917306999999999</c:v>
                </c:pt>
                <c:pt idx="79">
                  <c:v>19.348461</c:v>
                </c:pt>
                <c:pt idx="80">
                  <c:v>15.125250000000001</c:v>
                </c:pt>
                <c:pt idx="81">
                  <c:v>15.695487</c:v>
                </c:pt>
                <c:pt idx="82">
                  <c:v>16.333729000000002</c:v>
                </c:pt>
                <c:pt idx="83">
                  <c:v>15.458575000000002</c:v>
                </c:pt>
                <c:pt idx="84">
                  <c:v>14.041257</c:v>
                </c:pt>
                <c:pt idx="85">
                  <c:v>12.348099999999999</c:v>
                </c:pt>
                <c:pt idx="86">
                  <c:v>14.217668</c:v>
                </c:pt>
                <c:pt idx="87">
                  <c:v>15.208731999999999</c:v>
                </c:pt>
                <c:pt idx="88">
                  <c:v>11.583495999999998</c:v>
                </c:pt>
                <c:pt idx="89">
                  <c:v>14.582282000000001</c:v>
                </c:pt>
                <c:pt idx="90">
                  <c:v>17.333435999999999</c:v>
                </c:pt>
                <c:pt idx="91">
                  <c:v>13.208781999999999</c:v>
                </c:pt>
                <c:pt idx="92">
                  <c:v>12.208271000000002</c:v>
                </c:pt>
                <c:pt idx="93">
                  <c:v>25.833257</c:v>
                </c:pt>
                <c:pt idx="94">
                  <c:v>26.000488999999998</c:v>
                </c:pt>
                <c:pt idx="95">
                  <c:v>17.625221</c:v>
                </c:pt>
                <c:pt idx="96">
                  <c:v>10.874904000000001</c:v>
                </c:pt>
                <c:pt idx="97">
                  <c:v>15.208463999999999</c:v>
                </c:pt>
                <c:pt idx="98">
                  <c:v>8.9165609999999997</c:v>
                </c:pt>
                <c:pt idx="99">
                  <c:v>9.8333890000000004</c:v>
                </c:pt>
                <c:pt idx="100">
                  <c:v>21.739757999999998</c:v>
                </c:pt>
                <c:pt idx="101">
                  <c:v>18.416892999999998</c:v>
                </c:pt>
                <c:pt idx="102">
                  <c:v>16.791338999999997</c:v>
                </c:pt>
                <c:pt idx="103">
                  <c:v>7.4169</c:v>
                </c:pt>
                <c:pt idx="104">
                  <c:v>15.167124999999999</c:v>
                </c:pt>
                <c:pt idx="105">
                  <c:v>22.834136000000001</c:v>
                </c:pt>
                <c:pt idx="106">
                  <c:v>20.334232</c:v>
                </c:pt>
                <c:pt idx="107">
                  <c:v>10.958988999999999</c:v>
                </c:pt>
                <c:pt idx="108">
                  <c:v>10.584057</c:v>
                </c:pt>
                <c:pt idx="109">
                  <c:v>16.208974999999999</c:v>
                </c:pt>
                <c:pt idx="110">
                  <c:v>21.792286000000001</c:v>
                </c:pt>
                <c:pt idx="111">
                  <c:v>14.707906999999999</c:v>
                </c:pt>
                <c:pt idx="112">
                  <c:v>15.458575000000002</c:v>
                </c:pt>
                <c:pt idx="113">
                  <c:v>12.875725000000001</c:v>
                </c:pt>
                <c:pt idx="114">
                  <c:v>12.417311</c:v>
                </c:pt>
                <c:pt idx="115">
                  <c:v>21.875500000000002</c:v>
                </c:pt>
                <c:pt idx="116">
                  <c:v>20.917399999999997</c:v>
                </c:pt>
                <c:pt idx="117">
                  <c:v>21.500836000000003</c:v>
                </c:pt>
                <c:pt idx="118">
                  <c:v>16.084220999999999</c:v>
                </c:pt>
                <c:pt idx="119">
                  <c:v>15.750025000000001</c:v>
                </c:pt>
                <c:pt idx="120">
                  <c:v>7.125718</c:v>
                </c:pt>
                <c:pt idx="121">
                  <c:v>12.291418</c:v>
                </c:pt>
                <c:pt idx="122">
                  <c:v>22.958689</c:v>
                </c:pt>
                <c:pt idx="123">
                  <c:v>22.042732000000001</c:v>
                </c:pt>
                <c:pt idx="124">
                  <c:v>19.791263999999998</c:v>
                </c:pt>
                <c:pt idx="125">
                  <c:v>15.292482</c:v>
                </c:pt>
                <c:pt idx="126">
                  <c:v>10.750150000000001</c:v>
                </c:pt>
                <c:pt idx="127">
                  <c:v>5.0007124999999997</c:v>
                </c:pt>
                <c:pt idx="128">
                  <c:v>11.792</c:v>
                </c:pt>
                <c:pt idx="129">
                  <c:v>7.7499569999999993</c:v>
                </c:pt>
                <c:pt idx="130">
                  <c:v>8.0830140000000004</c:v>
                </c:pt>
                <c:pt idx="131">
                  <c:v>12.707689</c:v>
                </c:pt>
                <c:pt idx="132">
                  <c:v>12.041575</c:v>
                </c:pt>
                <c:pt idx="133">
                  <c:v>9.0416499999999989</c:v>
                </c:pt>
                <c:pt idx="134">
                  <c:v>10.249593000000001</c:v>
                </c:pt>
                <c:pt idx="135">
                  <c:v>8.5003570000000011</c:v>
                </c:pt>
                <c:pt idx="136">
                  <c:v>18.582718</c:v>
                </c:pt>
                <c:pt idx="137">
                  <c:v>13.499964</c:v>
                </c:pt>
                <c:pt idx="138">
                  <c:v>7.2502710000000006</c:v>
                </c:pt>
                <c:pt idx="139">
                  <c:v>8.3758710000000001</c:v>
                </c:pt>
                <c:pt idx="140">
                  <c:v>8.0835499999999989</c:v>
                </c:pt>
                <c:pt idx="141">
                  <c:v>9.9165360000000007</c:v>
                </c:pt>
                <c:pt idx="142">
                  <c:v>15.667413999999999</c:v>
                </c:pt>
                <c:pt idx="143">
                  <c:v>13.875164</c:v>
                </c:pt>
                <c:pt idx="144">
                  <c:v>10.333611000000001</c:v>
                </c:pt>
                <c:pt idx="145">
                  <c:v>13.376014</c:v>
                </c:pt>
                <c:pt idx="146">
                  <c:v>16.125492999999999</c:v>
                </c:pt>
                <c:pt idx="147">
                  <c:v>15.416164</c:v>
                </c:pt>
                <c:pt idx="148">
                  <c:v>14.333845999999999</c:v>
                </c:pt>
                <c:pt idx="149">
                  <c:v>8.7920750000000005</c:v>
                </c:pt>
                <c:pt idx="150">
                  <c:v>7.4590429999999994</c:v>
                </c:pt>
                <c:pt idx="151">
                  <c:v>13.875164</c:v>
                </c:pt>
                <c:pt idx="152">
                  <c:v>19.583229000000003</c:v>
                </c:pt>
                <c:pt idx="153">
                  <c:v>16.959106999999999</c:v>
                </c:pt>
                <c:pt idx="154">
                  <c:v>8.2505140000000008</c:v>
                </c:pt>
                <c:pt idx="155">
                  <c:v>9.292364000000001</c:v>
                </c:pt>
                <c:pt idx="156">
                  <c:v>8.1670320000000007</c:v>
                </c:pt>
                <c:pt idx="157">
                  <c:v>12.583136</c:v>
                </c:pt>
                <c:pt idx="158">
                  <c:v>9.1667389999999997</c:v>
                </c:pt>
                <c:pt idx="159">
                  <c:v>10.042161</c:v>
                </c:pt>
                <c:pt idx="160">
                  <c:v>9.4171180000000003</c:v>
                </c:pt>
                <c:pt idx="161">
                  <c:v>10.374949999999998</c:v>
                </c:pt>
                <c:pt idx="162">
                  <c:v>10.958988999999999</c:v>
                </c:pt>
                <c:pt idx="163">
                  <c:v>20.458449999999999</c:v>
                </c:pt>
                <c:pt idx="164">
                  <c:v>18.041961000000001</c:v>
                </c:pt>
                <c:pt idx="165">
                  <c:v>11.250104</c:v>
                </c:pt>
                <c:pt idx="166">
                  <c:v>13.833556999999999</c:v>
                </c:pt>
                <c:pt idx="167">
                  <c:v>9.5829429999999984</c:v>
                </c:pt>
                <c:pt idx="168">
                  <c:v>8.0003360000000008</c:v>
                </c:pt>
                <c:pt idx="169">
                  <c:v>6.8339999999999996</c:v>
                </c:pt>
                <c:pt idx="170">
                  <c:v>10.416824999999999</c:v>
                </c:pt>
                <c:pt idx="171">
                  <c:v>11.458675000000001</c:v>
                </c:pt>
                <c:pt idx="172">
                  <c:v>11.541554</c:v>
                </c:pt>
                <c:pt idx="173">
                  <c:v>15.999867999999999</c:v>
                </c:pt>
                <c:pt idx="174">
                  <c:v>14.875674999999999</c:v>
                </c:pt>
                <c:pt idx="175">
                  <c:v>14.041257</c:v>
                </c:pt>
                <c:pt idx="176">
                  <c:v>6.3337310999999996</c:v>
                </c:pt>
                <c:pt idx="177">
                  <c:v>7.2083960000000005</c:v>
                </c:pt>
                <c:pt idx="178">
                  <c:v>9.6669609999999988</c:v>
                </c:pt>
                <c:pt idx="179">
                  <c:v>17.542007000000002</c:v>
                </c:pt>
                <c:pt idx="180">
                  <c:v>12.415904000000001</c:v>
                </c:pt>
                <c:pt idx="181">
                  <c:v>6.8747360000000004</c:v>
                </c:pt>
                <c:pt idx="182">
                  <c:v>7.7091539999999998</c:v>
                </c:pt>
                <c:pt idx="183">
                  <c:v>15.333486000000001</c:v>
                </c:pt>
                <c:pt idx="184">
                  <c:v>5.4591064000000005</c:v>
                </c:pt>
                <c:pt idx="185">
                  <c:v>8.4592860000000005</c:v>
                </c:pt>
                <c:pt idx="186">
                  <c:v>10.042161</c:v>
                </c:pt>
                <c:pt idx="187">
                  <c:v>10.666400000000001</c:v>
                </c:pt>
                <c:pt idx="188">
                  <c:v>15.083643</c:v>
                </c:pt>
                <c:pt idx="189">
                  <c:v>11.250104</c:v>
                </c:pt>
                <c:pt idx="190">
                  <c:v>12.292557</c:v>
                </c:pt>
                <c:pt idx="191">
                  <c:v>18.916578999999999</c:v>
                </c:pt>
                <c:pt idx="192">
                  <c:v>13.417017999999999</c:v>
                </c:pt>
                <c:pt idx="193">
                  <c:v>9.7909110000000013</c:v>
                </c:pt>
                <c:pt idx="194">
                  <c:v>16.124689</c:v>
                </c:pt>
                <c:pt idx="195">
                  <c:v>12.249810999999999</c:v>
                </c:pt>
                <c:pt idx="196">
                  <c:v>13.958914</c:v>
                </c:pt>
                <c:pt idx="197">
                  <c:v>16.417211000000002</c:v>
                </c:pt>
                <c:pt idx="198">
                  <c:v>14.458867999999999</c:v>
                </c:pt>
                <c:pt idx="199">
                  <c:v>8.7501999999999995</c:v>
                </c:pt>
                <c:pt idx="200">
                  <c:v>7.6257390000000003</c:v>
                </c:pt>
                <c:pt idx="201">
                  <c:v>14.875406999999999</c:v>
                </c:pt>
                <c:pt idx="202">
                  <c:v>8.9177</c:v>
                </c:pt>
                <c:pt idx="203">
                  <c:v>8.7918070000000004</c:v>
                </c:pt>
                <c:pt idx="204">
                  <c:v>11.334456999999999</c:v>
                </c:pt>
                <c:pt idx="205">
                  <c:v>6.0841560999999995</c:v>
                </c:pt>
                <c:pt idx="206">
                  <c:v>13.417285999999999</c:v>
                </c:pt>
                <c:pt idx="207">
                  <c:v>12.292020999999998</c:v>
                </c:pt>
                <c:pt idx="208">
                  <c:v>11.958093</c:v>
                </c:pt>
                <c:pt idx="209">
                  <c:v>11.667245999999999</c:v>
                </c:pt>
                <c:pt idx="210">
                  <c:v>11.291979</c:v>
                </c:pt>
                <c:pt idx="211">
                  <c:v>11.042470999999999</c:v>
                </c:pt>
                <c:pt idx="212">
                  <c:v>10.500038999999999</c:v>
                </c:pt>
                <c:pt idx="213">
                  <c:v>13.79195</c:v>
                </c:pt>
                <c:pt idx="214">
                  <c:v>9.0840610000000002</c:v>
                </c:pt>
                <c:pt idx="215">
                  <c:v>13.20905</c:v>
                </c:pt>
                <c:pt idx="216">
                  <c:v>12.374632</c:v>
                </c:pt>
                <c:pt idx="217">
                  <c:v>15.29275</c:v>
                </c:pt>
                <c:pt idx="218">
                  <c:v>13.499629000000001</c:v>
                </c:pt>
                <c:pt idx="219">
                  <c:v>12.875725000000001</c:v>
                </c:pt>
                <c:pt idx="220">
                  <c:v>10.125107</c:v>
                </c:pt>
                <c:pt idx="221">
                  <c:v>13.417285999999999</c:v>
                </c:pt>
                <c:pt idx="222">
                  <c:v>11.041332000000001</c:v>
                </c:pt>
                <c:pt idx="223">
                  <c:v>8.4166070000000008</c:v>
                </c:pt>
                <c:pt idx="224">
                  <c:v>14.167418</c:v>
                </c:pt>
                <c:pt idx="225">
                  <c:v>14.916411</c:v>
                </c:pt>
                <c:pt idx="226">
                  <c:v>13.999917999999999</c:v>
                </c:pt>
                <c:pt idx="227">
                  <c:v>15.834043000000001</c:v>
                </c:pt>
                <c:pt idx="228">
                  <c:v>9.6256889999999995</c:v>
                </c:pt>
                <c:pt idx="229">
                  <c:v>15.624936</c:v>
                </c:pt>
                <c:pt idx="230">
                  <c:v>9.3336359999999985</c:v>
                </c:pt>
                <c:pt idx="231">
                  <c:v>6.9992890000000001</c:v>
                </c:pt>
                <c:pt idx="232">
                  <c:v>16.666518</c:v>
                </c:pt>
                <c:pt idx="233">
                  <c:v>18.542249999999999</c:v>
                </c:pt>
                <c:pt idx="234">
                  <c:v>9.8331210000000002</c:v>
                </c:pt>
                <c:pt idx="235">
                  <c:v>16.958235999999999</c:v>
                </c:pt>
                <c:pt idx="236">
                  <c:v>14.125810999999999</c:v>
                </c:pt>
                <c:pt idx="237">
                  <c:v>5.6254874999999993</c:v>
                </c:pt>
                <c:pt idx="238">
                  <c:v>25.166338999999997</c:v>
                </c:pt>
                <c:pt idx="239">
                  <c:v>20.412153</c:v>
                </c:pt>
                <c:pt idx="240">
                  <c:v>10.708275</c:v>
                </c:pt>
                <c:pt idx="241">
                  <c:v>8.3755360000000003</c:v>
                </c:pt>
                <c:pt idx="242">
                  <c:v>5.5833310999999997</c:v>
                </c:pt>
                <c:pt idx="243">
                  <c:v>9.5003320000000002</c:v>
                </c:pt>
                <c:pt idx="244">
                  <c:v>9.3752429999999993</c:v>
                </c:pt>
                <c:pt idx="245">
                  <c:v>12.416774999999999</c:v>
                </c:pt>
                <c:pt idx="246">
                  <c:v>13.833289000000001</c:v>
                </c:pt>
                <c:pt idx="247">
                  <c:v>14.250632</c:v>
                </c:pt>
                <c:pt idx="248">
                  <c:v>23.044180999999998</c:v>
                </c:pt>
                <c:pt idx="249">
                  <c:v>6.5003936000000007</c:v>
                </c:pt>
                <c:pt idx="250">
                  <c:v>12.914116</c:v>
                </c:pt>
                <c:pt idx="251">
                  <c:v>8.3333930000000009</c:v>
                </c:pt>
                <c:pt idx="252">
                  <c:v>10.291736</c:v>
                </c:pt>
                <c:pt idx="253">
                  <c:v>7.7086180000000004</c:v>
                </c:pt>
                <c:pt idx="254">
                  <c:v>5.9571710000000007</c:v>
                </c:pt>
                <c:pt idx="255">
                  <c:v>9.5008680000000005</c:v>
                </c:pt>
                <c:pt idx="256">
                  <c:v>11.209099999999999</c:v>
                </c:pt>
                <c:pt idx="257">
                  <c:v>18.166782000000001</c:v>
                </c:pt>
                <c:pt idx="258">
                  <c:v>11.000261</c:v>
                </c:pt>
                <c:pt idx="259">
                  <c:v>12.708225000000001</c:v>
                </c:pt>
                <c:pt idx="260">
                  <c:v>11.958361</c:v>
                </c:pt>
                <c:pt idx="261">
                  <c:v>10.166713999999999</c:v>
                </c:pt>
                <c:pt idx="262">
                  <c:v>9.041917999999999</c:v>
                </c:pt>
                <c:pt idx="263">
                  <c:v>6.4590813999999996</c:v>
                </c:pt>
                <c:pt idx="264">
                  <c:v>8.5843749999999996</c:v>
                </c:pt>
                <c:pt idx="265">
                  <c:v>5.2505689000000002</c:v>
                </c:pt>
                <c:pt idx="266">
                  <c:v>5.2516810999999999</c:v>
                </c:pt>
                <c:pt idx="267">
                  <c:v>3.3754064000000001</c:v>
                </c:pt>
                <c:pt idx="268">
                  <c:v>7.4169</c:v>
                </c:pt>
                <c:pt idx="269">
                  <c:v>7.9174569999999997</c:v>
                </c:pt>
                <c:pt idx="270">
                  <c:v>9.9581430000000015</c:v>
                </c:pt>
                <c:pt idx="271">
                  <c:v>11.583161</c:v>
                </c:pt>
                <c:pt idx="272">
                  <c:v>13.833824999999999</c:v>
                </c:pt>
                <c:pt idx="273">
                  <c:v>19.583832000000001</c:v>
                </c:pt>
                <c:pt idx="274">
                  <c:v>14.874870999999999</c:v>
                </c:pt>
                <c:pt idx="275">
                  <c:v>5.5841685999999999</c:v>
                </c:pt>
                <c:pt idx="276">
                  <c:v>13.792218</c:v>
                </c:pt>
                <c:pt idx="277">
                  <c:v>11.87575</c:v>
                </c:pt>
                <c:pt idx="278">
                  <c:v>9.041917999999999</c:v>
                </c:pt>
                <c:pt idx="279">
                  <c:v>1.5002439000000001</c:v>
                </c:pt>
                <c:pt idx="280">
                  <c:v>3.0420813999999998</c:v>
                </c:pt>
                <c:pt idx="281">
                  <c:v>4.2511500000000009</c:v>
                </c:pt>
                <c:pt idx="282">
                  <c:v>2.8343813999999998</c:v>
                </c:pt>
                <c:pt idx="283">
                  <c:v>9.5838140000000003</c:v>
                </c:pt>
                <c:pt idx="284">
                  <c:v>16.626049999999999</c:v>
                </c:pt>
                <c:pt idx="285">
                  <c:v>9.4997290000000003</c:v>
                </c:pt>
                <c:pt idx="286">
                  <c:v>15.000161</c:v>
                </c:pt>
                <c:pt idx="287">
                  <c:v>17.291561000000002</c:v>
                </c:pt>
                <c:pt idx="288">
                  <c:v>18.875039000000001</c:v>
                </c:pt>
                <c:pt idx="289">
                  <c:v>11.750393000000001</c:v>
                </c:pt>
                <c:pt idx="290">
                  <c:v>7.3758290000000004</c:v>
                </c:pt>
                <c:pt idx="291">
                  <c:v>16.303712999999998</c:v>
                </c:pt>
                <c:pt idx="292">
                  <c:v>28.292425000000001</c:v>
                </c:pt>
                <c:pt idx="293">
                  <c:v>14.833532</c:v>
                </c:pt>
                <c:pt idx="294">
                  <c:v>6.2086689000000002</c:v>
                </c:pt>
                <c:pt idx="295">
                  <c:v>6.6673375000000004</c:v>
                </c:pt>
                <c:pt idx="296">
                  <c:v>7.9590639999999997</c:v>
                </c:pt>
                <c:pt idx="297">
                  <c:v>11.166086</c:v>
                </c:pt>
                <c:pt idx="298">
                  <c:v>9.9590139999999998</c:v>
                </c:pt>
                <c:pt idx="299">
                  <c:v>13.250121</c:v>
                </c:pt>
                <c:pt idx="300">
                  <c:v>15.375093</c:v>
                </c:pt>
                <c:pt idx="301">
                  <c:v>23.541857</c:v>
                </c:pt>
                <c:pt idx="302">
                  <c:v>11.833339</c:v>
                </c:pt>
                <c:pt idx="303">
                  <c:v>7.1254499999999998</c:v>
                </c:pt>
                <c:pt idx="304">
                  <c:v>9.0832569999999997</c:v>
                </c:pt>
                <c:pt idx="305">
                  <c:v>5.5001439000000003</c:v>
                </c:pt>
                <c:pt idx="306">
                  <c:v>9.1667389999999997</c:v>
                </c:pt>
                <c:pt idx="307">
                  <c:v>18.209192999999999</c:v>
                </c:pt>
                <c:pt idx="308">
                  <c:v>12.667154</c:v>
                </c:pt>
                <c:pt idx="309">
                  <c:v>6.1676314000000003</c:v>
                </c:pt>
                <c:pt idx="310">
                  <c:v>3.8340749999999999</c:v>
                </c:pt>
                <c:pt idx="311">
                  <c:v>4.6255125000000001</c:v>
                </c:pt>
                <c:pt idx="312">
                  <c:v>4.1671186000000002</c:v>
                </c:pt>
                <c:pt idx="313">
                  <c:v>12.667489000000002</c:v>
                </c:pt>
                <c:pt idx="314">
                  <c:v>21.083224999999999</c:v>
                </c:pt>
                <c:pt idx="315">
                  <c:v>14.208154</c:v>
                </c:pt>
                <c:pt idx="316">
                  <c:v>18.875306999999999</c:v>
                </c:pt>
                <c:pt idx="317">
                  <c:v>20.541931999999999</c:v>
                </c:pt>
                <c:pt idx="318">
                  <c:v>13.375411</c:v>
                </c:pt>
                <c:pt idx="319">
                  <c:v>9.1675430000000002</c:v>
                </c:pt>
                <c:pt idx="320">
                  <c:v>20.459254000000001</c:v>
                </c:pt>
                <c:pt idx="321">
                  <c:v>11.291710999999999</c:v>
                </c:pt>
                <c:pt idx="322">
                  <c:v>15.041232000000001</c:v>
                </c:pt>
                <c:pt idx="323">
                  <c:v>12.45865</c:v>
                </c:pt>
                <c:pt idx="324">
                  <c:v>9.2496179999999999</c:v>
                </c:pt>
                <c:pt idx="325">
                  <c:v>7.9590639999999997</c:v>
                </c:pt>
                <c:pt idx="326">
                  <c:v>22.500274999999998</c:v>
                </c:pt>
                <c:pt idx="327">
                  <c:v>11.209368000000001</c:v>
                </c:pt>
                <c:pt idx="328">
                  <c:v>6.6260186000000001</c:v>
                </c:pt>
                <c:pt idx="329">
                  <c:v>4.5841935999999999</c:v>
                </c:pt>
                <c:pt idx="330">
                  <c:v>13.999917999999999</c:v>
                </c:pt>
                <c:pt idx="331">
                  <c:v>9.5221739999999997</c:v>
                </c:pt>
                <c:pt idx="332">
                  <c:v>17.292164</c:v>
                </c:pt>
                <c:pt idx="333">
                  <c:v>18.167586</c:v>
                </c:pt>
                <c:pt idx="334">
                  <c:v>14.750586</c:v>
                </c:pt>
                <c:pt idx="335">
                  <c:v>6.7505179999999996</c:v>
                </c:pt>
                <c:pt idx="336">
                  <c:v>6.4174810999999998</c:v>
                </c:pt>
                <c:pt idx="337">
                  <c:v>5.6252060999999998</c:v>
                </c:pt>
                <c:pt idx="338">
                  <c:v>4.1679561000000005</c:v>
                </c:pt>
                <c:pt idx="339">
                  <c:v>15.583061000000001</c:v>
                </c:pt>
                <c:pt idx="340">
                  <c:v>17.833725000000001</c:v>
                </c:pt>
                <c:pt idx="341">
                  <c:v>16.083886</c:v>
                </c:pt>
                <c:pt idx="342">
                  <c:v>5.5420189000000004</c:v>
                </c:pt>
                <c:pt idx="343">
                  <c:v>15.625807</c:v>
                </c:pt>
                <c:pt idx="344">
                  <c:v>4.4582938999999993</c:v>
                </c:pt>
                <c:pt idx="345">
                  <c:v>4.2511500000000009</c:v>
                </c:pt>
                <c:pt idx="346">
                  <c:v>9.4168500000000002</c:v>
                </c:pt>
                <c:pt idx="347">
                  <c:v>4.0842061000000003</c:v>
                </c:pt>
                <c:pt idx="348">
                  <c:v>17.958814</c:v>
                </c:pt>
                <c:pt idx="349">
                  <c:v>17.458525000000002</c:v>
                </c:pt>
                <c:pt idx="350">
                  <c:v>16.292189</c:v>
                </c:pt>
                <c:pt idx="351">
                  <c:v>11.375193000000001</c:v>
                </c:pt>
                <c:pt idx="352">
                  <c:v>11.584031999999999</c:v>
                </c:pt>
                <c:pt idx="353">
                  <c:v>4.1252436000000001</c:v>
                </c:pt>
                <c:pt idx="354">
                  <c:v>14.8338</c:v>
                </c:pt>
                <c:pt idx="355">
                  <c:v>3.1674249999999997</c:v>
                </c:pt>
                <c:pt idx="356">
                  <c:v>18.374482</c:v>
                </c:pt>
                <c:pt idx="357">
                  <c:v>12.750368</c:v>
                </c:pt>
                <c:pt idx="358">
                  <c:v>10.391097</c:v>
                </c:pt>
                <c:pt idx="359">
                  <c:v>16.044155</c:v>
                </c:pt>
                <c:pt idx="360">
                  <c:v>12.626150000000001</c:v>
                </c:pt>
                <c:pt idx="361">
                  <c:v>19.695386999999997</c:v>
                </c:pt>
                <c:pt idx="362">
                  <c:v>8.0006040000000009</c:v>
                </c:pt>
                <c:pt idx="363">
                  <c:v>9.0005790000000001</c:v>
                </c:pt>
                <c:pt idx="364">
                  <c:v>14.750318</c:v>
                </c:pt>
              </c:numCache>
            </c:numRef>
          </c:xVal>
          <c:yVal>
            <c:numRef>
              <c:f>Correlation!$BT$2:$BT$366</c:f>
              <c:numCache>
                <c:formatCode>General</c:formatCode>
                <c:ptCount val="365"/>
                <c:pt idx="0">
                  <c:v>93</c:v>
                </c:pt>
                <c:pt idx="1">
                  <c:v>121</c:v>
                </c:pt>
                <c:pt idx="2">
                  <c:v>94</c:v>
                </c:pt>
                <c:pt idx="3">
                  <c:v>93</c:v>
                </c:pt>
                <c:pt idx="4">
                  <c:v>92</c:v>
                </c:pt>
                <c:pt idx="5">
                  <c:v>81</c:v>
                </c:pt>
                <c:pt idx="6">
                  <c:v>107</c:v>
                </c:pt>
                <c:pt idx="7">
                  <c:v>98</c:v>
                </c:pt>
                <c:pt idx="8">
                  <c:v>81</c:v>
                </c:pt>
                <c:pt idx="9">
                  <c:v>85</c:v>
                </c:pt>
                <c:pt idx="10">
                  <c:v>87</c:v>
                </c:pt>
                <c:pt idx="11">
                  <c:v>102</c:v>
                </c:pt>
                <c:pt idx="12">
                  <c:v>110</c:v>
                </c:pt>
                <c:pt idx="13">
                  <c:v>118</c:v>
                </c:pt>
                <c:pt idx="14">
                  <c:v>106</c:v>
                </c:pt>
                <c:pt idx="15">
                  <c:v>89</c:v>
                </c:pt>
                <c:pt idx="16">
                  <c:v>91</c:v>
                </c:pt>
                <c:pt idx="17">
                  <c:v>87</c:v>
                </c:pt>
                <c:pt idx="18">
                  <c:v>76</c:v>
                </c:pt>
                <c:pt idx="19">
                  <c:v>68</c:v>
                </c:pt>
                <c:pt idx="20">
                  <c:v>66</c:v>
                </c:pt>
                <c:pt idx="21">
                  <c:v>72</c:v>
                </c:pt>
                <c:pt idx="22">
                  <c:v>76</c:v>
                </c:pt>
                <c:pt idx="23">
                  <c:v>92</c:v>
                </c:pt>
                <c:pt idx="24">
                  <c:v>93</c:v>
                </c:pt>
                <c:pt idx="25">
                  <c:v>88</c:v>
                </c:pt>
                <c:pt idx="26">
                  <c:v>77</c:v>
                </c:pt>
                <c:pt idx="27">
                  <c:v>89</c:v>
                </c:pt>
                <c:pt idx="28">
                  <c:v>86</c:v>
                </c:pt>
                <c:pt idx="29">
                  <c:v>86</c:v>
                </c:pt>
                <c:pt idx="30">
                  <c:v>97</c:v>
                </c:pt>
                <c:pt idx="31">
                  <c:v>71</c:v>
                </c:pt>
                <c:pt idx="32">
                  <c:v>92</c:v>
                </c:pt>
                <c:pt idx="33">
                  <c:v>97</c:v>
                </c:pt>
                <c:pt idx="34">
                  <c:v>85</c:v>
                </c:pt>
                <c:pt idx="35">
                  <c:v>76</c:v>
                </c:pt>
                <c:pt idx="36">
                  <c:v>87</c:v>
                </c:pt>
                <c:pt idx="37">
                  <c:v>92</c:v>
                </c:pt>
                <c:pt idx="38">
                  <c:v>96</c:v>
                </c:pt>
                <c:pt idx="39">
                  <c:v>96</c:v>
                </c:pt>
                <c:pt idx="40">
                  <c:v>98</c:v>
                </c:pt>
                <c:pt idx="41">
                  <c:v>83</c:v>
                </c:pt>
                <c:pt idx="42">
                  <c:v>77</c:v>
                </c:pt>
                <c:pt idx="43">
                  <c:v>87</c:v>
                </c:pt>
                <c:pt idx="44">
                  <c:v>94</c:v>
                </c:pt>
                <c:pt idx="45">
                  <c:v>94</c:v>
                </c:pt>
                <c:pt idx="46">
                  <c:v>76</c:v>
                </c:pt>
                <c:pt idx="47">
                  <c:v>83</c:v>
                </c:pt>
                <c:pt idx="48">
                  <c:v>104</c:v>
                </c:pt>
                <c:pt idx="49">
                  <c:v>77</c:v>
                </c:pt>
                <c:pt idx="50">
                  <c:v>96</c:v>
                </c:pt>
                <c:pt idx="51">
                  <c:v>118</c:v>
                </c:pt>
                <c:pt idx="52">
                  <c:v>103</c:v>
                </c:pt>
                <c:pt idx="53">
                  <c:v>71</c:v>
                </c:pt>
                <c:pt idx="54">
                  <c:v>93</c:v>
                </c:pt>
                <c:pt idx="55">
                  <c:v>23</c:v>
                </c:pt>
                <c:pt idx="56">
                  <c:v>86</c:v>
                </c:pt>
                <c:pt idx="57">
                  <c:v>93</c:v>
                </c:pt>
                <c:pt idx="58">
                  <c:v>105</c:v>
                </c:pt>
                <c:pt idx="59">
                  <c:v>101</c:v>
                </c:pt>
                <c:pt idx="60">
                  <c:v>103</c:v>
                </c:pt>
                <c:pt idx="61">
                  <c:v>95</c:v>
                </c:pt>
                <c:pt idx="62">
                  <c:v>90</c:v>
                </c:pt>
                <c:pt idx="63">
                  <c:v>98</c:v>
                </c:pt>
                <c:pt idx="64">
                  <c:v>67</c:v>
                </c:pt>
                <c:pt idx="65">
                  <c:v>54</c:v>
                </c:pt>
                <c:pt idx="66">
                  <c:v>40</c:v>
                </c:pt>
                <c:pt idx="67">
                  <c:v>37</c:v>
                </c:pt>
                <c:pt idx="68">
                  <c:v>71</c:v>
                </c:pt>
                <c:pt idx="69">
                  <c:v>107</c:v>
                </c:pt>
                <c:pt idx="70">
                  <c:v>101</c:v>
                </c:pt>
                <c:pt idx="71">
                  <c:v>94</c:v>
                </c:pt>
                <c:pt idx="72">
                  <c:v>95</c:v>
                </c:pt>
                <c:pt idx="73">
                  <c:v>96</c:v>
                </c:pt>
                <c:pt idx="74">
                  <c:v>74</c:v>
                </c:pt>
                <c:pt idx="75">
                  <c:v>95</c:v>
                </c:pt>
                <c:pt idx="76">
                  <c:v>91</c:v>
                </c:pt>
                <c:pt idx="77">
                  <c:v>85</c:v>
                </c:pt>
                <c:pt idx="78">
                  <c:v>91</c:v>
                </c:pt>
                <c:pt idx="79">
                  <c:v>73</c:v>
                </c:pt>
                <c:pt idx="80">
                  <c:v>87</c:v>
                </c:pt>
                <c:pt idx="81">
                  <c:v>96</c:v>
                </c:pt>
                <c:pt idx="82">
                  <c:v>48</c:v>
                </c:pt>
                <c:pt idx="83">
                  <c:v>109</c:v>
                </c:pt>
                <c:pt idx="84">
                  <c:v>100</c:v>
                </c:pt>
                <c:pt idx="85">
                  <c:v>93</c:v>
                </c:pt>
                <c:pt idx="86">
                  <c:v>83</c:v>
                </c:pt>
                <c:pt idx="87">
                  <c:v>79</c:v>
                </c:pt>
                <c:pt idx="88">
                  <c:v>97</c:v>
                </c:pt>
                <c:pt idx="89">
                  <c:v>104</c:v>
                </c:pt>
                <c:pt idx="90">
                  <c:v>49</c:v>
                </c:pt>
                <c:pt idx="91">
                  <c:v>58</c:v>
                </c:pt>
                <c:pt idx="92">
                  <c:v>72</c:v>
                </c:pt>
                <c:pt idx="93">
                  <c:v>89</c:v>
                </c:pt>
                <c:pt idx="94">
                  <c:v>96</c:v>
                </c:pt>
                <c:pt idx="95">
                  <c:v>96</c:v>
                </c:pt>
                <c:pt idx="96">
                  <c:v>100</c:v>
                </c:pt>
                <c:pt idx="97">
                  <c:v>108</c:v>
                </c:pt>
                <c:pt idx="98">
                  <c:v>110</c:v>
                </c:pt>
                <c:pt idx="99">
                  <c:v>102</c:v>
                </c:pt>
                <c:pt idx="100">
                  <c:v>91</c:v>
                </c:pt>
                <c:pt idx="101">
                  <c:v>48</c:v>
                </c:pt>
                <c:pt idx="102">
                  <c:v>58</c:v>
                </c:pt>
                <c:pt idx="103">
                  <c:v>73</c:v>
                </c:pt>
                <c:pt idx="104">
                  <c:v>104</c:v>
                </c:pt>
                <c:pt idx="105">
                  <c:v>101</c:v>
                </c:pt>
                <c:pt idx="106">
                  <c:v>91</c:v>
                </c:pt>
                <c:pt idx="107">
                  <c:v>95</c:v>
                </c:pt>
                <c:pt idx="108">
                  <c:v>48</c:v>
                </c:pt>
                <c:pt idx="109">
                  <c:v>83</c:v>
                </c:pt>
                <c:pt idx="110">
                  <c:v>87</c:v>
                </c:pt>
                <c:pt idx="111">
                  <c:v>86</c:v>
                </c:pt>
                <c:pt idx="112">
                  <c:v>87</c:v>
                </c:pt>
                <c:pt idx="113">
                  <c:v>84</c:v>
                </c:pt>
                <c:pt idx="114">
                  <c:v>94</c:v>
                </c:pt>
                <c:pt idx="115">
                  <c:v>78</c:v>
                </c:pt>
                <c:pt idx="116">
                  <c:v>53</c:v>
                </c:pt>
                <c:pt idx="117">
                  <c:v>75</c:v>
                </c:pt>
                <c:pt idx="118">
                  <c:v>12</c:v>
                </c:pt>
                <c:pt idx="119">
                  <c:v>67</c:v>
                </c:pt>
                <c:pt idx="120">
                  <c:v>73</c:v>
                </c:pt>
                <c:pt idx="121">
                  <c:v>81</c:v>
                </c:pt>
                <c:pt idx="122">
                  <c:v>83</c:v>
                </c:pt>
                <c:pt idx="123">
                  <c:v>79</c:v>
                </c:pt>
                <c:pt idx="124">
                  <c:v>81</c:v>
                </c:pt>
                <c:pt idx="125">
                  <c:v>78</c:v>
                </c:pt>
                <c:pt idx="126">
                  <c:v>73</c:v>
                </c:pt>
                <c:pt idx="127">
                  <c:v>80</c:v>
                </c:pt>
                <c:pt idx="128">
                  <c:v>85</c:v>
                </c:pt>
                <c:pt idx="129">
                  <c:v>82</c:v>
                </c:pt>
                <c:pt idx="130">
                  <c:v>59</c:v>
                </c:pt>
                <c:pt idx="131">
                  <c:v>68</c:v>
                </c:pt>
                <c:pt idx="132">
                  <c:v>82</c:v>
                </c:pt>
                <c:pt idx="133">
                  <c:v>74</c:v>
                </c:pt>
                <c:pt idx="134">
                  <c:v>90</c:v>
                </c:pt>
                <c:pt idx="135">
                  <c:v>84</c:v>
                </c:pt>
                <c:pt idx="136">
                  <c:v>36</c:v>
                </c:pt>
                <c:pt idx="137">
                  <c:v>61</c:v>
                </c:pt>
                <c:pt idx="138">
                  <c:v>68</c:v>
                </c:pt>
                <c:pt idx="139">
                  <c:v>73</c:v>
                </c:pt>
                <c:pt idx="140">
                  <c:v>71</c:v>
                </c:pt>
                <c:pt idx="141">
                  <c:v>55</c:v>
                </c:pt>
                <c:pt idx="142">
                  <c:v>32</c:v>
                </c:pt>
                <c:pt idx="143">
                  <c:v>51</c:v>
                </c:pt>
                <c:pt idx="144">
                  <c:v>30</c:v>
                </c:pt>
                <c:pt idx="145">
                  <c:v>56</c:v>
                </c:pt>
                <c:pt idx="146">
                  <c:v>61</c:v>
                </c:pt>
                <c:pt idx="147">
                  <c:v>61</c:v>
                </c:pt>
                <c:pt idx="148">
                  <c:v>77</c:v>
                </c:pt>
                <c:pt idx="149">
                  <c:v>58</c:v>
                </c:pt>
                <c:pt idx="150">
                  <c:v>73</c:v>
                </c:pt>
                <c:pt idx="151">
                  <c:v>75</c:v>
                </c:pt>
                <c:pt idx="152">
                  <c:v>78</c:v>
                </c:pt>
                <c:pt idx="153">
                  <c:v>72</c:v>
                </c:pt>
                <c:pt idx="154">
                  <c:v>70</c:v>
                </c:pt>
                <c:pt idx="155">
                  <c:v>77</c:v>
                </c:pt>
                <c:pt idx="156">
                  <c:v>52</c:v>
                </c:pt>
                <c:pt idx="157">
                  <c:v>14</c:v>
                </c:pt>
                <c:pt idx="158">
                  <c:v>66</c:v>
                </c:pt>
                <c:pt idx="159">
                  <c:v>72</c:v>
                </c:pt>
                <c:pt idx="160">
                  <c:v>64</c:v>
                </c:pt>
                <c:pt idx="161">
                  <c:v>55</c:v>
                </c:pt>
                <c:pt idx="162">
                  <c:v>66</c:v>
                </c:pt>
                <c:pt idx="163">
                  <c:v>70</c:v>
                </c:pt>
                <c:pt idx="164">
                  <c:v>75</c:v>
                </c:pt>
                <c:pt idx="165">
                  <c:v>75</c:v>
                </c:pt>
                <c:pt idx="166">
                  <c:v>72</c:v>
                </c:pt>
                <c:pt idx="167">
                  <c:v>55</c:v>
                </c:pt>
                <c:pt idx="168">
                  <c:v>48</c:v>
                </c:pt>
                <c:pt idx="169">
                  <c:v>68</c:v>
                </c:pt>
                <c:pt idx="170">
                  <c:v>75</c:v>
                </c:pt>
                <c:pt idx="171">
                  <c:v>53</c:v>
                </c:pt>
                <c:pt idx="172">
                  <c:v>62</c:v>
                </c:pt>
                <c:pt idx="173">
                  <c:v>44</c:v>
                </c:pt>
                <c:pt idx="174">
                  <c:v>20</c:v>
                </c:pt>
                <c:pt idx="175">
                  <c:v>15</c:v>
                </c:pt>
                <c:pt idx="176">
                  <c:v>27</c:v>
                </c:pt>
                <c:pt idx="177">
                  <c:v>23</c:v>
                </c:pt>
                <c:pt idx="178">
                  <c:v>46</c:v>
                </c:pt>
                <c:pt idx="179">
                  <c:v>48</c:v>
                </c:pt>
                <c:pt idx="180">
                  <c:v>60</c:v>
                </c:pt>
                <c:pt idx="181">
                  <c:v>49</c:v>
                </c:pt>
                <c:pt idx="182">
                  <c:v>20</c:v>
                </c:pt>
                <c:pt idx="183">
                  <c:v>16</c:v>
                </c:pt>
                <c:pt idx="184">
                  <c:v>27</c:v>
                </c:pt>
                <c:pt idx="185">
                  <c:v>31</c:v>
                </c:pt>
                <c:pt idx="186">
                  <c:v>32</c:v>
                </c:pt>
                <c:pt idx="187">
                  <c:v>32</c:v>
                </c:pt>
                <c:pt idx="188">
                  <c:v>30</c:v>
                </c:pt>
                <c:pt idx="189">
                  <c:v>19</c:v>
                </c:pt>
                <c:pt idx="190">
                  <c:v>16</c:v>
                </c:pt>
                <c:pt idx="191">
                  <c:v>27</c:v>
                </c:pt>
                <c:pt idx="192">
                  <c:v>25</c:v>
                </c:pt>
                <c:pt idx="193">
                  <c:v>24</c:v>
                </c:pt>
                <c:pt idx="194">
                  <c:v>28</c:v>
                </c:pt>
                <c:pt idx="195">
                  <c:v>28</c:v>
                </c:pt>
                <c:pt idx="196">
                  <c:v>25</c:v>
                </c:pt>
                <c:pt idx="197">
                  <c:v>24</c:v>
                </c:pt>
                <c:pt idx="198">
                  <c:v>20</c:v>
                </c:pt>
                <c:pt idx="199">
                  <c:v>13</c:v>
                </c:pt>
                <c:pt idx="200">
                  <c:v>33</c:v>
                </c:pt>
                <c:pt idx="201">
                  <c:v>39</c:v>
                </c:pt>
                <c:pt idx="202">
                  <c:v>31</c:v>
                </c:pt>
                <c:pt idx="203">
                  <c:v>20</c:v>
                </c:pt>
                <c:pt idx="204">
                  <c:v>20</c:v>
                </c:pt>
                <c:pt idx="205">
                  <c:v>29</c:v>
                </c:pt>
                <c:pt idx="206">
                  <c:v>40</c:v>
                </c:pt>
                <c:pt idx="207">
                  <c:v>10</c:v>
                </c:pt>
                <c:pt idx="208">
                  <c:v>8</c:v>
                </c:pt>
                <c:pt idx="209">
                  <c:v>24</c:v>
                </c:pt>
                <c:pt idx="210">
                  <c:v>22</c:v>
                </c:pt>
                <c:pt idx="211">
                  <c:v>22</c:v>
                </c:pt>
                <c:pt idx="212">
                  <c:v>30</c:v>
                </c:pt>
                <c:pt idx="213">
                  <c:v>27</c:v>
                </c:pt>
                <c:pt idx="214">
                  <c:v>30</c:v>
                </c:pt>
                <c:pt idx="215">
                  <c:v>31</c:v>
                </c:pt>
                <c:pt idx="216">
                  <c:v>34</c:v>
                </c:pt>
                <c:pt idx="217">
                  <c:v>20</c:v>
                </c:pt>
                <c:pt idx="218">
                  <c:v>32</c:v>
                </c:pt>
                <c:pt idx="219">
                  <c:v>34</c:v>
                </c:pt>
                <c:pt idx="220">
                  <c:v>30</c:v>
                </c:pt>
                <c:pt idx="221">
                  <c:v>32</c:v>
                </c:pt>
                <c:pt idx="222">
                  <c:v>31</c:v>
                </c:pt>
                <c:pt idx="223">
                  <c:v>35</c:v>
                </c:pt>
                <c:pt idx="224">
                  <c:v>30</c:v>
                </c:pt>
                <c:pt idx="225">
                  <c:v>32</c:v>
                </c:pt>
                <c:pt idx="226">
                  <c:v>38</c:v>
                </c:pt>
                <c:pt idx="227">
                  <c:v>37</c:v>
                </c:pt>
                <c:pt idx="228">
                  <c:v>42</c:v>
                </c:pt>
                <c:pt idx="229">
                  <c:v>49</c:v>
                </c:pt>
                <c:pt idx="230">
                  <c:v>59</c:v>
                </c:pt>
                <c:pt idx="231">
                  <c:v>33</c:v>
                </c:pt>
                <c:pt idx="232">
                  <c:v>36</c:v>
                </c:pt>
                <c:pt idx="233">
                  <c:v>22</c:v>
                </c:pt>
                <c:pt idx="234">
                  <c:v>29</c:v>
                </c:pt>
                <c:pt idx="235">
                  <c:v>39</c:v>
                </c:pt>
                <c:pt idx="236">
                  <c:v>36</c:v>
                </c:pt>
                <c:pt idx="237">
                  <c:v>29</c:v>
                </c:pt>
                <c:pt idx="238">
                  <c:v>39</c:v>
                </c:pt>
                <c:pt idx="239">
                  <c:v>48</c:v>
                </c:pt>
                <c:pt idx="240">
                  <c:v>29</c:v>
                </c:pt>
                <c:pt idx="241">
                  <c:v>37</c:v>
                </c:pt>
                <c:pt idx="242">
                  <c:v>43</c:v>
                </c:pt>
                <c:pt idx="243">
                  <c:v>33</c:v>
                </c:pt>
                <c:pt idx="244">
                  <c:v>39</c:v>
                </c:pt>
                <c:pt idx="245">
                  <c:v>42</c:v>
                </c:pt>
                <c:pt idx="246">
                  <c:v>12</c:v>
                </c:pt>
                <c:pt idx="247">
                  <c:v>38</c:v>
                </c:pt>
                <c:pt idx="248">
                  <c:v>42</c:v>
                </c:pt>
                <c:pt idx="249">
                  <c:v>38</c:v>
                </c:pt>
                <c:pt idx="250">
                  <c:v>13</c:v>
                </c:pt>
                <c:pt idx="251">
                  <c:v>40</c:v>
                </c:pt>
                <c:pt idx="252">
                  <c:v>42</c:v>
                </c:pt>
                <c:pt idx="253">
                  <c:v>49</c:v>
                </c:pt>
                <c:pt idx="254">
                  <c:v>41</c:v>
                </c:pt>
                <c:pt idx="255">
                  <c:v>41</c:v>
                </c:pt>
                <c:pt idx="256">
                  <c:v>43</c:v>
                </c:pt>
                <c:pt idx="257">
                  <c:v>54</c:v>
                </c:pt>
                <c:pt idx="258">
                  <c:v>65</c:v>
                </c:pt>
                <c:pt idx="259">
                  <c:v>62</c:v>
                </c:pt>
                <c:pt idx="260">
                  <c:v>49</c:v>
                </c:pt>
                <c:pt idx="261">
                  <c:v>42</c:v>
                </c:pt>
                <c:pt idx="262">
                  <c:v>54</c:v>
                </c:pt>
                <c:pt idx="263">
                  <c:v>42</c:v>
                </c:pt>
                <c:pt idx="264">
                  <c:v>37</c:v>
                </c:pt>
                <c:pt idx="265">
                  <c:v>44</c:v>
                </c:pt>
                <c:pt idx="266">
                  <c:v>50</c:v>
                </c:pt>
                <c:pt idx="267">
                  <c:v>33</c:v>
                </c:pt>
                <c:pt idx="268">
                  <c:v>40</c:v>
                </c:pt>
                <c:pt idx="269">
                  <c:v>48</c:v>
                </c:pt>
                <c:pt idx="270">
                  <c:v>30</c:v>
                </c:pt>
                <c:pt idx="271">
                  <c:v>34</c:v>
                </c:pt>
                <c:pt idx="272">
                  <c:v>44</c:v>
                </c:pt>
                <c:pt idx="273">
                  <c:v>45</c:v>
                </c:pt>
                <c:pt idx="274">
                  <c:v>65</c:v>
                </c:pt>
                <c:pt idx="275">
                  <c:v>63</c:v>
                </c:pt>
                <c:pt idx="276">
                  <c:v>36</c:v>
                </c:pt>
                <c:pt idx="277">
                  <c:v>56</c:v>
                </c:pt>
                <c:pt idx="278">
                  <c:v>62</c:v>
                </c:pt>
                <c:pt idx="279">
                  <c:v>29</c:v>
                </c:pt>
                <c:pt idx="280">
                  <c:v>50</c:v>
                </c:pt>
                <c:pt idx="281">
                  <c:v>58</c:v>
                </c:pt>
                <c:pt idx="282">
                  <c:v>67</c:v>
                </c:pt>
                <c:pt idx="283">
                  <c:v>41</c:v>
                </c:pt>
                <c:pt idx="284">
                  <c:v>43</c:v>
                </c:pt>
                <c:pt idx="285">
                  <c:v>66</c:v>
                </c:pt>
                <c:pt idx="286">
                  <c:v>63</c:v>
                </c:pt>
                <c:pt idx="287">
                  <c:v>15</c:v>
                </c:pt>
                <c:pt idx="288">
                  <c:v>75</c:v>
                </c:pt>
                <c:pt idx="289">
                  <c:v>68</c:v>
                </c:pt>
                <c:pt idx="290">
                  <c:v>64</c:v>
                </c:pt>
                <c:pt idx="291">
                  <c:v>79</c:v>
                </c:pt>
                <c:pt idx="292">
                  <c:v>84</c:v>
                </c:pt>
                <c:pt idx="293">
                  <c:v>34</c:v>
                </c:pt>
                <c:pt idx="294">
                  <c:v>80</c:v>
                </c:pt>
                <c:pt idx="295">
                  <c:v>84</c:v>
                </c:pt>
                <c:pt idx="296">
                  <c:v>81</c:v>
                </c:pt>
                <c:pt idx="297">
                  <c:v>88</c:v>
                </c:pt>
                <c:pt idx="298">
                  <c:v>78</c:v>
                </c:pt>
                <c:pt idx="299">
                  <c:v>81</c:v>
                </c:pt>
                <c:pt idx="300">
                  <c:v>92</c:v>
                </c:pt>
                <c:pt idx="301">
                  <c:v>106</c:v>
                </c:pt>
                <c:pt idx="302">
                  <c:v>67</c:v>
                </c:pt>
                <c:pt idx="303">
                  <c:v>88</c:v>
                </c:pt>
                <c:pt idx="304">
                  <c:v>89</c:v>
                </c:pt>
                <c:pt idx="305">
                  <c:v>53</c:v>
                </c:pt>
                <c:pt idx="306">
                  <c:v>88</c:v>
                </c:pt>
                <c:pt idx="307">
                  <c:v>92</c:v>
                </c:pt>
                <c:pt idx="308">
                  <c:v>94</c:v>
                </c:pt>
                <c:pt idx="309">
                  <c:v>87</c:v>
                </c:pt>
                <c:pt idx="310">
                  <c:v>87</c:v>
                </c:pt>
                <c:pt idx="311">
                  <c:v>96</c:v>
                </c:pt>
                <c:pt idx="312">
                  <c:v>84</c:v>
                </c:pt>
                <c:pt idx="313">
                  <c:v>97</c:v>
                </c:pt>
                <c:pt idx="314">
                  <c:v>82</c:v>
                </c:pt>
                <c:pt idx="315">
                  <c:v>68</c:v>
                </c:pt>
                <c:pt idx="316">
                  <c:v>91</c:v>
                </c:pt>
                <c:pt idx="317">
                  <c:v>79</c:v>
                </c:pt>
                <c:pt idx="318">
                  <c:v>83</c:v>
                </c:pt>
                <c:pt idx="319">
                  <c:v>77</c:v>
                </c:pt>
                <c:pt idx="320">
                  <c:v>92</c:v>
                </c:pt>
                <c:pt idx="321">
                  <c:v>98</c:v>
                </c:pt>
                <c:pt idx="322">
                  <c:v>116</c:v>
                </c:pt>
                <c:pt idx="323">
                  <c:v>94</c:v>
                </c:pt>
                <c:pt idx="324">
                  <c:v>86</c:v>
                </c:pt>
                <c:pt idx="325">
                  <c:v>90</c:v>
                </c:pt>
                <c:pt idx="326">
                  <c:v>100</c:v>
                </c:pt>
                <c:pt idx="327">
                  <c:v>93</c:v>
                </c:pt>
                <c:pt idx="328">
                  <c:v>93</c:v>
                </c:pt>
                <c:pt idx="329">
                  <c:v>95</c:v>
                </c:pt>
                <c:pt idx="330">
                  <c:v>96</c:v>
                </c:pt>
                <c:pt idx="331">
                  <c:v>82</c:v>
                </c:pt>
                <c:pt idx="332">
                  <c:v>79</c:v>
                </c:pt>
                <c:pt idx="333">
                  <c:v>79</c:v>
                </c:pt>
                <c:pt idx="334">
                  <c:v>100</c:v>
                </c:pt>
                <c:pt idx="335">
                  <c:v>106</c:v>
                </c:pt>
                <c:pt idx="336">
                  <c:v>106</c:v>
                </c:pt>
                <c:pt idx="337">
                  <c:v>98</c:v>
                </c:pt>
                <c:pt idx="338">
                  <c:v>91</c:v>
                </c:pt>
                <c:pt idx="339">
                  <c:v>96</c:v>
                </c:pt>
                <c:pt idx="340">
                  <c:v>89</c:v>
                </c:pt>
                <c:pt idx="341">
                  <c:v>78</c:v>
                </c:pt>
                <c:pt idx="342">
                  <c:v>91</c:v>
                </c:pt>
                <c:pt idx="343">
                  <c:v>100</c:v>
                </c:pt>
                <c:pt idx="344">
                  <c:v>89</c:v>
                </c:pt>
                <c:pt idx="345">
                  <c:v>100</c:v>
                </c:pt>
                <c:pt idx="346">
                  <c:v>98</c:v>
                </c:pt>
                <c:pt idx="347">
                  <c:v>103</c:v>
                </c:pt>
                <c:pt idx="348">
                  <c:v>75</c:v>
                </c:pt>
                <c:pt idx="349">
                  <c:v>97</c:v>
                </c:pt>
                <c:pt idx="350">
                  <c:v>102</c:v>
                </c:pt>
                <c:pt idx="351">
                  <c:v>95</c:v>
                </c:pt>
                <c:pt idx="352">
                  <c:v>80</c:v>
                </c:pt>
                <c:pt idx="353">
                  <c:v>96</c:v>
                </c:pt>
                <c:pt idx="354">
                  <c:v>90</c:v>
                </c:pt>
                <c:pt idx="355">
                  <c:v>96</c:v>
                </c:pt>
                <c:pt idx="356">
                  <c:v>99</c:v>
                </c:pt>
                <c:pt idx="357">
                  <c:v>104</c:v>
                </c:pt>
                <c:pt idx="358">
                  <c:v>106</c:v>
                </c:pt>
                <c:pt idx="359">
                  <c:v>94</c:v>
                </c:pt>
                <c:pt idx="360">
                  <c:v>93</c:v>
                </c:pt>
                <c:pt idx="361">
                  <c:v>105</c:v>
                </c:pt>
                <c:pt idx="362">
                  <c:v>111</c:v>
                </c:pt>
                <c:pt idx="363">
                  <c:v>107</c:v>
                </c:pt>
                <c:pt idx="364">
                  <c:v>102</c:v>
                </c:pt>
              </c:numCache>
            </c:numRef>
          </c:yVal>
          <c:smooth val="0"/>
          <c:extLst>
            <c:ext xmlns:c16="http://schemas.microsoft.com/office/drawing/2014/chart" uri="{C3380CC4-5D6E-409C-BE32-E72D297353CC}">
              <c16:uniqueId val="{00000000-27C4-45F9-B54C-A3DFF79984CC}"/>
            </c:ext>
          </c:extLst>
        </c:ser>
        <c:dLbls>
          <c:showLegendKey val="0"/>
          <c:showVal val="0"/>
          <c:showCatName val="0"/>
          <c:showSerName val="0"/>
          <c:showPercent val="0"/>
          <c:showBubbleSize val="0"/>
        </c:dLbls>
        <c:axId val="1113916479"/>
        <c:axId val="1113892959"/>
      </c:scatterChart>
      <c:valAx>
        <c:axId val="11139164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Windspeed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892959"/>
        <c:crosses val="autoZero"/>
        <c:crossBetween val="midCat"/>
      </c:valAx>
      <c:valAx>
        <c:axId val="111389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BikeHired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9164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AU"/>
              <a:t>Normal Probability Plot</a:t>
            </a:r>
          </a:p>
        </c:rich>
      </c:tx>
      <c:overlay val="0"/>
    </c:title>
    <c:autoTitleDeleted val="0"/>
    <c:plotArea>
      <c:layout/>
      <c:scatterChart>
        <c:scatterStyle val="lineMarker"/>
        <c:varyColors val="0"/>
        <c:ser>
          <c:idx val="0"/>
          <c:order val="0"/>
          <c:spPr>
            <a:ln w="19050">
              <a:noFill/>
            </a:ln>
          </c:spPr>
          <c:xVal>
            <c:numRef>
              <c:f>'Regression Model'!#REF!</c:f>
            </c:numRef>
          </c:xVal>
          <c:yVal>
            <c:numRef>
              <c:f>'Regression Model'!#REF!</c:f>
              <c:numCache>
                <c:formatCode>General</c:formatCode>
                <c:ptCount val="1"/>
                <c:pt idx="0">
                  <c:v>1</c:v>
                </c:pt>
              </c:numCache>
            </c:numRef>
          </c:yVal>
          <c:smooth val="0"/>
          <c:extLst>
            <c:ext xmlns:c16="http://schemas.microsoft.com/office/drawing/2014/chart" uri="{C3380CC4-5D6E-409C-BE32-E72D297353CC}">
              <c16:uniqueId val="{00000001-289D-4EAE-84BC-6E30A62C2CB4}"/>
            </c:ext>
          </c:extLst>
        </c:ser>
        <c:dLbls>
          <c:showLegendKey val="0"/>
          <c:showVal val="0"/>
          <c:showCatName val="0"/>
          <c:showSerName val="0"/>
          <c:showPercent val="0"/>
          <c:showBubbleSize val="0"/>
        </c:dLbls>
        <c:axId val="1183917616"/>
        <c:axId val="1183896976"/>
      </c:scatterChart>
      <c:valAx>
        <c:axId val="1183917616"/>
        <c:scaling>
          <c:orientation val="minMax"/>
        </c:scaling>
        <c:delete val="0"/>
        <c:axPos val="b"/>
        <c:title>
          <c:tx>
            <c:rich>
              <a:bodyPr/>
              <a:lstStyle/>
              <a:p>
                <a:pPr>
                  <a:defRPr/>
                </a:pPr>
                <a:r>
                  <a:rPr lang="en-AU"/>
                  <a:t>Sample Percentile</a:t>
                </a:r>
              </a:p>
            </c:rich>
          </c:tx>
          <c:overlay val="0"/>
        </c:title>
        <c:numFmt formatCode="General" sourceLinked="1"/>
        <c:majorTickMark val="out"/>
        <c:minorTickMark val="none"/>
        <c:tickLblPos val="nextTo"/>
        <c:crossAx val="1183896976"/>
        <c:crosses val="autoZero"/>
        <c:crossBetween val="midCat"/>
      </c:valAx>
      <c:valAx>
        <c:axId val="1183896976"/>
        <c:scaling>
          <c:orientation val="minMax"/>
        </c:scaling>
        <c:delete val="0"/>
        <c:axPos val="l"/>
        <c:title>
          <c:tx>
            <c:rich>
              <a:bodyPr/>
              <a:lstStyle/>
              <a:p>
                <a:pPr>
                  <a:defRPr/>
                </a:pPr>
                <a:r>
                  <a:rPr lang="en-AU"/>
                  <a:t>BikeHired</a:t>
                </a:r>
              </a:p>
            </c:rich>
          </c:tx>
          <c:overlay val="0"/>
        </c:title>
        <c:numFmt formatCode="General" sourceLinked="1"/>
        <c:majorTickMark val="out"/>
        <c:minorTickMark val="none"/>
        <c:tickLblPos val="nextTo"/>
        <c:crossAx val="118391761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1033532</xdr:colOff>
      <xdr:row>92</xdr:row>
      <xdr:rowOff>22281</xdr:rowOff>
    </xdr:from>
    <xdr:to>
      <xdr:col>10</xdr:col>
      <xdr:colOff>77983</xdr:colOff>
      <xdr:row>103</xdr:row>
      <xdr:rowOff>233947</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22281</xdr:colOff>
      <xdr:row>92</xdr:row>
      <xdr:rowOff>1</xdr:rowOff>
    </xdr:from>
    <xdr:to>
      <xdr:col>20</xdr:col>
      <xdr:colOff>824385</xdr:colOff>
      <xdr:row>103</xdr:row>
      <xdr:rowOff>233947</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389911</xdr:colOff>
      <xdr:row>92</xdr:row>
      <xdr:rowOff>22279</xdr:rowOff>
    </xdr:from>
    <xdr:to>
      <xdr:col>33</xdr:col>
      <xdr:colOff>100262</xdr:colOff>
      <xdr:row>103</xdr:row>
      <xdr:rowOff>222806</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23</xdr:col>
      <xdr:colOff>884530</xdr:colOff>
      <xdr:row>371</xdr:row>
      <xdr:rowOff>75681</xdr:rowOff>
    </xdr:from>
    <xdr:to>
      <xdr:col>24</xdr:col>
      <xdr:colOff>0</xdr:colOff>
      <xdr:row>384</xdr:row>
      <xdr:rowOff>56631</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19050</xdr:colOff>
          <xdr:row>55</xdr:row>
          <xdr:rowOff>44450</xdr:rowOff>
        </xdr:from>
        <xdr:to>
          <xdr:col>12</xdr:col>
          <xdr:colOff>1155700</xdr:colOff>
          <xdr:row>57</xdr:row>
          <xdr:rowOff>31750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55</xdr:row>
          <xdr:rowOff>38100</xdr:rowOff>
        </xdr:from>
        <xdr:to>
          <xdr:col>17</xdr:col>
          <xdr:colOff>0</xdr:colOff>
          <xdr:row>57</xdr:row>
          <xdr:rowOff>82550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322D49-9FAA-400B-BFFE-A6083AB180C6}" name="Table1" displayName="Table1" ref="H1:I1048576" totalsRowShown="0">
  <autoFilter ref="H1:I1048576" xr:uid="{69322D49-9FAA-400B-BFFE-A6083AB180C6}"/>
  <tableColumns count="2">
    <tableColumn id="1" xr3:uid="{8D374953-01AE-4B35-BC4D-1A1E8AF2F69F}" name="BikeHired"/>
    <tableColumn id="2" xr3:uid="{EB8E59F6-F3A8-47D7-B380-9AFCD89DE534}" name="HireDay"/>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image" Target="../media/image2.emf"/><Relationship Id="rId5" Type="http://schemas.openxmlformats.org/officeDocument/2006/relationships/oleObject" Target="../embeddings/oleObject2.bin"/><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3F430-3E42-48C5-9272-821A0F786C95}">
  <dimension ref="A1:P21"/>
  <sheetViews>
    <sheetView topLeftCell="A12" zoomScale="145" zoomScaleNormal="145" workbookViewId="0">
      <selection activeCell="A16" sqref="A16"/>
    </sheetView>
  </sheetViews>
  <sheetFormatPr defaultColWidth="9.1796875" defaultRowHeight="20.149999999999999" customHeight="1"/>
  <cols>
    <col min="1" max="1" width="19.81640625" style="3" customWidth="1"/>
    <col min="2" max="2" width="19.1796875" style="2" customWidth="1"/>
    <col min="3" max="3" width="12.7265625" style="2" customWidth="1"/>
    <col min="4" max="15" width="9.1796875" style="3"/>
    <col min="16" max="16" width="16.54296875" style="1" customWidth="1"/>
    <col min="17" max="16384" width="9.1796875" style="3"/>
  </cols>
  <sheetData>
    <row r="1" spans="1:9" ht="20.149999999999999" customHeight="1">
      <c r="A1" s="4" t="s">
        <v>32</v>
      </c>
      <c r="B1"/>
      <c r="C1"/>
      <c r="D1"/>
      <c r="E1"/>
      <c r="F1"/>
      <c r="G1"/>
      <c r="H1"/>
      <c r="I1"/>
    </row>
    <row r="2" spans="1:9" ht="20.149999999999999" customHeight="1">
      <c r="A2"/>
      <c r="B2"/>
      <c r="C2"/>
      <c r="D2"/>
      <c r="E2"/>
      <c r="F2"/>
      <c r="G2"/>
      <c r="H2"/>
      <c r="I2"/>
    </row>
    <row r="3" spans="1:9" ht="20.149999999999999" customHeight="1">
      <c r="A3" s="5" t="s">
        <v>2</v>
      </c>
      <c r="B3" s="5" t="s">
        <v>1</v>
      </c>
      <c r="C3" s="6"/>
      <c r="D3" s="6"/>
      <c r="E3" s="6"/>
      <c r="F3" s="6"/>
      <c r="G3" s="6"/>
      <c r="H3" s="6"/>
      <c r="I3" s="6"/>
    </row>
    <row r="4" spans="1:9" ht="20.149999999999999" customHeight="1">
      <c r="A4" s="7" t="s">
        <v>3</v>
      </c>
      <c r="B4" s="8" t="s">
        <v>4</v>
      </c>
      <c r="C4" s="6"/>
      <c r="D4" s="6"/>
      <c r="E4" s="6"/>
      <c r="F4" s="6"/>
      <c r="G4" s="6"/>
      <c r="H4" s="6"/>
      <c r="I4" s="6"/>
    </row>
    <row r="5" spans="1:9" ht="20.149999999999999" customHeight="1">
      <c r="A5" s="7" t="s">
        <v>5</v>
      </c>
      <c r="B5" s="8" t="s">
        <v>36</v>
      </c>
      <c r="C5" s="6"/>
      <c r="D5" s="6"/>
      <c r="E5" s="6"/>
      <c r="F5" s="6"/>
      <c r="G5" s="6"/>
      <c r="H5" s="6"/>
      <c r="I5" s="6"/>
    </row>
    <row r="6" spans="1:9" ht="20.149999999999999" customHeight="1">
      <c r="A6" s="7" t="s">
        <v>6</v>
      </c>
      <c r="B6" s="8" t="s">
        <v>37</v>
      </c>
      <c r="C6" s="6"/>
      <c r="D6" s="6"/>
      <c r="E6" s="6"/>
      <c r="F6" s="6"/>
      <c r="G6" s="6"/>
      <c r="H6" s="6"/>
      <c r="I6" s="6"/>
    </row>
    <row r="7" spans="1:9" ht="20.149999999999999" customHeight="1">
      <c r="A7" s="7" t="s">
        <v>7</v>
      </c>
      <c r="B7" s="8" t="s">
        <v>8</v>
      </c>
      <c r="C7" s="6"/>
      <c r="D7" s="6"/>
      <c r="E7" s="6"/>
      <c r="F7" s="6"/>
      <c r="G7" s="6"/>
      <c r="H7" s="6"/>
      <c r="I7" s="6"/>
    </row>
    <row r="8" spans="1:9" ht="20.149999999999999" customHeight="1">
      <c r="A8" s="7" t="s">
        <v>9</v>
      </c>
      <c r="B8" s="8" t="s">
        <v>10</v>
      </c>
      <c r="C8" s="6"/>
      <c r="D8" s="6"/>
      <c r="E8" s="6"/>
      <c r="F8" s="6"/>
      <c r="G8" s="6"/>
      <c r="H8" s="6"/>
      <c r="I8" s="6"/>
    </row>
    <row r="9" spans="1:9" ht="20.149999999999999" customHeight="1">
      <c r="A9" s="7" t="s">
        <v>11</v>
      </c>
      <c r="B9" s="8" t="s">
        <v>12</v>
      </c>
      <c r="C9" s="6"/>
      <c r="D9" s="6"/>
      <c r="E9" s="6"/>
      <c r="F9" s="6"/>
      <c r="G9" s="6"/>
      <c r="H9" s="6"/>
      <c r="I9" s="6"/>
    </row>
    <row r="10" spans="1:9" ht="20.149999999999999" customHeight="1">
      <c r="A10" s="7" t="s">
        <v>13</v>
      </c>
      <c r="B10" s="8" t="s">
        <v>14</v>
      </c>
      <c r="C10" s="6"/>
      <c r="D10" s="6"/>
      <c r="E10" s="6"/>
      <c r="F10" s="6"/>
      <c r="G10" s="6"/>
      <c r="H10" s="6"/>
      <c r="I10" s="6"/>
    </row>
    <row r="11" spans="1:9" ht="20.149999999999999" customHeight="1">
      <c r="A11" s="7" t="s">
        <v>15</v>
      </c>
      <c r="B11" s="8" t="s">
        <v>16</v>
      </c>
      <c r="C11" s="6"/>
      <c r="D11" s="6"/>
      <c r="E11" s="6"/>
      <c r="F11" s="6"/>
      <c r="G11" s="6"/>
      <c r="H11" s="6"/>
      <c r="I11" s="6"/>
    </row>
    <row r="12" spans="1:9" ht="20.149999999999999" customHeight="1">
      <c r="A12" s="7" t="s">
        <v>0</v>
      </c>
      <c r="B12" s="8" t="s">
        <v>17</v>
      </c>
      <c r="C12" s="6"/>
      <c r="D12" s="6"/>
      <c r="E12" s="6"/>
      <c r="F12" s="6"/>
      <c r="G12" s="6"/>
      <c r="H12" s="6"/>
      <c r="I12" s="6"/>
    </row>
    <row r="13" spans="1:9" ht="20.149999999999999" customHeight="1">
      <c r="A13" s="7" t="s">
        <v>18</v>
      </c>
      <c r="B13" s="8" t="s">
        <v>19</v>
      </c>
      <c r="C13" s="6"/>
      <c r="D13" s="6"/>
      <c r="E13" s="6"/>
      <c r="F13" s="6"/>
      <c r="G13" s="6"/>
      <c r="H13" s="6"/>
      <c r="I13" s="6"/>
    </row>
    <row r="14" spans="1:9" ht="20.149999999999999" customHeight="1">
      <c r="A14" s="7" t="s">
        <v>20</v>
      </c>
      <c r="B14" s="8" t="s">
        <v>33</v>
      </c>
      <c r="C14" s="6"/>
      <c r="D14" s="6"/>
      <c r="E14" s="6"/>
      <c r="F14" s="6"/>
      <c r="G14" s="6"/>
      <c r="H14" s="6"/>
      <c r="I14" s="6"/>
    </row>
    <row r="15" spans="1:9" ht="20.149999999999999" customHeight="1">
      <c r="A15" s="7" t="s">
        <v>21</v>
      </c>
      <c r="B15" s="8" t="s">
        <v>99</v>
      </c>
      <c r="C15" s="6"/>
      <c r="D15" s="6"/>
      <c r="E15" s="6"/>
      <c r="F15" s="6"/>
      <c r="G15" s="6"/>
      <c r="H15" s="6"/>
      <c r="I15" s="6"/>
    </row>
    <row r="16" spans="1:9" ht="20.149999999999999" customHeight="1">
      <c r="A16" s="7" t="s">
        <v>39</v>
      </c>
      <c r="B16" s="8" t="s">
        <v>34</v>
      </c>
      <c r="C16" s="6"/>
      <c r="D16" s="6"/>
      <c r="E16" s="6"/>
      <c r="F16" s="6"/>
      <c r="G16" s="6"/>
      <c r="H16" s="6"/>
      <c r="I16" s="6"/>
    </row>
    <row r="17" spans="1:9" ht="20.149999999999999" customHeight="1">
      <c r="A17" s="6" t="s">
        <v>35</v>
      </c>
      <c r="B17" s="6" t="s">
        <v>38</v>
      </c>
      <c r="C17" s="6"/>
      <c r="D17" s="6"/>
      <c r="E17" s="6"/>
      <c r="F17" s="6"/>
      <c r="G17" s="6"/>
      <c r="H17" s="6"/>
      <c r="I17" s="6"/>
    </row>
    <row r="18" spans="1:9" ht="20.149999999999999" customHeight="1">
      <c r="A18" s="6"/>
      <c r="B18" s="12" t="s">
        <v>40</v>
      </c>
      <c r="C18" s="6"/>
      <c r="D18" s="6"/>
      <c r="E18" s="6"/>
      <c r="F18" s="6"/>
      <c r="G18" s="6"/>
      <c r="H18" s="6"/>
      <c r="I18" s="6"/>
    </row>
    <row r="19" spans="1:9" ht="20.149999999999999" customHeight="1">
      <c r="A19"/>
      <c r="B19" s="12" t="s">
        <v>41</v>
      </c>
      <c r="C19"/>
      <c r="D19"/>
      <c r="E19"/>
      <c r="F19"/>
      <c r="G19"/>
      <c r="H19"/>
      <c r="I19"/>
    </row>
    <row r="20" spans="1:9" ht="20.149999999999999" customHeight="1">
      <c r="A20"/>
      <c r="B20" s="12" t="s">
        <v>42</v>
      </c>
      <c r="C20"/>
      <c r="D20"/>
      <c r="E20"/>
      <c r="F20"/>
      <c r="G20"/>
      <c r="H20"/>
      <c r="I20"/>
    </row>
    <row r="21" spans="1:9" ht="20.149999999999999" customHeight="1">
      <c r="B21" s="12"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16512-0AE1-4C36-8BF5-82AD4EAE2731}">
  <dimension ref="A1:I366"/>
  <sheetViews>
    <sheetView topLeftCell="B1" zoomScale="87" workbookViewId="0">
      <pane ySplit="1" topLeftCell="A250" activePane="bottomLeft" state="frozen"/>
      <selection pane="bottomLeft" activeCell="I46" sqref="I46"/>
    </sheetView>
  </sheetViews>
  <sheetFormatPr defaultColWidth="12.7265625" defaultRowHeight="14.5"/>
  <cols>
    <col min="1" max="4" width="12.7265625" style="10"/>
    <col min="9" max="9" width="18.54296875" bestFit="1" customWidth="1"/>
    <col min="10" max="10" width="15.54296875" bestFit="1" customWidth="1"/>
    <col min="11" max="11" width="15.81640625" bestFit="1" customWidth="1"/>
    <col min="12" max="12" width="6.7265625" bestFit="1" customWidth="1"/>
    <col min="13" max="13" width="10.453125" bestFit="1" customWidth="1"/>
  </cols>
  <sheetData>
    <row r="1" spans="1:9" ht="20.25" customHeight="1">
      <c r="A1" s="9" t="s">
        <v>22</v>
      </c>
      <c r="B1" s="9" t="s">
        <v>7</v>
      </c>
      <c r="C1" s="9" t="s">
        <v>11</v>
      </c>
      <c r="D1" s="9" t="s">
        <v>13</v>
      </c>
      <c r="E1" s="9" t="s">
        <v>15</v>
      </c>
      <c r="F1" s="9" t="s">
        <v>0</v>
      </c>
      <c r="G1" s="9" t="s">
        <v>18</v>
      </c>
      <c r="H1" t="s">
        <v>39</v>
      </c>
      <c r="I1" t="s">
        <v>35</v>
      </c>
    </row>
    <row r="2" spans="1:9">
      <c r="A2" s="10" t="s">
        <v>23</v>
      </c>
      <c r="B2" s="10" t="s">
        <v>24</v>
      </c>
      <c r="C2" s="10" t="s">
        <v>25</v>
      </c>
      <c r="D2" s="10" t="s">
        <v>26</v>
      </c>
      <c r="E2" s="11">
        <v>32.250015000000005</v>
      </c>
      <c r="F2" s="11">
        <v>80.583300000000008</v>
      </c>
      <c r="G2" s="11">
        <v>10.749881999999999</v>
      </c>
      <c r="H2">
        <v>93</v>
      </c>
      <c r="I2" t="s">
        <v>104</v>
      </c>
    </row>
    <row r="3" spans="1:9">
      <c r="A3" s="10" t="s">
        <v>23</v>
      </c>
      <c r="B3" s="10" t="s">
        <v>24</v>
      </c>
      <c r="C3" s="10" t="s">
        <v>25</v>
      </c>
      <c r="D3" s="10" t="s">
        <v>26</v>
      </c>
      <c r="E3" s="11">
        <v>32.700015</v>
      </c>
      <c r="F3" s="11">
        <v>69.608699999999999</v>
      </c>
      <c r="G3" s="11">
        <v>16.652113</v>
      </c>
      <c r="H3">
        <v>121</v>
      </c>
      <c r="I3" t="s">
        <v>105</v>
      </c>
    </row>
    <row r="4" spans="1:9">
      <c r="A4" s="10" t="s">
        <v>23</v>
      </c>
      <c r="B4" s="10" t="s">
        <v>24</v>
      </c>
      <c r="C4" s="10" t="s">
        <v>11</v>
      </c>
      <c r="D4" s="10" t="s">
        <v>27</v>
      </c>
      <c r="E4" s="11">
        <v>33.600014999999999</v>
      </c>
      <c r="F4" s="11">
        <v>43.7273</v>
      </c>
      <c r="G4" s="11">
        <v>16.636703000000001</v>
      </c>
      <c r="H4">
        <v>94</v>
      </c>
      <c r="I4" t="s">
        <v>104</v>
      </c>
    </row>
    <row r="5" spans="1:9">
      <c r="A5" s="10" t="s">
        <v>23</v>
      </c>
      <c r="B5" s="10" t="s">
        <v>24</v>
      </c>
      <c r="C5" s="10" t="s">
        <v>11</v>
      </c>
      <c r="D5" s="10" t="s">
        <v>27</v>
      </c>
      <c r="E5" s="11">
        <v>32.4</v>
      </c>
      <c r="F5" s="11">
        <v>59.043500000000002</v>
      </c>
      <c r="G5" s="11">
        <v>10.739832</v>
      </c>
      <c r="H5">
        <v>93</v>
      </c>
      <c r="I5" t="s">
        <v>104</v>
      </c>
    </row>
    <row r="6" spans="1:9">
      <c r="A6" s="10" t="s">
        <v>23</v>
      </c>
      <c r="B6" s="10" t="s">
        <v>24</v>
      </c>
      <c r="C6" s="10" t="s">
        <v>11</v>
      </c>
      <c r="D6" s="10" t="s">
        <v>27</v>
      </c>
      <c r="E6" s="11">
        <v>33.75</v>
      </c>
      <c r="F6" s="11">
        <v>43.695699999999995</v>
      </c>
      <c r="G6" s="11">
        <v>12.522300000000001</v>
      </c>
      <c r="H6">
        <v>92</v>
      </c>
      <c r="I6" t="s">
        <v>104</v>
      </c>
    </row>
    <row r="7" spans="1:9">
      <c r="A7" s="10" t="s">
        <v>23</v>
      </c>
      <c r="B7" s="10" t="s">
        <v>24</v>
      </c>
      <c r="C7" s="10" t="s">
        <v>11</v>
      </c>
      <c r="D7" s="10" t="s">
        <v>27</v>
      </c>
      <c r="E7" s="11">
        <v>31.912514999999999</v>
      </c>
      <c r="F7" s="11">
        <v>51.826099999999997</v>
      </c>
      <c r="G7" s="11">
        <v>6.0008683999999999</v>
      </c>
      <c r="H7">
        <v>81</v>
      </c>
      <c r="I7" t="s">
        <v>104</v>
      </c>
    </row>
    <row r="8" spans="1:9">
      <c r="A8" s="10" t="s">
        <v>23</v>
      </c>
      <c r="B8" s="10" t="s">
        <v>24</v>
      </c>
      <c r="C8" s="10" t="s">
        <v>11</v>
      </c>
      <c r="D8" s="10" t="s">
        <v>26</v>
      </c>
      <c r="E8" s="11">
        <v>32.999985000000002</v>
      </c>
      <c r="F8" s="11">
        <v>49.869599999999998</v>
      </c>
      <c r="G8" s="11">
        <v>11.304641999999999</v>
      </c>
      <c r="H8">
        <v>107</v>
      </c>
      <c r="I8" t="s">
        <v>105</v>
      </c>
    </row>
    <row r="9" spans="1:9">
      <c r="A9" s="10" t="s">
        <v>23</v>
      </c>
      <c r="B9" s="10" t="s">
        <v>24</v>
      </c>
      <c r="C9" s="10" t="s">
        <v>25</v>
      </c>
      <c r="D9" s="10" t="s">
        <v>26</v>
      </c>
      <c r="E9" s="11">
        <v>33.637500000000003</v>
      </c>
      <c r="F9" s="11">
        <v>53.583300000000001</v>
      </c>
      <c r="G9" s="11">
        <v>17.875868000000001</v>
      </c>
      <c r="H9">
        <v>98</v>
      </c>
      <c r="I9" t="s">
        <v>104</v>
      </c>
    </row>
    <row r="10" spans="1:9">
      <c r="A10" s="10" t="s">
        <v>23</v>
      </c>
      <c r="B10" s="10" t="s">
        <v>24</v>
      </c>
      <c r="C10" s="10" t="s">
        <v>25</v>
      </c>
      <c r="D10" s="10" t="s">
        <v>27</v>
      </c>
      <c r="E10" s="11">
        <v>34.3125</v>
      </c>
      <c r="F10" s="11">
        <v>43.416700000000006</v>
      </c>
      <c r="G10" s="11">
        <v>24.25065</v>
      </c>
      <c r="H10">
        <v>81</v>
      </c>
      <c r="I10" t="s">
        <v>104</v>
      </c>
    </row>
    <row r="11" spans="1:9">
      <c r="A11" s="10" t="s">
        <v>23</v>
      </c>
      <c r="B11" s="10" t="s">
        <v>24</v>
      </c>
      <c r="C11" s="10" t="s">
        <v>11</v>
      </c>
      <c r="D11" s="10" t="s">
        <v>27</v>
      </c>
      <c r="E11" s="11">
        <v>35.737514999999995</v>
      </c>
      <c r="F11" s="11">
        <v>48.291699999999999</v>
      </c>
      <c r="G11" s="11">
        <v>14.958888999999999</v>
      </c>
      <c r="H11">
        <v>85</v>
      </c>
      <c r="I11" t="s">
        <v>104</v>
      </c>
    </row>
    <row r="12" spans="1:9">
      <c r="A12" s="10" t="s">
        <v>23</v>
      </c>
      <c r="B12" s="10" t="s">
        <v>24</v>
      </c>
      <c r="C12" s="10" t="s">
        <v>11</v>
      </c>
      <c r="D12" s="10" t="s">
        <v>26</v>
      </c>
      <c r="E12" s="11">
        <v>33.600014999999999</v>
      </c>
      <c r="F12" s="11">
        <v>68.636399999999995</v>
      </c>
      <c r="G12" s="11">
        <v>8.1828440000000011</v>
      </c>
      <c r="H12">
        <v>87</v>
      </c>
      <c r="I12" t="s">
        <v>104</v>
      </c>
    </row>
    <row r="13" spans="1:9">
      <c r="A13" s="10" t="s">
        <v>23</v>
      </c>
      <c r="B13" s="10" t="s">
        <v>24</v>
      </c>
      <c r="C13" s="10" t="s">
        <v>11</v>
      </c>
      <c r="D13" s="10" t="s">
        <v>27</v>
      </c>
      <c r="E13" s="11">
        <v>30.637485000000002</v>
      </c>
      <c r="F13" s="11">
        <v>59.954499999999996</v>
      </c>
      <c r="G13" s="11">
        <v>20.410008999999999</v>
      </c>
      <c r="H13">
        <v>102</v>
      </c>
      <c r="I13" t="s">
        <v>105</v>
      </c>
    </row>
    <row r="14" spans="1:9">
      <c r="A14" s="10" t="s">
        <v>23</v>
      </c>
      <c r="B14" s="10" t="s">
        <v>24</v>
      </c>
      <c r="C14" s="10" t="s">
        <v>11</v>
      </c>
      <c r="D14" s="10" t="s">
        <v>27</v>
      </c>
      <c r="E14" s="11">
        <v>29.849984999999997</v>
      </c>
      <c r="F14" s="11">
        <v>47.041699999999999</v>
      </c>
      <c r="G14" s="11">
        <v>20.166999999999998</v>
      </c>
      <c r="H14">
        <v>110</v>
      </c>
      <c r="I14" t="s">
        <v>105</v>
      </c>
    </row>
    <row r="15" spans="1:9">
      <c r="A15" s="10" t="s">
        <v>23</v>
      </c>
      <c r="B15" s="10" t="s">
        <v>24</v>
      </c>
      <c r="C15" s="10" t="s">
        <v>11</v>
      </c>
      <c r="D15" s="10" t="s">
        <v>27</v>
      </c>
      <c r="E15" s="11">
        <v>30.900015</v>
      </c>
      <c r="F15" s="11">
        <v>53.782600000000002</v>
      </c>
      <c r="G15" s="11">
        <v>8.4787160000000004</v>
      </c>
      <c r="H15">
        <v>118</v>
      </c>
      <c r="I15" t="s">
        <v>105</v>
      </c>
    </row>
    <row r="16" spans="1:9">
      <c r="A16" s="10" t="s">
        <v>23</v>
      </c>
      <c r="B16" s="10" t="s">
        <v>24</v>
      </c>
      <c r="C16" s="10" t="s">
        <v>25</v>
      </c>
      <c r="D16" s="10" t="s">
        <v>26</v>
      </c>
      <c r="E16" s="11">
        <v>32.362515000000002</v>
      </c>
      <c r="F16" s="11">
        <v>49.875</v>
      </c>
      <c r="G16" s="11">
        <v>10.583520999999999</v>
      </c>
      <c r="H16">
        <v>106</v>
      </c>
      <c r="I16" t="s">
        <v>105</v>
      </c>
    </row>
    <row r="17" spans="1:9">
      <c r="A17" s="10" t="s">
        <v>23</v>
      </c>
      <c r="B17" s="10" t="s">
        <v>24</v>
      </c>
      <c r="C17" s="10" t="s">
        <v>25</v>
      </c>
      <c r="D17" s="10" t="s">
        <v>27</v>
      </c>
      <c r="E17" s="11">
        <v>33.600014999999999</v>
      </c>
      <c r="F17" s="11">
        <v>48.375</v>
      </c>
      <c r="G17" s="11">
        <v>12.625010999999999</v>
      </c>
      <c r="H17">
        <v>89</v>
      </c>
      <c r="I17" t="s">
        <v>104</v>
      </c>
    </row>
    <row r="18" spans="1:9">
      <c r="A18" s="10" t="s">
        <v>23</v>
      </c>
      <c r="B18" s="10" t="s">
        <v>7</v>
      </c>
      <c r="C18" s="10" t="s">
        <v>25</v>
      </c>
      <c r="D18" s="10" t="s">
        <v>26</v>
      </c>
      <c r="E18" s="11">
        <v>34.950015</v>
      </c>
      <c r="F18" s="11">
        <v>53.75</v>
      </c>
      <c r="G18" s="11">
        <v>12.999139</v>
      </c>
      <c r="H18">
        <v>91</v>
      </c>
      <c r="I18" t="s">
        <v>104</v>
      </c>
    </row>
    <row r="19" spans="1:9">
      <c r="A19" s="10" t="s">
        <v>23</v>
      </c>
      <c r="B19" s="10" t="s">
        <v>24</v>
      </c>
      <c r="C19" s="10" t="s">
        <v>11</v>
      </c>
      <c r="D19" s="10" t="s">
        <v>26</v>
      </c>
      <c r="E19" s="11">
        <v>34.574985000000005</v>
      </c>
      <c r="F19" s="11">
        <v>86.166699999999992</v>
      </c>
      <c r="G19" s="11">
        <v>9.8339249999999989</v>
      </c>
      <c r="H19">
        <v>87</v>
      </c>
      <c r="I19" t="s">
        <v>104</v>
      </c>
    </row>
    <row r="20" spans="1:9">
      <c r="A20" s="10" t="s">
        <v>23</v>
      </c>
      <c r="B20" s="10" t="s">
        <v>24</v>
      </c>
      <c r="C20" s="10" t="s">
        <v>11</v>
      </c>
      <c r="D20" s="10" t="s">
        <v>26</v>
      </c>
      <c r="E20" s="11">
        <v>36.674999999999997</v>
      </c>
      <c r="F20" s="11">
        <v>74.173900000000003</v>
      </c>
      <c r="G20" s="11">
        <v>13.957239</v>
      </c>
      <c r="H20">
        <v>76</v>
      </c>
      <c r="I20" t="s">
        <v>104</v>
      </c>
    </row>
    <row r="21" spans="1:9">
      <c r="A21" s="10" t="s">
        <v>23</v>
      </c>
      <c r="B21" s="10" t="s">
        <v>24</v>
      </c>
      <c r="C21" s="10" t="s">
        <v>11</v>
      </c>
      <c r="D21" s="10" t="s">
        <v>26</v>
      </c>
      <c r="E21" s="11">
        <v>38.174985</v>
      </c>
      <c r="F21" s="11">
        <v>53.833299999999994</v>
      </c>
      <c r="G21" s="11">
        <v>13.125567999999999</v>
      </c>
      <c r="H21">
        <v>68</v>
      </c>
      <c r="I21" t="s">
        <v>106</v>
      </c>
    </row>
    <row r="22" spans="1:9">
      <c r="A22" s="10" t="s">
        <v>23</v>
      </c>
      <c r="B22" s="10" t="s">
        <v>24</v>
      </c>
      <c r="C22" s="10" t="s">
        <v>11</v>
      </c>
      <c r="D22" s="10" t="s">
        <v>27</v>
      </c>
      <c r="E22" s="11">
        <v>38.212515000000003</v>
      </c>
      <c r="F22" s="11">
        <v>45.708300000000001</v>
      </c>
      <c r="G22" s="11">
        <v>23.667214000000001</v>
      </c>
      <c r="H22">
        <v>66</v>
      </c>
      <c r="I22" t="s">
        <v>106</v>
      </c>
    </row>
    <row r="23" spans="1:9">
      <c r="A23" s="10" t="s">
        <v>23</v>
      </c>
      <c r="B23" s="10" t="s">
        <v>24</v>
      </c>
      <c r="C23" s="10" t="s">
        <v>25</v>
      </c>
      <c r="D23" s="10" t="s">
        <v>27</v>
      </c>
      <c r="E23" s="11">
        <v>37.35</v>
      </c>
      <c r="F23" s="11">
        <v>40</v>
      </c>
      <c r="G23" s="11">
        <v>11.521990000000001</v>
      </c>
      <c r="H23">
        <v>72</v>
      </c>
      <c r="I23" t="s">
        <v>104</v>
      </c>
    </row>
    <row r="24" spans="1:9">
      <c r="A24" s="10" t="s">
        <v>23</v>
      </c>
      <c r="B24" s="10" t="s">
        <v>24</v>
      </c>
      <c r="C24" s="10" t="s">
        <v>25</v>
      </c>
      <c r="D24" s="10" t="s">
        <v>27</v>
      </c>
      <c r="E24" s="11">
        <v>33.449984999999998</v>
      </c>
      <c r="F24" s="11">
        <v>43.652200000000001</v>
      </c>
      <c r="G24" s="11">
        <v>16.522200000000002</v>
      </c>
      <c r="H24">
        <v>76</v>
      </c>
      <c r="I24" t="s">
        <v>104</v>
      </c>
    </row>
    <row r="25" spans="1:9">
      <c r="A25" s="10" t="s">
        <v>23</v>
      </c>
      <c r="B25" s="10" t="s">
        <v>24</v>
      </c>
      <c r="C25" s="10" t="s">
        <v>11</v>
      </c>
      <c r="D25" s="10" t="s">
        <v>27</v>
      </c>
      <c r="E25" s="11">
        <v>34.725014999999999</v>
      </c>
      <c r="F25" s="11">
        <v>49.173899999999996</v>
      </c>
      <c r="G25" s="11">
        <v>10.60811</v>
      </c>
      <c r="H25">
        <v>92</v>
      </c>
      <c r="I25" t="s">
        <v>104</v>
      </c>
    </row>
    <row r="26" spans="1:9">
      <c r="A26" s="10" t="s">
        <v>23</v>
      </c>
      <c r="B26" s="10" t="s">
        <v>24</v>
      </c>
      <c r="C26" s="10" t="s">
        <v>11</v>
      </c>
      <c r="D26" s="10" t="s">
        <v>26</v>
      </c>
      <c r="E26" s="11">
        <v>34.875</v>
      </c>
      <c r="F26" s="11">
        <v>61.695699999999995</v>
      </c>
      <c r="G26" s="11">
        <v>8.696332</v>
      </c>
      <c r="H26">
        <v>93</v>
      </c>
      <c r="I26" t="s">
        <v>104</v>
      </c>
    </row>
    <row r="27" spans="1:9">
      <c r="A27" s="10" t="s">
        <v>23</v>
      </c>
      <c r="B27" s="10" t="s">
        <v>24</v>
      </c>
      <c r="C27" s="10" t="s">
        <v>11</v>
      </c>
      <c r="D27" s="10" t="s">
        <v>28</v>
      </c>
      <c r="E27" s="11">
        <v>35.062515000000005</v>
      </c>
      <c r="F27" s="11">
        <v>86.25</v>
      </c>
      <c r="G27" s="11">
        <v>19.687950000000001</v>
      </c>
      <c r="H27">
        <v>88</v>
      </c>
      <c r="I27" t="s">
        <v>104</v>
      </c>
    </row>
    <row r="28" spans="1:9">
      <c r="A28" s="10" t="s">
        <v>23</v>
      </c>
      <c r="B28" s="10" t="s">
        <v>24</v>
      </c>
      <c r="C28" s="10" t="s">
        <v>11</v>
      </c>
      <c r="D28" s="10" t="s">
        <v>27</v>
      </c>
      <c r="E28" s="11">
        <v>37.724984999999997</v>
      </c>
      <c r="F28" s="11">
        <v>68.75</v>
      </c>
      <c r="G28" s="11">
        <v>7.6270789999999993</v>
      </c>
      <c r="H28">
        <v>77</v>
      </c>
      <c r="I28" t="s">
        <v>104</v>
      </c>
    </row>
    <row r="29" spans="1:9">
      <c r="A29" s="10" t="s">
        <v>23</v>
      </c>
      <c r="B29" s="10" t="s">
        <v>24</v>
      </c>
      <c r="C29" s="10" t="s">
        <v>11</v>
      </c>
      <c r="D29" s="10" t="s">
        <v>26</v>
      </c>
      <c r="E29" s="11">
        <v>36.187514999999998</v>
      </c>
      <c r="F29" s="11">
        <v>79.304300000000012</v>
      </c>
      <c r="G29" s="11">
        <v>8.2611000000000008</v>
      </c>
      <c r="H29">
        <v>89</v>
      </c>
      <c r="I29" t="s">
        <v>104</v>
      </c>
    </row>
    <row r="30" spans="1:9">
      <c r="A30" s="10" t="s">
        <v>23</v>
      </c>
      <c r="B30" s="10" t="s">
        <v>24</v>
      </c>
      <c r="C30" s="10" t="s">
        <v>25</v>
      </c>
      <c r="D30" s="10" t="s">
        <v>27</v>
      </c>
      <c r="E30" s="11">
        <v>36.262484999999998</v>
      </c>
      <c r="F30" s="11">
        <v>65.173899999999989</v>
      </c>
      <c r="G30" s="11">
        <v>9.7394549999999995</v>
      </c>
      <c r="H30">
        <v>86</v>
      </c>
      <c r="I30" t="s">
        <v>104</v>
      </c>
    </row>
    <row r="31" spans="1:9">
      <c r="A31" s="10" t="s">
        <v>23</v>
      </c>
      <c r="B31" s="10" t="s">
        <v>24</v>
      </c>
      <c r="C31" s="10" t="s">
        <v>25</v>
      </c>
      <c r="D31" s="10" t="s">
        <v>27</v>
      </c>
      <c r="E31" s="11">
        <v>34.725014999999999</v>
      </c>
      <c r="F31" s="11">
        <v>72.217399999999998</v>
      </c>
      <c r="G31" s="11">
        <v>4.9568341999999994</v>
      </c>
      <c r="H31">
        <v>86</v>
      </c>
      <c r="I31" t="s">
        <v>104</v>
      </c>
    </row>
    <row r="32" spans="1:9">
      <c r="A32" s="10" t="s">
        <v>23</v>
      </c>
      <c r="B32" s="10" t="s">
        <v>24</v>
      </c>
      <c r="C32" s="10" t="s">
        <v>11</v>
      </c>
      <c r="D32" s="10" t="s">
        <v>26</v>
      </c>
      <c r="E32" s="11">
        <v>35.249984999999995</v>
      </c>
      <c r="F32" s="11">
        <v>60.375</v>
      </c>
      <c r="G32" s="11">
        <v>12.541864</v>
      </c>
      <c r="H32">
        <v>97</v>
      </c>
      <c r="I32" t="s">
        <v>104</v>
      </c>
    </row>
    <row r="33" spans="1:9">
      <c r="A33" s="10" t="s">
        <v>23</v>
      </c>
      <c r="B33" s="10" t="s">
        <v>24</v>
      </c>
      <c r="C33" s="10" t="s">
        <v>11</v>
      </c>
      <c r="D33" s="10" t="s">
        <v>26</v>
      </c>
      <c r="E33" s="11">
        <v>32.925014999999995</v>
      </c>
      <c r="F33" s="11">
        <v>82.956500000000005</v>
      </c>
      <c r="G33" s="11">
        <v>3.5652710000000001</v>
      </c>
      <c r="H33">
        <v>71</v>
      </c>
      <c r="I33" t="s">
        <v>104</v>
      </c>
    </row>
    <row r="34" spans="1:9">
      <c r="A34" s="10" t="s">
        <v>23</v>
      </c>
      <c r="B34" s="10" t="s">
        <v>24</v>
      </c>
      <c r="C34" s="10" t="s">
        <v>11</v>
      </c>
      <c r="D34" s="10" t="s">
        <v>26</v>
      </c>
      <c r="E34" s="11">
        <v>31.95</v>
      </c>
      <c r="F34" s="11">
        <v>77.541700000000006</v>
      </c>
      <c r="G34" s="11">
        <v>17.708635999999998</v>
      </c>
      <c r="H34">
        <v>92</v>
      </c>
      <c r="I34" t="s">
        <v>104</v>
      </c>
    </row>
    <row r="35" spans="1:9">
      <c r="A35" s="10" t="s">
        <v>23</v>
      </c>
      <c r="B35" s="10" t="s">
        <v>24</v>
      </c>
      <c r="C35" s="10" t="s">
        <v>11</v>
      </c>
      <c r="D35" s="10" t="s">
        <v>27</v>
      </c>
      <c r="E35" s="11">
        <v>31.987485000000003</v>
      </c>
      <c r="F35" s="11">
        <v>43.782600000000002</v>
      </c>
      <c r="G35" s="11">
        <v>18.609383999999999</v>
      </c>
      <c r="H35">
        <v>97</v>
      </c>
      <c r="I35" t="s">
        <v>104</v>
      </c>
    </row>
    <row r="36" spans="1:9">
      <c r="A36" s="10" t="s">
        <v>23</v>
      </c>
      <c r="B36" s="10" t="s">
        <v>24</v>
      </c>
      <c r="C36" s="10" t="s">
        <v>11</v>
      </c>
      <c r="D36" s="10" t="s">
        <v>26</v>
      </c>
      <c r="E36" s="11">
        <v>32.250015000000005</v>
      </c>
      <c r="F36" s="11">
        <v>58.521699999999996</v>
      </c>
      <c r="G36" s="11">
        <v>8.565213</v>
      </c>
      <c r="H36">
        <v>85</v>
      </c>
      <c r="I36" t="s">
        <v>104</v>
      </c>
    </row>
    <row r="37" spans="1:9">
      <c r="A37" s="10" t="s">
        <v>23</v>
      </c>
      <c r="B37" s="10" t="s">
        <v>24</v>
      </c>
      <c r="C37" s="10" t="s">
        <v>25</v>
      </c>
      <c r="D37" s="10" t="s">
        <v>26</v>
      </c>
      <c r="E37" s="11">
        <v>33.412500000000001</v>
      </c>
      <c r="F37" s="11">
        <v>92.916699999999992</v>
      </c>
      <c r="G37" s="11">
        <v>10.792293000000001</v>
      </c>
      <c r="H37">
        <v>76</v>
      </c>
      <c r="I37" t="s">
        <v>104</v>
      </c>
    </row>
    <row r="38" spans="1:9">
      <c r="A38" s="10" t="s">
        <v>23</v>
      </c>
      <c r="B38" s="10" t="s">
        <v>24</v>
      </c>
      <c r="C38" s="10" t="s">
        <v>25</v>
      </c>
      <c r="D38" s="10" t="s">
        <v>27</v>
      </c>
      <c r="E38" s="11">
        <v>34.424999999999997</v>
      </c>
      <c r="F38" s="11">
        <v>56.833299999999994</v>
      </c>
      <c r="G38" s="11">
        <v>9.5006000000000004</v>
      </c>
      <c r="H38">
        <v>87</v>
      </c>
      <c r="I38" t="s">
        <v>104</v>
      </c>
    </row>
    <row r="39" spans="1:9">
      <c r="A39" s="10" t="s">
        <v>23</v>
      </c>
      <c r="B39" s="10" t="s">
        <v>24</v>
      </c>
      <c r="C39" s="10" t="s">
        <v>11</v>
      </c>
      <c r="D39" s="10" t="s">
        <v>27</v>
      </c>
      <c r="E39" s="11">
        <v>34.875</v>
      </c>
      <c r="F39" s="11">
        <v>73.833300000000008</v>
      </c>
      <c r="G39" s="11">
        <v>3.0423561000000001</v>
      </c>
      <c r="H39">
        <v>92</v>
      </c>
      <c r="I39" t="s">
        <v>104</v>
      </c>
    </row>
    <row r="40" spans="1:9">
      <c r="A40" s="10" t="s">
        <v>23</v>
      </c>
      <c r="B40" s="10" t="s">
        <v>24</v>
      </c>
      <c r="C40" s="10" t="s">
        <v>11</v>
      </c>
      <c r="D40" s="10" t="s">
        <v>27</v>
      </c>
      <c r="E40" s="11">
        <v>34.500014999999998</v>
      </c>
      <c r="F40" s="11">
        <v>53.791699999999999</v>
      </c>
      <c r="G40" s="11">
        <v>24.25065</v>
      </c>
      <c r="H40">
        <v>96</v>
      </c>
      <c r="I40" t="s">
        <v>104</v>
      </c>
    </row>
    <row r="41" spans="1:9">
      <c r="A41" s="10" t="s">
        <v>23</v>
      </c>
      <c r="B41" s="10" t="s">
        <v>24</v>
      </c>
      <c r="C41" s="10" t="s">
        <v>11</v>
      </c>
      <c r="D41" s="10" t="s">
        <v>26</v>
      </c>
      <c r="E41" s="11">
        <v>32.287500000000001</v>
      </c>
      <c r="F41" s="11">
        <v>49.478299999999997</v>
      </c>
      <c r="G41" s="11">
        <v>12.652213</v>
      </c>
      <c r="H41">
        <v>96</v>
      </c>
      <c r="I41" t="s">
        <v>104</v>
      </c>
    </row>
    <row r="42" spans="1:9">
      <c r="A42" s="10" t="s">
        <v>23</v>
      </c>
      <c r="B42" s="10" t="s">
        <v>24</v>
      </c>
      <c r="C42" s="10" t="s">
        <v>11</v>
      </c>
      <c r="D42" s="10" t="s">
        <v>27</v>
      </c>
      <c r="E42" s="11">
        <v>31.874984999999999</v>
      </c>
      <c r="F42" s="11">
        <v>43.739100000000001</v>
      </c>
      <c r="G42" s="11">
        <v>14.869645</v>
      </c>
      <c r="H42">
        <v>98</v>
      </c>
      <c r="I42" t="s">
        <v>104</v>
      </c>
    </row>
    <row r="43" spans="1:9">
      <c r="A43" s="10" t="s">
        <v>23</v>
      </c>
      <c r="B43" s="10" t="s">
        <v>24</v>
      </c>
      <c r="C43" s="10" t="s">
        <v>11</v>
      </c>
      <c r="D43" s="10" t="s">
        <v>27</v>
      </c>
      <c r="E43" s="11">
        <v>30.862485</v>
      </c>
      <c r="F43" s="11">
        <v>50.636400000000002</v>
      </c>
      <c r="G43" s="11">
        <v>7.2728499999999991</v>
      </c>
      <c r="H43">
        <v>83</v>
      </c>
      <c r="I43" t="s">
        <v>104</v>
      </c>
    </row>
    <row r="44" spans="1:9">
      <c r="A44" s="10" t="s">
        <v>23</v>
      </c>
      <c r="B44" s="10" t="s">
        <v>24</v>
      </c>
      <c r="C44" s="10" t="s">
        <v>25</v>
      </c>
      <c r="D44" s="10" t="s">
        <v>27</v>
      </c>
      <c r="E44" s="11">
        <v>30.450015</v>
      </c>
      <c r="F44" s="11">
        <v>54.416699999999999</v>
      </c>
      <c r="G44" s="11">
        <v>13.625589</v>
      </c>
      <c r="H44">
        <v>77</v>
      </c>
      <c r="I44" t="s">
        <v>104</v>
      </c>
    </row>
    <row r="45" spans="1:9">
      <c r="A45" s="10" t="s">
        <v>23</v>
      </c>
      <c r="B45" s="10" t="s">
        <v>24</v>
      </c>
      <c r="C45" s="10" t="s">
        <v>25</v>
      </c>
      <c r="D45" s="10" t="s">
        <v>27</v>
      </c>
      <c r="E45" s="11">
        <v>29.962485000000001</v>
      </c>
      <c r="F45" s="11">
        <v>45.739100000000001</v>
      </c>
      <c r="G45" s="11">
        <v>17.479160999999998</v>
      </c>
      <c r="H45">
        <v>87</v>
      </c>
      <c r="I45" t="s">
        <v>104</v>
      </c>
    </row>
    <row r="46" spans="1:9">
      <c r="A46" s="10" t="s">
        <v>23</v>
      </c>
      <c r="B46" s="10" t="s">
        <v>24</v>
      </c>
      <c r="C46" s="10" t="s">
        <v>11</v>
      </c>
      <c r="D46" s="10" t="s">
        <v>27</v>
      </c>
      <c r="E46" s="11">
        <v>31.537485</v>
      </c>
      <c r="F46" s="11">
        <v>37.583299999999994</v>
      </c>
      <c r="G46" s="11">
        <v>27.999835999999998</v>
      </c>
      <c r="H46">
        <v>94</v>
      </c>
      <c r="I46" t="s">
        <v>104</v>
      </c>
    </row>
    <row r="47" spans="1:9">
      <c r="A47" s="10" t="s">
        <v>23</v>
      </c>
      <c r="B47" s="10" t="s">
        <v>24</v>
      </c>
      <c r="C47" s="10" t="s">
        <v>11</v>
      </c>
      <c r="D47" s="10" t="s">
        <v>27</v>
      </c>
      <c r="E47" s="11">
        <v>32.549985</v>
      </c>
      <c r="F47" s="11">
        <v>31.434800000000003</v>
      </c>
      <c r="G47" s="11">
        <v>19.522058000000001</v>
      </c>
      <c r="H47">
        <v>94</v>
      </c>
      <c r="I47" t="s">
        <v>104</v>
      </c>
    </row>
    <row r="48" spans="1:9">
      <c r="A48" s="10" t="s">
        <v>23</v>
      </c>
      <c r="B48" s="10" t="s">
        <v>24</v>
      </c>
      <c r="C48" s="10" t="s">
        <v>11</v>
      </c>
      <c r="D48" s="10" t="s">
        <v>27</v>
      </c>
      <c r="E48" s="11">
        <v>32.025015000000003</v>
      </c>
      <c r="F48" s="11">
        <v>42.347799999999999</v>
      </c>
      <c r="G48" s="11">
        <v>16.869996999999998</v>
      </c>
      <c r="H48">
        <v>76</v>
      </c>
      <c r="I48" t="s">
        <v>104</v>
      </c>
    </row>
    <row r="49" spans="1:9">
      <c r="A49" s="10" t="s">
        <v>23</v>
      </c>
      <c r="B49" s="10" t="s">
        <v>24</v>
      </c>
      <c r="C49" s="10" t="s">
        <v>11</v>
      </c>
      <c r="D49" s="10" t="s">
        <v>27</v>
      </c>
      <c r="E49" s="11">
        <v>30.825000000000003</v>
      </c>
      <c r="F49" s="11">
        <v>50.5</v>
      </c>
      <c r="G49" s="11">
        <v>15.416968000000001</v>
      </c>
      <c r="H49">
        <v>83</v>
      </c>
      <c r="I49" t="s">
        <v>104</v>
      </c>
    </row>
    <row r="50" spans="1:9">
      <c r="A50" s="10" t="s">
        <v>23</v>
      </c>
      <c r="B50" s="10" t="s">
        <v>24</v>
      </c>
      <c r="C50" s="10" t="s">
        <v>11</v>
      </c>
      <c r="D50" s="10" t="s">
        <v>27</v>
      </c>
      <c r="E50" s="11">
        <v>31.387499999999999</v>
      </c>
      <c r="F50" s="11">
        <v>51.666699999999999</v>
      </c>
      <c r="G50" s="11">
        <v>17.749975000000003</v>
      </c>
      <c r="H50">
        <v>104</v>
      </c>
      <c r="I50" t="s">
        <v>105</v>
      </c>
    </row>
    <row r="51" spans="1:9">
      <c r="A51" s="10" t="s">
        <v>23</v>
      </c>
      <c r="B51" s="10" t="s">
        <v>24</v>
      </c>
      <c r="C51" s="10" t="s">
        <v>25</v>
      </c>
      <c r="D51" s="10" t="s">
        <v>27</v>
      </c>
      <c r="E51" s="11">
        <v>31.987485000000003</v>
      </c>
      <c r="F51" s="11">
        <v>18.791699999999999</v>
      </c>
      <c r="G51" s="11">
        <v>34.000020999999997</v>
      </c>
      <c r="H51">
        <v>77</v>
      </c>
      <c r="I51" t="s">
        <v>104</v>
      </c>
    </row>
    <row r="52" spans="1:9">
      <c r="A52" s="10" t="s">
        <v>23</v>
      </c>
      <c r="B52" s="10" t="s">
        <v>24</v>
      </c>
      <c r="C52" s="10" t="s">
        <v>25</v>
      </c>
      <c r="D52" s="10" t="s">
        <v>27</v>
      </c>
      <c r="E52" s="11">
        <v>31.125015000000001</v>
      </c>
      <c r="F52" s="11">
        <v>40.782600000000002</v>
      </c>
      <c r="G52" s="11">
        <v>14.956745</v>
      </c>
      <c r="H52">
        <v>96</v>
      </c>
      <c r="I52" t="s">
        <v>104</v>
      </c>
    </row>
    <row r="53" spans="1:9">
      <c r="A53" s="10" t="s">
        <v>23</v>
      </c>
      <c r="B53" s="10" t="s">
        <v>7</v>
      </c>
      <c r="C53" s="10" t="s">
        <v>25</v>
      </c>
      <c r="D53" s="10" t="s">
        <v>26</v>
      </c>
      <c r="E53" s="11">
        <v>28.837485000000001</v>
      </c>
      <c r="F53" s="11">
        <v>60.5</v>
      </c>
      <c r="G53" s="11">
        <v>20.625682000000001</v>
      </c>
      <c r="H53">
        <v>118</v>
      </c>
      <c r="I53" t="s">
        <v>105</v>
      </c>
    </row>
    <row r="54" spans="1:9">
      <c r="A54" s="10" t="s">
        <v>23</v>
      </c>
      <c r="B54" s="10" t="s">
        <v>24</v>
      </c>
      <c r="C54" s="10" t="s">
        <v>11</v>
      </c>
      <c r="D54" s="10" t="s">
        <v>27</v>
      </c>
      <c r="E54" s="11">
        <v>30.299985</v>
      </c>
      <c r="F54" s="11">
        <v>57.777799999999999</v>
      </c>
      <c r="G54" s="11">
        <v>13.110761</v>
      </c>
      <c r="H54">
        <v>103</v>
      </c>
      <c r="I54" t="s">
        <v>105</v>
      </c>
    </row>
    <row r="55" spans="1:9">
      <c r="A55" s="10" t="s">
        <v>23</v>
      </c>
      <c r="B55" s="10" t="s">
        <v>24</v>
      </c>
      <c r="C55" s="10" t="s">
        <v>11</v>
      </c>
      <c r="D55" s="10" t="s">
        <v>27</v>
      </c>
      <c r="E55" s="11">
        <v>30.787514999999999</v>
      </c>
      <c r="F55" s="11">
        <v>42.304299999999998</v>
      </c>
      <c r="G55" s="11">
        <v>6.3055710000000005</v>
      </c>
      <c r="H55">
        <v>71</v>
      </c>
      <c r="I55" t="s">
        <v>104</v>
      </c>
    </row>
    <row r="56" spans="1:9">
      <c r="A56" s="10" t="s">
        <v>23</v>
      </c>
      <c r="B56" s="10" t="s">
        <v>24</v>
      </c>
      <c r="C56" s="10" t="s">
        <v>11</v>
      </c>
      <c r="D56" s="10" t="s">
        <v>26</v>
      </c>
      <c r="E56" s="11">
        <v>31.499999999999996</v>
      </c>
      <c r="F56" s="11">
        <v>69.739099999999993</v>
      </c>
      <c r="G56" s="11">
        <v>16.783231999999998</v>
      </c>
      <c r="H56">
        <v>93</v>
      </c>
      <c r="I56" t="s">
        <v>104</v>
      </c>
    </row>
    <row r="57" spans="1:9">
      <c r="A57" s="10" t="s">
        <v>23</v>
      </c>
      <c r="B57" s="10" t="s">
        <v>24</v>
      </c>
      <c r="C57" s="10" t="s">
        <v>11</v>
      </c>
      <c r="D57" s="10" t="s">
        <v>26</v>
      </c>
      <c r="E57" s="11">
        <v>30.6</v>
      </c>
      <c r="F57" s="11">
        <v>71.217399999999998</v>
      </c>
      <c r="G57" s="11">
        <v>23.218112999999999</v>
      </c>
      <c r="H57">
        <v>23</v>
      </c>
      <c r="I57" t="s">
        <v>107</v>
      </c>
    </row>
    <row r="58" spans="1:9">
      <c r="A58" s="10" t="s">
        <v>23</v>
      </c>
      <c r="B58" s="10" t="s">
        <v>24</v>
      </c>
      <c r="C58" s="10" t="s">
        <v>25</v>
      </c>
      <c r="D58" s="10" t="s">
        <v>27</v>
      </c>
      <c r="E58" s="11">
        <v>31.817654999999998</v>
      </c>
      <c r="F58" s="11">
        <v>53.791699999999999</v>
      </c>
      <c r="G58" s="11">
        <v>12.500257</v>
      </c>
      <c r="H58">
        <v>86</v>
      </c>
      <c r="I58" t="s">
        <v>104</v>
      </c>
    </row>
    <row r="59" spans="1:9">
      <c r="A59" s="10" t="s">
        <v>23</v>
      </c>
      <c r="B59" s="10" t="s">
        <v>24</v>
      </c>
      <c r="C59" s="10" t="s">
        <v>25</v>
      </c>
      <c r="D59" s="10" t="s">
        <v>27</v>
      </c>
      <c r="E59" s="11">
        <v>28.650015</v>
      </c>
      <c r="F59" s="11">
        <v>68</v>
      </c>
      <c r="G59" s="11">
        <v>8.3916159999999991</v>
      </c>
      <c r="H59">
        <v>93</v>
      </c>
      <c r="I59" t="s">
        <v>104</v>
      </c>
    </row>
    <row r="60" spans="1:9">
      <c r="A60" s="10" t="s">
        <v>23</v>
      </c>
      <c r="B60" s="10" t="s">
        <v>24</v>
      </c>
      <c r="C60" s="10" t="s">
        <v>11</v>
      </c>
      <c r="D60" s="10" t="s">
        <v>26</v>
      </c>
      <c r="E60" s="11">
        <v>28.762515</v>
      </c>
      <c r="F60" s="11">
        <v>87.636400000000009</v>
      </c>
      <c r="G60" s="11">
        <v>19.408961999999999</v>
      </c>
      <c r="H60">
        <v>105</v>
      </c>
      <c r="I60" t="s">
        <v>105</v>
      </c>
    </row>
    <row r="61" spans="1:9">
      <c r="A61" s="10" t="s">
        <v>29</v>
      </c>
      <c r="B61" s="10" t="s">
        <v>24</v>
      </c>
      <c r="C61" s="10" t="s">
        <v>11</v>
      </c>
      <c r="D61" s="10" t="s">
        <v>27</v>
      </c>
      <c r="E61" s="11">
        <v>29.550014999999998</v>
      </c>
      <c r="F61" s="11">
        <v>53.5</v>
      </c>
      <c r="G61" s="11">
        <v>14.500475</v>
      </c>
      <c r="H61">
        <v>101</v>
      </c>
      <c r="I61" t="s">
        <v>105</v>
      </c>
    </row>
    <row r="62" spans="1:9">
      <c r="A62" s="10" t="s">
        <v>29</v>
      </c>
      <c r="B62" s="10" t="s">
        <v>24</v>
      </c>
      <c r="C62" s="10" t="s">
        <v>11</v>
      </c>
      <c r="D62" s="10" t="s">
        <v>27</v>
      </c>
      <c r="E62" s="11">
        <v>29.475000000000001</v>
      </c>
      <c r="F62" s="11">
        <v>44.958300000000001</v>
      </c>
      <c r="G62" s="11">
        <v>20.624811000000001</v>
      </c>
      <c r="H62">
        <v>103</v>
      </c>
      <c r="I62" t="s">
        <v>105</v>
      </c>
    </row>
    <row r="63" spans="1:9">
      <c r="A63" s="10" t="s">
        <v>29</v>
      </c>
      <c r="B63" s="10" t="s">
        <v>24</v>
      </c>
      <c r="C63" s="10" t="s">
        <v>11</v>
      </c>
      <c r="D63" s="10" t="s">
        <v>27</v>
      </c>
      <c r="E63" s="11">
        <v>28.949985000000002</v>
      </c>
      <c r="F63" s="11">
        <v>31.833299999999998</v>
      </c>
      <c r="G63" s="11">
        <v>15.125518000000001</v>
      </c>
      <c r="H63">
        <v>95</v>
      </c>
      <c r="I63" t="s">
        <v>104</v>
      </c>
    </row>
    <row r="64" spans="1:9">
      <c r="A64" s="10" t="s">
        <v>29</v>
      </c>
      <c r="B64" s="10" t="s">
        <v>24</v>
      </c>
      <c r="C64" s="10" t="s">
        <v>11</v>
      </c>
      <c r="D64" s="10" t="s">
        <v>26</v>
      </c>
      <c r="E64" s="11">
        <v>30.112514999999998</v>
      </c>
      <c r="F64" s="11">
        <v>61.041699999999999</v>
      </c>
      <c r="G64" s="11">
        <v>13.624181999999999</v>
      </c>
      <c r="H64">
        <v>90</v>
      </c>
      <c r="I64" t="s">
        <v>104</v>
      </c>
    </row>
    <row r="65" spans="1:9">
      <c r="A65" s="10" t="s">
        <v>29</v>
      </c>
      <c r="B65" s="10" t="s">
        <v>24</v>
      </c>
      <c r="C65" s="10" t="s">
        <v>25</v>
      </c>
      <c r="D65" s="10" t="s">
        <v>26</v>
      </c>
      <c r="E65" s="11">
        <v>31.912514999999999</v>
      </c>
      <c r="F65" s="11">
        <v>78.916699999999992</v>
      </c>
      <c r="G65" s="11">
        <v>16.875357000000001</v>
      </c>
      <c r="H65">
        <v>98</v>
      </c>
      <c r="I65" t="s">
        <v>104</v>
      </c>
    </row>
    <row r="66" spans="1:9">
      <c r="A66" s="10" t="s">
        <v>29</v>
      </c>
      <c r="B66" s="10" t="s">
        <v>24</v>
      </c>
      <c r="C66" s="10" t="s">
        <v>25</v>
      </c>
      <c r="D66" s="10" t="s">
        <v>26</v>
      </c>
      <c r="E66" s="11">
        <v>30.299985</v>
      </c>
      <c r="F66" s="11">
        <v>94.826099999999997</v>
      </c>
      <c r="G66" s="11">
        <v>23.000229000000001</v>
      </c>
      <c r="H66">
        <v>67</v>
      </c>
      <c r="I66" t="s">
        <v>106</v>
      </c>
    </row>
    <row r="67" spans="1:9">
      <c r="A67" s="10" t="s">
        <v>29</v>
      </c>
      <c r="B67" s="10" t="s">
        <v>24</v>
      </c>
      <c r="C67" s="10" t="s">
        <v>11</v>
      </c>
      <c r="D67" s="10" t="s">
        <v>27</v>
      </c>
      <c r="E67" s="11">
        <v>24.3</v>
      </c>
      <c r="F67" s="11">
        <v>55.130400000000002</v>
      </c>
      <c r="G67" s="11">
        <v>22.870584000000001</v>
      </c>
      <c r="H67">
        <v>54</v>
      </c>
      <c r="I67" t="s">
        <v>106</v>
      </c>
    </row>
    <row r="68" spans="1:9">
      <c r="A68" s="10" t="s">
        <v>29</v>
      </c>
      <c r="B68" s="10" t="s">
        <v>24</v>
      </c>
      <c r="C68" s="10" t="s">
        <v>11</v>
      </c>
      <c r="D68" s="10" t="s">
        <v>27</v>
      </c>
      <c r="E68" s="11">
        <v>26.962515</v>
      </c>
      <c r="F68" s="11">
        <v>42.083300000000001</v>
      </c>
      <c r="G68" s="11">
        <v>8.0835499999999989</v>
      </c>
      <c r="H68">
        <v>40</v>
      </c>
      <c r="I68" t="s">
        <v>106</v>
      </c>
    </row>
    <row r="69" spans="1:9">
      <c r="A69" s="10" t="s">
        <v>29</v>
      </c>
      <c r="B69" s="10" t="s">
        <v>24</v>
      </c>
      <c r="C69" s="10" t="s">
        <v>11</v>
      </c>
      <c r="D69" s="10" t="s">
        <v>26</v>
      </c>
      <c r="E69" s="11">
        <v>28.526084999999998</v>
      </c>
      <c r="F69" s="11">
        <v>77.541700000000006</v>
      </c>
      <c r="G69" s="11">
        <v>14.750050000000002</v>
      </c>
      <c r="H69">
        <v>37</v>
      </c>
      <c r="I69" t="s">
        <v>107</v>
      </c>
    </row>
    <row r="70" spans="1:9">
      <c r="A70" s="10" t="s">
        <v>29</v>
      </c>
      <c r="B70" s="10" t="s">
        <v>24</v>
      </c>
      <c r="C70" s="10" t="s">
        <v>11</v>
      </c>
      <c r="D70" s="10" t="s">
        <v>28</v>
      </c>
      <c r="E70" s="11">
        <v>29.25</v>
      </c>
      <c r="F70" s="11">
        <v>0</v>
      </c>
      <c r="G70" s="11">
        <v>17.545759</v>
      </c>
      <c r="H70">
        <v>71</v>
      </c>
      <c r="I70" t="s">
        <v>104</v>
      </c>
    </row>
    <row r="71" spans="1:9">
      <c r="A71" s="10" t="s">
        <v>29</v>
      </c>
      <c r="B71" s="10" t="s">
        <v>24</v>
      </c>
      <c r="C71" s="10" t="s">
        <v>11</v>
      </c>
      <c r="D71" s="10" t="s">
        <v>26</v>
      </c>
      <c r="E71" s="11">
        <v>29.700000000000003</v>
      </c>
      <c r="F71" s="11">
        <v>64.956499999999991</v>
      </c>
      <c r="G71" s="11">
        <v>15.60899</v>
      </c>
      <c r="H71">
        <v>107</v>
      </c>
      <c r="I71" t="s">
        <v>105</v>
      </c>
    </row>
    <row r="72" spans="1:9">
      <c r="A72" s="10" t="s">
        <v>29</v>
      </c>
      <c r="B72" s="10" t="s">
        <v>24</v>
      </c>
      <c r="C72" s="10" t="s">
        <v>25</v>
      </c>
      <c r="D72" s="10" t="s">
        <v>27</v>
      </c>
      <c r="E72" s="11">
        <v>29.399985000000001</v>
      </c>
      <c r="F72" s="11">
        <v>59.458299999999994</v>
      </c>
      <c r="G72" s="11">
        <v>14.791924999999999</v>
      </c>
      <c r="H72">
        <v>101</v>
      </c>
      <c r="I72" t="s">
        <v>105</v>
      </c>
    </row>
    <row r="73" spans="1:9">
      <c r="A73" s="10" t="s">
        <v>29</v>
      </c>
      <c r="B73" s="10" t="s">
        <v>24</v>
      </c>
      <c r="C73" s="10" t="s">
        <v>25</v>
      </c>
      <c r="D73" s="10" t="s">
        <v>27</v>
      </c>
      <c r="E73" s="11">
        <v>28.995660000000001</v>
      </c>
      <c r="F73" s="11">
        <v>52.739100000000008</v>
      </c>
      <c r="G73" s="11">
        <v>18.130468</v>
      </c>
      <c r="H73">
        <v>94</v>
      </c>
      <c r="I73" t="s">
        <v>104</v>
      </c>
    </row>
    <row r="74" spans="1:9">
      <c r="A74" s="10" t="s">
        <v>29</v>
      </c>
      <c r="B74" s="10" t="s">
        <v>24</v>
      </c>
      <c r="C74" s="10" t="s">
        <v>11</v>
      </c>
      <c r="D74" s="10" t="s">
        <v>27</v>
      </c>
      <c r="E74" s="11">
        <v>29.287485</v>
      </c>
      <c r="F74" s="11">
        <v>49.695699999999995</v>
      </c>
      <c r="G74" s="11">
        <v>9.174042</v>
      </c>
      <c r="H74">
        <v>95</v>
      </c>
      <c r="I74" t="s">
        <v>104</v>
      </c>
    </row>
    <row r="75" spans="1:9">
      <c r="A75" s="10" t="s">
        <v>29</v>
      </c>
      <c r="B75" s="10" t="s">
        <v>24</v>
      </c>
      <c r="C75" s="10" t="s">
        <v>11</v>
      </c>
      <c r="D75" s="10" t="s">
        <v>26</v>
      </c>
      <c r="E75" s="11">
        <v>30.299985</v>
      </c>
      <c r="F75" s="11">
        <v>65.565200000000004</v>
      </c>
      <c r="G75" s="11">
        <v>12.348703</v>
      </c>
      <c r="H75">
        <v>96</v>
      </c>
      <c r="I75" t="s">
        <v>104</v>
      </c>
    </row>
    <row r="76" spans="1:9">
      <c r="A76" s="10" t="s">
        <v>29</v>
      </c>
      <c r="B76" s="10" t="s">
        <v>24</v>
      </c>
      <c r="C76" s="10" t="s">
        <v>11</v>
      </c>
      <c r="D76" s="10" t="s">
        <v>26</v>
      </c>
      <c r="E76" s="11">
        <v>25.987500000000001</v>
      </c>
      <c r="F76" s="11">
        <v>77.652200000000008</v>
      </c>
      <c r="G76" s="11">
        <v>13.608839</v>
      </c>
      <c r="H76">
        <v>74</v>
      </c>
      <c r="I76" t="s">
        <v>104</v>
      </c>
    </row>
    <row r="77" spans="1:9">
      <c r="A77" s="10" t="s">
        <v>29</v>
      </c>
      <c r="B77" s="10" t="s">
        <v>24</v>
      </c>
      <c r="C77" s="10" t="s">
        <v>11</v>
      </c>
      <c r="D77" s="10" t="s">
        <v>27</v>
      </c>
      <c r="E77" s="11">
        <v>21.112514999999998</v>
      </c>
      <c r="F77" s="11">
        <v>60.291700000000006</v>
      </c>
      <c r="G77" s="11">
        <v>14.041792999999998</v>
      </c>
      <c r="H77">
        <v>95</v>
      </c>
      <c r="I77" t="s">
        <v>104</v>
      </c>
    </row>
    <row r="78" spans="1:9">
      <c r="A78" s="10" t="s">
        <v>29</v>
      </c>
      <c r="B78" s="10" t="s">
        <v>24</v>
      </c>
      <c r="C78" s="10" t="s">
        <v>11</v>
      </c>
      <c r="D78" s="10" t="s">
        <v>27</v>
      </c>
      <c r="E78" s="11">
        <v>22.125015000000001</v>
      </c>
      <c r="F78" s="11">
        <v>52.521700000000003</v>
      </c>
      <c r="G78" s="11">
        <v>15.478139000000001</v>
      </c>
      <c r="H78">
        <v>91</v>
      </c>
      <c r="I78" t="s">
        <v>104</v>
      </c>
    </row>
    <row r="79" spans="1:9">
      <c r="A79" s="10" t="s">
        <v>29</v>
      </c>
      <c r="B79" s="10" t="s">
        <v>24</v>
      </c>
      <c r="C79" s="10" t="s">
        <v>25</v>
      </c>
      <c r="D79" s="10" t="s">
        <v>27</v>
      </c>
      <c r="E79" s="11">
        <v>22.837499999999999</v>
      </c>
      <c r="F79" s="11">
        <v>37.916699999999999</v>
      </c>
      <c r="G79" s="11">
        <v>24.667189</v>
      </c>
      <c r="H79">
        <v>85</v>
      </c>
      <c r="I79" t="s">
        <v>104</v>
      </c>
    </row>
    <row r="80" spans="1:9">
      <c r="A80" s="10" t="s">
        <v>29</v>
      </c>
      <c r="B80" s="10" t="s">
        <v>24</v>
      </c>
      <c r="C80" s="10" t="s">
        <v>25</v>
      </c>
      <c r="D80" s="10" t="s">
        <v>27</v>
      </c>
      <c r="E80" s="11">
        <v>24.712515</v>
      </c>
      <c r="F80" s="11">
        <v>47.375</v>
      </c>
      <c r="G80" s="11">
        <v>13.917306999999999</v>
      </c>
      <c r="H80">
        <v>91</v>
      </c>
      <c r="I80" t="s">
        <v>104</v>
      </c>
    </row>
    <row r="81" spans="1:9">
      <c r="A81" s="10" t="s">
        <v>29</v>
      </c>
      <c r="B81" s="10" t="s">
        <v>24</v>
      </c>
      <c r="C81" s="10" t="s">
        <v>11</v>
      </c>
      <c r="D81" s="10" t="s">
        <v>26</v>
      </c>
      <c r="E81" s="11">
        <v>25.275015</v>
      </c>
      <c r="F81" s="11">
        <v>73.739100000000008</v>
      </c>
      <c r="G81" s="11">
        <v>19.348461</v>
      </c>
      <c r="H81">
        <v>73</v>
      </c>
      <c r="I81" t="s">
        <v>104</v>
      </c>
    </row>
    <row r="82" spans="1:9">
      <c r="A82" s="10" t="s">
        <v>29</v>
      </c>
      <c r="B82" s="10" t="s">
        <v>24</v>
      </c>
      <c r="C82" s="10" t="s">
        <v>11</v>
      </c>
      <c r="D82" s="10" t="s">
        <v>27</v>
      </c>
      <c r="E82" s="11">
        <v>26.774999999999999</v>
      </c>
      <c r="F82" s="11">
        <v>62.458300000000001</v>
      </c>
      <c r="G82" s="11">
        <v>15.125250000000001</v>
      </c>
      <c r="H82">
        <v>87</v>
      </c>
      <c r="I82" t="s">
        <v>104</v>
      </c>
    </row>
    <row r="83" spans="1:9">
      <c r="A83" s="10" t="s">
        <v>29</v>
      </c>
      <c r="B83" s="10" t="s">
        <v>24</v>
      </c>
      <c r="C83" s="10" t="s">
        <v>11</v>
      </c>
      <c r="D83" s="10" t="s">
        <v>26</v>
      </c>
      <c r="E83" s="11">
        <v>28.274985000000001</v>
      </c>
      <c r="F83" s="11">
        <v>83.956500000000005</v>
      </c>
      <c r="G83" s="11">
        <v>15.695487</v>
      </c>
      <c r="H83">
        <v>96</v>
      </c>
      <c r="I83" t="s">
        <v>104</v>
      </c>
    </row>
    <row r="84" spans="1:9">
      <c r="A84" s="10" t="s">
        <v>29</v>
      </c>
      <c r="B84" s="10" t="s">
        <v>24</v>
      </c>
      <c r="C84" s="10" t="s">
        <v>11</v>
      </c>
      <c r="D84" s="10" t="s">
        <v>26</v>
      </c>
      <c r="E84" s="11">
        <v>27.412514999999999</v>
      </c>
      <c r="F84" s="11">
        <v>80.583300000000008</v>
      </c>
      <c r="G84" s="11">
        <v>16.333729000000002</v>
      </c>
      <c r="H84">
        <v>48</v>
      </c>
      <c r="I84" t="s">
        <v>106</v>
      </c>
    </row>
    <row r="85" spans="1:9">
      <c r="A85" s="10" t="s">
        <v>29</v>
      </c>
      <c r="B85" s="10" t="s">
        <v>24</v>
      </c>
      <c r="C85" s="10" t="s">
        <v>11</v>
      </c>
      <c r="D85" s="10" t="s">
        <v>27</v>
      </c>
      <c r="E85" s="11">
        <v>27.300014999999998</v>
      </c>
      <c r="F85" s="11">
        <v>49.5</v>
      </c>
      <c r="G85" s="11">
        <v>15.458575000000002</v>
      </c>
      <c r="H85">
        <v>109</v>
      </c>
      <c r="I85" t="s">
        <v>105</v>
      </c>
    </row>
    <row r="86" spans="1:9">
      <c r="A86" s="10" t="s">
        <v>29</v>
      </c>
      <c r="B86" s="10" t="s">
        <v>24</v>
      </c>
      <c r="C86" s="10" t="s">
        <v>25</v>
      </c>
      <c r="D86" s="10" t="s">
        <v>27</v>
      </c>
      <c r="E86" s="11">
        <v>28.537515000000003</v>
      </c>
      <c r="F86" s="11">
        <v>39.416699999999999</v>
      </c>
      <c r="G86" s="11">
        <v>14.041257</v>
      </c>
      <c r="H86">
        <v>100</v>
      </c>
      <c r="I86" t="s">
        <v>105</v>
      </c>
    </row>
    <row r="87" spans="1:9">
      <c r="A87" s="10" t="s">
        <v>29</v>
      </c>
      <c r="B87" s="10" t="s">
        <v>24</v>
      </c>
      <c r="C87" s="10" t="s">
        <v>25</v>
      </c>
      <c r="D87" s="10" t="s">
        <v>26</v>
      </c>
      <c r="E87" s="11">
        <v>29.212515000000003</v>
      </c>
      <c r="F87" s="11">
        <v>49.391300000000001</v>
      </c>
      <c r="G87" s="11">
        <v>12.348099999999999</v>
      </c>
      <c r="H87">
        <v>93</v>
      </c>
      <c r="I87" t="s">
        <v>104</v>
      </c>
    </row>
    <row r="88" spans="1:9">
      <c r="A88" s="10" t="s">
        <v>29</v>
      </c>
      <c r="B88" s="10" t="s">
        <v>24</v>
      </c>
      <c r="C88" s="10" t="s">
        <v>11</v>
      </c>
      <c r="D88" s="10" t="s">
        <v>27</v>
      </c>
      <c r="E88" s="11">
        <v>28.650015</v>
      </c>
      <c r="F88" s="11">
        <v>30.217400000000001</v>
      </c>
      <c r="G88" s="11">
        <v>14.217668</v>
      </c>
      <c r="H88">
        <v>83</v>
      </c>
      <c r="I88" t="s">
        <v>104</v>
      </c>
    </row>
    <row r="89" spans="1:9">
      <c r="A89" s="10" t="s">
        <v>29</v>
      </c>
      <c r="B89" s="10" t="s">
        <v>24</v>
      </c>
      <c r="C89" s="10" t="s">
        <v>11</v>
      </c>
      <c r="D89" s="10" t="s">
        <v>27</v>
      </c>
      <c r="E89" s="11">
        <v>28.574999999999999</v>
      </c>
      <c r="F89" s="11">
        <v>31.416699999999999</v>
      </c>
      <c r="G89" s="11">
        <v>15.208731999999999</v>
      </c>
      <c r="H89">
        <v>79</v>
      </c>
      <c r="I89" t="s">
        <v>104</v>
      </c>
    </row>
    <row r="90" spans="1:9">
      <c r="A90" s="10" t="s">
        <v>29</v>
      </c>
      <c r="B90" s="10" t="s">
        <v>24</v>
      </c>
      <c r="C90" s="10" t="s">
        <v>11</v>
      </c>
      <c r="D90" s="10" t="s">
        <v>26</v>
      </c>
      <c r="E90" s="11">
        <v>27.750014999999998</v>
      </c>
      <c r="F90" s="11">
        <v>64.666700000000006</v>
      </c>
      <c r="G90" s="11">
        <v>11.583495999999998</v>
      </c>
      <c r="H90">
        <v>97</v>
      </c>
      <c r="I90" t="s">
        <v>104</v>
      </c>
    </row>
    <row r="91" spans="1:9">
      <c r="A91" s="10" t="s">
        <v>29</v>
      </c>
      <c r="B91" s="10" t="s">
        <v>24</v>
      </c>
      <c r="C91" s="10" t="s">
        <v>11</v>
      </c>
      <c r="D91" s="10" t="s">
        <v>28</v>
      </c>
      <c r="E91" s="11">
        <v>25.387515</v>
      </c>
      <c r="F91" s="11">
        <v>91.833299999999994</v>
      </c>
      <c r="G91" s="11">
        <v>14.582282000000001</v>
      </c>
      <c r="H91">
        <v>104</v>
      </c>
      <c r="I91" t="s">
        <v>105</v>
      </c>
    </row>
    <row r="92" spans="1:9">
      <c r="A92" s="10" t="s">
        <v>29</v>
      </c>
      <c r="B92" s="10" t="s">
        <v>24</v>
      </c>
      <c r="C92" s="10" t="s">
        <v>11</v>
      </c>
      <c r="D92" s="10" t="s">
        <v>26</v>
      </c>
      <c r="E92" s="11">
        <v>18.45</v>
      </c>
      <c r="F92" s="11">
        <v>68.625</v>
      </c>
      <c r="G92" s="11">
        <v>17.333435999999999</v>
      </c>
      <c r="H92">
        <v>49</v>
      </c>
      <c r="I92" t="s">
        <v>106</v>
      </c>
    </row>
    <row r="93" spans="1:9">
      <c r="A93" s="10" t="s">
        <v>29</v>
      </c>
      <c r="B93" s="10" t="s">
        <v>24</v>
      </c>
      <c r="C93" s="10" t="s">
        <v>25</v>
      </c>
      <c r="D93" s="10" t="s">
        <v>26</v>
      </c>
      <c r="E93" s="11">
        <v>16.050015000000002</v>
      </c>
      <c r="F93" s="11">
        <v>65.375</v>
      </c>
      <c r="G93" s="11">
        <v>13.208781999999999</v>
      </c>
      <c r="H93">
        <v>58</v>
      </c>
      <c r="I93" t="s">
        <v>106</v>
      </c>
    </row>
    <row r="94" spans="1:9">
      <c r="A94" s="10" t="s">
        <v>29</v>
      </c>
      <c r="B94" s="10" t="s">
        <v>24</v>
      </c>
      <c r="C94" s="10" t="s">
        <v>25</v>
      </c>
      <c r="D94" s="10" t="s">
        <v>27</v>
      </c>
      <c r="E94" s="11">
        <v>17.287514999999999</v>
      </c>
      <c r="F94" s="11">
        <v>48</v>
      </c>
      <c r="G94" s="11">
        <v>12.208271000000002</v>
      </c>
      <c r="H94">
        <v>72</v>
      </c>
      <c r="I94" t="s">
        <v>104</v>
      </c>
    </row>
    <row r="95" spans="1:9">
      <c r="A95" s="10" t="s">
        <v>29</v>
      </c>
      <c r="B95" s="10" t="s">
        <v>24</v>
      </c>
      <c r="C95" s="10" t="s">
        <v>11</v>
      </c>
      <c r="D95" s="10" t="s">
        <v>27</v>
      </c>
      <c r="E95" s="11">
        <v>21.787514999999999</v>
      </c>
      <c r="F95" s="11">
        <v>42.625</v>
      </c>
      <c r="G95" s="11">
        <v>25.833257</v>
      </c>
      <c r="H95">
        <v>89</v>
      </c>
      <c r="I95" t="s">
        <v>104</v>
      </c>
    </row>
    <row r="96" spans="1:9">
      <c r="A96" s="10" t="s">
        <v>29</v>
      </c>
      <c r="B96" s="10" t="s">
        <v>24</v>
      </c>
      <c r="C96" s="10" t="s">
        <v>11</v>
      </c>
      <c r="D96" s="10" t="s">
        <v>26</v>
      </c>
      <c r="E96" s="11">
        <v>24.224984999999997</v>
      </c>
      <c r="F96" s="11">
        <v>64.208299999999994</v>
      </c>
      <c r="G96" s="11">
        <v>26.000488999999998</v>
      </c>
      <c r="H96">
        <v>96</v>
      </c>
      <c r="I96" t="s">
        <v>104</v>
      </c>
    </row>
    <row r="97" spans="1:9">
      <c r="A97" s="10" t="s">
        <v>29</v>
      </c>
      <c r="B97" s="10" t="s">
        <v>24</v>
      </c>
      <c r="C97" s="10" t="s">
        <v>11</v>
      </c>
      <c r="D97" s="10" t="s">
        <v>27</v>
      </c>
      <c r="E97" s="11">
        <v>22.237515000000002</v>
      </c>
      <c r="F97" s="11">
        <v>47.083300000000001</v>
      </c>
      <c r="G97" s="11">
        <v>17.625221</v>
      </c>
      <c r="H97">
        <v>96</v>
      </c>
      <c r="I97" t="s">
        <v>104</v>
      </c>
    </row>
    <row r="98" spans="1:9">
      <c r="A98" s="10" t="s">
        <v>29</v>
      </c>
      <c r="B98" s="10" t="s">
        <v>24</v>
      </c>
      <c r="C98" s="10" t="s">
        <v>11</v>
      </c>
      <c r="D98" s="10" t="s">
        <v>27</v>
      </c>
      <c r="E98" s="11">
        <v>22.987485</v>
      </c>
      <c r="F98" s="11">
        <v>60.291700000000006</v>
      </c>
      <c r="G98" s="11">
        <v>10.874904000000001</v>
      </c>
      <c r="H98">
        <v>100</v>
      </c>
      <c r="I98" t="s">
        <v>105</v>
      </c>
    </row>
    <row r="99" spans="1:9">
      <c r="A99" s="10" t="s">
        <v>29</v>
      </c>
      <c r="B99" s="10" t="s">
        <v>24</v>
      </c>
      <c r="C99" s="10" t="s">
        <v>11</v>
      </c>
      <c r="D99" s="10" t="s">
        <v>26</v>
      </c>
      <c r="E99" s="11">
        <v>23.475014999999999</v>
      </c>
      <c r="F99" s="11">
        <v>83.625</v>
      </c>
      <c r="G99" s="11">
        <v>15.208463999999999</v>
      </c>
      <c r="H99">
        <v>108</v>
      </c>
      <c r="I99" t="s">
        <v>105</v>
      </c>
    </row>
    <row r="100" spans="1:9">
      <c r="A100" s="10" t="s">
        <v>29</v>
      </c>
      <c r="B100" s="10" t="s">
        <v>24</v>
      </c>
      <c r="C100" s="10" t="s">
        <v>25</v>
      </c>
      <c r="D100" s="10" t="s">
        <v>26</v>
      </c>
      <c r="E100" s="11">
        <v>24.337485000000001</v>
      </c>
      <c r="F100" s="11">
        <v>87.75</v>
      </c>
      <c r="G100" s="11">
        <v>8.9165609999999997</v>
      </c>
      <c r="H100">
        <v>110</v>
      </c>
      <c r="I100" t="s">
        <v>105</v>
      </c>
    </row>
    <row r="101" spans="1:9">
      <c r="A101" s="10" t="s">
        <v>29</v>
      </c>
      <c r="B101" s="10" t="s">
        <v>24</v>
      </c>
      <c r="C101" s="10" t="s">
        <v>25</v>
      </c>
      <c r="D101" s="10" t="s">
        <v>26</v>
      </c>
      <c r="E101" s="11">
        <v>25.687485000000002</v>
      </c>
      <c r="F101" s="11">
        <v>85.75</v>
      </c>
      <c r="G101" s="11">
        <v>9.8333890000000004</v>
      </c>
      <c r="H101">
        <v>102</v>
      </c>
      <c r="I101" t="s">
        <v>105</v>
      </c>
    </row>
    <row r="102" spans="1:9">
      <c r="A102" s="10" t="s">
        <v>29</v>
      </c>
      <c r="B102" s="10" t="s">
        <v>24</v>
      </c>
      <c r="C102" s="10" t="s">
        <v>11</v>
      </c>
      <c r="D102" s="10" t="s">
        <v>26</v>
      </c>
      <c r="E102" s="11">
        <v>25.500015000000001</v>
      </c>
      <c r="F102" s="11">
        <v>71.695599999999999</v>
      </c>
      <c r="G102" s="11">
        <v>21.739757999999998</v>
      </c>
      <c r="H102">
        <v>91</v>
      </c>
      <c r="I102" t="s">
        <v>104</v>
      </c>
    </row>
    <row r="103" spans="1:9">
      <c r="A103" s="10" t="s">
        <v>29</v>
      </c>
      <c r="B103" s="10" t="s">
        <v>24</v>
      </c>
      <c r="C103" s="10" t="s">
        <v>11</v>
      </c>
      <c r="D103" s="10" t="s">
        <v>26</v>
      </c>
      <c r="E103" s="11">
        <v>24.449984999999998</v>
      </c>
      <c r="F103" s="11">
        <v>73.916700000000006</v>
      </c>
      <c r="G103" s="11">
        <v>18.416892999999998</v>
      </c>
      <c r="H103">
        <v>48</v>
      </c>
      <c r="I103" t="s">
        <v>106</v>
      </c>
    </row>
    <row r="104" spans="1:9">
      <c r="A104" s="10" t="s">
        <v>29</v>
      </c>
      <c r="B104" s="10" t="s">
        <v>24</v>
      </c>
      <c r="C104" s="10" t="s">
        <v>11</v>
      </c>
      <c r="D104" s="10" t="s">
        <v>26</v>
      </c>
      <c r="E104" s="11">
        <v>26.512515</v>
      </c>
      <c r="F104" s="11">
        <v>81.916699999999992</v>
      </c>
      <c r="G104" s="11">
        <v>16.791338999999997</v>
      </c>
      <c r="H104">
        <v>58</v>
      </c>
      <c r="I104" t="s">
        <v>106</v>
      </c>
    </row>
    <row r="105" spans="1:9">
      <c r="A105" s="10" t="s">
        <v>29</v>
      </c>
      <c r="B105" s="10" t="s">
        <v>24</v>
      </c>
      <c r="C105" s="10" t="s">
        <v>11</v>
      </c>
      <c r="D105" s="10" t="s">
        <v>27</v>
      </c>
      <c r="E105" s="11">
        <v>24.787485</v>
      </c>
      <c r="F105" s="11">
        <v>54.041700000000006</v>
      </c>
      <c r="G105" s="11">
        <v>7.4169</v>
      </c>
      <c r="H105">
        <v>73</v>
      </c>
      <c r="I105" t="s">
        <v>104</v>
      </c>
    </row>
    <row r="106" spans="1:9">
      <c r="A106" s="10" t="s">
        <v>29</v>
      </c>
      <c r="B106" s="10" t="s">
        <v>7</v>
      </c>
      <c r="C106" s="10" t="s">
        <v>25</v>
      </c>
      <c r="D106" s="10" t="s">
        <v>27</v>
      </c>
      <c r="E106" s="11">
        <v>22.800014999999998</v>
      </c>
      <c r="F106" s="11">
        <v>67.125</v>
      </c>
      <c r="G106" s="11">
        <v>15.167124999999999</v>
      </c>
      <c r="H106">
        <v>104</v>
      </c>
      <c r="I106" t="s">
        <v>105</v>
      </c>
    </row>
    <row r="107" spans="1:9">
      <c r="A107" s="10" t="s">
        <v>29</v>
      </c>
      <c r="B107" s="10" t="s">
        <v>24</v>
      </c>
      <c r="C107" s="10" t="s">
        <v>25</v>
      </c>
      <c r="D107" s="10" t="s">
        <v>28</v>
      </c>
      <c r="E107" s="11">
        <v>23.025015</v>
      </c>
      <c r="F107" s="11">
        <v>88.833300000000008</v>
      </c>
      <c r="G107" s="11">
        <v>22.834136000000001</v>
      </c>
      <c r="H107">
        <v>101</v>
      </c>
      <c r="I107" t="s">
        <v>105</v>
      </c>
    </row>
    <row r="108" spans="1:9">
      <c r="A108" s="10" t="s">
        <v>29</v>
      </c>
      <c r="B108" s="10" t="s">
        <v>24</v>
      </c>
      <c r="C108" s="10" t="s">
        <v>25</v>
      </c>
      <c r="D108" s="10" t="s">
        <v>27</v>
      </c>
      <c r="E108" s="11">
        <v>24.037514999999999</v>
      </c>
      <c r="F108" s="11">
        <v>47.958300000000001</v>
      </c>
      <c r="G108" s="11">
        <v>20.334232</v>
      </c>
      <c r="H108">
        <v>91</v>
      </c>
      <c r="I108" t="s">
        <v>104</v>
      </c>
    </row>
    <row r="109" spans="1:9">
      <c r="A109" s="10" t="s">
        <v>29</v>
      </c>
      <c r="B109" s="10" t="s">
        <v>24</v>
      </c>
      <c r="C109" s="10" t="s">
        <v>11</v>
      </c>
      <c r="D109" s="10" t="s">
        <v>27</v>
      </c>
      <c r="E109" s="11">
        <v>23.962499999999999</v>
      </c>
      <c r="F109" s="11">
        <v>54.25</v>
      </c>
      <c r="G109" s="11">
        <v>10.958988999999999</v>
      </c>
      <c r="H109">
        <v>95</v>
      </c>
      <c r="I109" t="s">
        <v>104</v>
      </c>
    </row>
    <row r="110" spans="1:9">
      <c r="A110" s="10" t="s">
        <v>29</v>
      </c>
      <c r="B110" s="10" t="s">
        <v>24</v>
      </c>
      <c r="C110" s="10" t="s">
        <v>11</v>
      </c>
      <c r="D110" s="10" t="s">
        <v>26</v>
      </c>
      <c r="E110" s="11">
        <v>24.378254999999999</v>
      </c>
      <c r="F110" s="11">
        <v>66.583299999999994</v>
      </c>
      <c r="G110" s="11">
        <v>10.584057</v>
      </c>
      <c r="H110">
        <v>48</v>
      </c>
      <c r="I110" t="s">
        <v>106</v>
      </c>
    </row>
    <row r="111" spans="1:9">
      <c r="A111" s="10" t="s">
        <v>29</v>
      </c>
      <c r="B111" s="10" t="s">
        <v>24</v>
      </c>
      <c r="C111" s="10" t="s">
        <v>11</v>
      </c>
      <c r="D111" s="10" t="s">
        <v>27</v>
      </c>
      <c r="E111" s="11">
        <v>21.412485</v>
      </c>
      <c r="F111" s="11">
        <v>61.416699999999999</v>
      </c>
      <c r="G111" s="11">
        <v>16.208974999999999</v>
      </c>
      <c r="H111">
        <v>83</v>
      </c>
      <c r="I111" t="s">
        <v>104</v>
      </c>
    </row>
    <row r="112" spans="1:9">
      <c r="A112" s="10" t="s">
        <v>29</v>
      </c>
      <c r="B112" s="10" t="s">
        <v>24</v>
      </c>
      <c r="C112" s="10" t="s">
        <v>11</v>
      </c>
      <c r="D112" s="10" t="s">
        <v>27</v>
      </c>
      <c r="E112" s="11">
        <v>19.237500000000001</v>
      </c>
      <c r="F112" s="11">
        <v>40.708299999999994</v>
      </c>
      <c r="G112" s="11">
        <v>21.792286000000001</v>
      </c>
      <c r="H112">
        <v>87</v>
      </c>
      <c r="I112" t="s">
        <v>104</v>
      </c>
    </row>
    <row r="113" spans="1:9">
      <c r="A113" s="10" t="s">
        <v>29</v>
      </c>
      <c r="B113" s="10" t="s">
        <v>24</v>
      </c>
      <c r="C113" s="10" t="s">
        <v>11</v>
      </c>
      <c r="D113" s="10" t="s">
        <v>26</v>
      </c>
      <c r="E113" s="11">
        <v>19.012499999999999</v>
      </c>
      <c r="F113" s="11">
        <v>72.958299999999994</v>
      </c>
      <c r="G113" s="11">
        <v>14.707906999999999</v>
      </c>
      <c r="H113">
        <v>86</v>
      </c>
      <c r="I113" t="s">
        <v>104</v>
      </c>
    </row>
    <row r="114" spans="1:9">
      <c r="A114" s="10" t="s">
        <v>29</v>
      </c>
      <c r="B114" s="10" t="s">
        <v>24</v>
      </c>
      <c r="C114" s="10" t="s">
        <v>25</v>
      </c>
      <c r="D114" s="10" t="s">
        <v>26</v>
      </c>
      <c r="E114" s="11">
        <v>18.975014999999999</v>
      </c>
      <c r="F114" s="11">
        <v>88.791699999999992</v>
      </c>
      <c r="G114" s="11">
        <v>15.458575000000002</v>
      </c>
      <c r="H114">
        <v>87</v>
      </c>
      <c r="I114" t="s">
        <v>104</v>
      </c>
    </row>
    <row r="115" spans="1:9">
      <c r="A115" s="10" t="s">
        <v>29</v>
      </c>
      <c r="B115" s="10" t="s">
        <v>24</v>
      </c>
      <c r="C115" s="10" t="s">
        <v>25</v>
      </c>
      <c r="D115" s="10" t="s">
        <v>26</v>
      </c>
      <c r="E115" s="11">
        <v>20.849985</v>
      </c>
      <c r="F115" s="11">
        <v>81.083300000000008</v>
      </c>
      <c r="G115" s="11">
        <v>12.875725000000001</v>
      </c>
      <c r="H115">
        <v>84</v>
      </c>
      <c r="I115" t="s">
        <v>104</v>
      </c>
    </row>
    <row r="116" spans="1:9">
      <c r="A116" s="10" t="s">
        <v>29</v>
      </c>
      <c r="B116" s="10" t="s">
        <v>24</v>
      </c>
      <c r="C116" s="10" t="s">
        <v>11</v>
      </c>
      <c r="D116" s="10" t="s">
        <v>27</v>
      </c>
      <c r="E116" s="11">
        <v>21.225014999999999</v>
      </c>
      <c r="F116" s="11">
        <v>77.666700000000006</v>
      </c>
      <c r="G116" s="11">
        <v>12.417311</v>
      </c>
      <c r="H116">
        <v>94</v>
      </c>
      <c r="I116" t="s">
        <v>104</v>
      </c>
    </row>
    <row r="117" spans="1:9">
      <c r="A117" s="10" t="s">
        <v>29</v>
      </c>
      <c r="B117" s="10" t="s">
        <v>24</v>
      </c>
      <c r="C117" s="10" t="s">
        <v>11</v>
      </c>
      <c r="D117" s="10" t="s">
        <v>27</v>
      </c>
      <c r="E117" s="11">
        <v>21.787514999999999</v>
      </c>
      <c r="F117" s="11">
        <v>72.916700000000006</v>
      </c>
      <c r="G117" s="11">
        <v>21.875500000000002</v>
      </c>
      <c r="H117">
        <v>78</v>
      </c>
      <c r="I117" t="s">
        <v>104</v>
      </c>
    </row>
    <row r="118" spans="1:9">
      <c r="A118" s="10" t="s">
        <v>29</v>
      </c>
      <c r="B118" s="10" t="s">
        <v>24</v>
      </c>
      <c r="C118" s="10" t="s">
        <v>11</v>
      </c>
      <c r="D118" s="10" t="s">
        <v>26</v>
      </c>
      <c r="E118" s="11">
        <v>21.15</v>
      </c>
      <c r="F118" s="11">
        <v>83.541699999999992</v>
      </c>
      <c r="G118" s="11">
        <v>20.917399999999997</v>
      </c>
      <c r="H118">
        <v>53</v>
      </c>
      <c r="I118" t="s">
        <v>106</v>
      </c>
    </row>
    <row r="119" spans="1:9">
      <c r="A119" s="10" t="s">
        <v>29</v>
      </c>
      <c r="B119" s="10" t="s">
        <v>24</v>
      </c>
      <c r="C119" s="10" t="s">
        <v>11</v>
      </c>
      <c r="D119" s="10" t="s">
        <v>26</v>
      </c>
      <c r="E119" s="11">
        <v>14.887485</v>
      </c>
      <c r="F119" s="11">
        <v>70.083300000000008</v>
      </c>
      <c r="G119" s="11">
        <v>21.500836000000003</v>
      </c>
      <c r="H119">
        <v>75</v>
      </c>
      <c r="I119" t="s">
        <v>104</v>
      </c>
    </row>
    <row r="120" spans="1:9">
      <c r="A120" s="10" t="s">
        <v>29</v>
      </c>
      <c r="B120" s="10" t="s">
        <v>24</v>
      </c>
      <c r="C120" s="10" t="s">
        <v>11</v>
      </c>
      <c r="D120" s="10" t="s">
        <v>27</v>
      </c>
      <c r="E120" s="11">
        <v>11.437514999999999</v>
      </c>
      <c r="F120" s="11">
        <v>45.708300000000001</v>
      </c>
      <c r="G120" s="11">
        <v>16.084220999999999</v>
      </c>
      <c r="H120">
        <v>12</v>
      </c>
      <c r="I120" t="s">
        <v>107</v>
      </c>
    </row>
    <row r="121" spans="1:9">
      <c r="A121" s="10" t="s">
        <v>29</v>
      </c>
      <c r="B121" s="10" t="s">
        <v>24</v>
      </c>
      <c r="C121" s="10" t="s">
        <v>25</v>
      </c>
      <c r="D121" s="10" t="s">
        <v>27</v>
      </c>
      <c r="E121" s="11">
        <v>14.362514999999998</v>
      </c>
      <c r="F121" s="11">
        <v>50.333300000000001</v>
      </c>
      <c r="G121" s="11">
        <v>15.750025000000001</v>
      </c>
      <c r="H121">
        <v>67</v>
      </c>
      <c r="I121" t="s">
        <v>106</v>
      </c>
    </row>
    <row r="122" spans="1:9">
      <c r="A122" s="10" t="s">
        <v>29</v>
      </c>
      <c r="B122" s="10" t="s">
        <v>24</v>
      </c>
      <c r="C122" s="10" t="s">
        <v>25</v>
      </c>
      <c r="D122" s="10" t="s">
        <v>26</v>
      </c>
      <c r="E122" s="11">
        <v>15.3</v>
      </c>
      <c r="F122" s="11">
        <v>76.208299999999994</v>
      </c>
      <c r="G122" s="11">
        <v>7.125718</v>
      </c>
      <c r="H122">
        <v>73</v>
      </c>
      <c r="I122" t="s">
        <v>104</v>
      </c>
    </row>
    <row r="123" spans="1:9">
      <c r="A123" s="10" t="s">
        <v>29</v>
      </c>
      <c r="B123" s="10" t="s">
        <v>24</v>
      </c>
      <c r="C123" s="10" t="s">
        <v>11</v>
      </c>
      <c r="D123" s="10" t="s">
        <v>26</v>
      </c>
      <c r="E123" s="11">
        <v>18.037485</v>
      </c>
      <c r="F123" s="11">
        <v>73</v>
      </c>
      <c r="G123" s="11">
        <v>12.291418</v>
      </c>
      <c r="H123">
        <v>81</v>
      </c>
      <c r="I123" t="s">
        <v>104</v>
      </c>
    </row>
    <row r="124" spans="1:9">
      <c r="A124" s="10" t="s">
        <v>29</v>
      </c>
      <c r="B124" s="10" t="s">
        <v>24</v>
      </c>
      <c r="C124" s="10" t="s">
        <v>11</v>
      </c>
      <c r="D124" s="10" t="s">
        <v>26</v>
      </c>
      <c r="E124" s="11">
        <v>16.987500000000001</v>
      </c>
      <c r="F124" s="11">
        <v>69.708299999999994</v>
      </c>
      <c r="G124" s="11">
        <v>22.958689</v>
      </c>
      <c r="H124">
        <v>83</v>
      </c>
      <c r="I124" t="s">
        <v>104</v>
      </c>
    </row>
    <row r="125" spans="1:9">
      <c r="A125" s="10" t="s">
        <v>29</v>
      </c>
      <c r="B125" s="10" t="s">
        <v>24</v>
      </c>
      <c r="C125" s="10" t="s">
        <v>11</v>
      </c>
      <c r="D125" s="10" t="s">
        <v>26</v>
      </c>
      <c r="E125" s="11">
        <v>18.374984999999999</v>
      </c>
      <c r="F125" s="11">
        <v>73.708300000000008</v>
      </c>
      <c r="G125" s="11">
        <v>22.042732000000001</v>
      </c>
      <c r="H125">
        <v>79</v>
      </c>
      <c r="I125" t="s">
        <v>104</v>
      </c>
    </row>
    <row r="126" spans="1:9">
      <c r="A126" s="10" t="s">
        <v>29</v>
      </c>
      <c r="B126" s="10" t="s">
        <v>24</v>
      </c>
      <c r="C126" s="10" t="s">
        <v>11</v>
      </c>
      <c r="D126" s="10" t="s">
        <v>27</v>
      </c>
      <c r="E126" s="11">
        <v>18.149985000000001</v>
      </c>
      <c r="F126" s="11">
        <v>44.416699999999999</v>
      </c>
      <c r="G126" s="11">
        <v>19.791263999999998</v>
      </c>
      <c r="H126">
        <v>81</v>
      </c>
      <c r="I126" t="s">
        <v>104</v>
      </c>
    </row>
    <row r="127" spans="1:9">
      <c r="A127" s="10" t="s">
        <v>29</v>
      </c>
      <c r="B127" s="10" t="s">
        <v>24</v>
      </c>
      <c r="C127" s="10" t="s">
        <v>11</v>
      </c>
      <c r="D127" s="10" t="s">
        <v>27</v>
      </c>
      <c r="E127" s="11">
        <v>14.700014999999999</v>
      </c>
      <c r="F127" s="11">
        <v>59</v>
      </c>
      <c r="G127" s="11">
        <v>15.292482</v>
      </c>
      <c r="H127">
        <v>78</v>
      </c>
      <c r="I127" t="s">
        <v>104</v>
      </c>
    </row>
    <row r="128" spans="1:9">
      <c r="A128" s="10" t="s">
        <v>29</v>
      </c>
      <c r="B128" s="10" t="s">
        <v>24</v>
      </c>
      <c r="C128" s="10" t="s">
        <v>25</v>
      </c>
      <c r="D128" s="10" t="s">
        <v>27</v>
      </c>
      <c r="E128" s="11">
        <v>15.674985</v>
      </c>
      <c r="F128" s="11">
        <v>54.125</v>
      </c>
      <c r="G128" s="11">
        <v>10.750150000000001</v>
      </c>
      <c r="H128">
        <v>73</v>
      </c>
      <c r="I128" t="s">
        <v>104</v>
      </c>
    </row>
    <row r="129" spans="1:9">
      <c r="A129" s="10" t="s">
        <v>29</v>
      </c>
      <c r="B129" s="10" t="s">
        <v>24</v>
      </c>
      <c r="C129" s="10" t="s">
        <v>25</v>
      </c>
      <c r="D129" s="10" t="s">
        <v>27</v>
      </c>
      <c r="E129" s="11">
        <v>17.775000000000002</v>
      </c>
      <c r="F129" s="11">
        <v>63.166699999999999</v>
      </c>
      <c r="G129" s="11">
        <v>5.0007124999999997</v>
      </c>
      <c r="H129">
        <v>80</v>
      </c>
      <c r="I129" t="s">
        <v>104</v>
      </c>
    </row>
    <row r="130" spans="1:9">
      <c r="A130" s="10" t="s">
        <v>29</v>
      </c>
      <c r="B130" s="10" t="s">
        <v>24</v>
      </c>
      <c r="C130" s="10" t="s">
        <v>11</v>
      </c>
      <c r="D130" s="10" t="s">
        <v>27</v>
      </c>
      <c r="E130" s="11">
        <v>18.374984999999999</v>
      </c>
      <c r="F130" s="11">
        <v>58.875</v>
      </c>
      <c r="G130" s="11">
        <v>11.792</v>
      </c>
      <c r="H130">
        <v>85</v>
      </c>
      <c r="I130" t="s">
        <v>104</v>
      </c>
    </row>
    <row r="131" spans="1:9">
      <c r="A131" s="10" t="s">
        <v>29</v>
      </c>
      <c r="B131" s="10" t="s">
        <v>24</v>
      </c>
      <c r="C131" s="10" t="s">
        <v>11</v>
      </c>
      <c r="D131" s="10" t="s">
        <v>27</v>
      </c>
      <c r="E131" s="11">
        <v>18</v>
      </c>
      <c r="F131" s="11">
        <v>48.916699999999999</v>
      </c>
      <c r="G131" s="11">
        <v>7.7499569999999993</v>
      </c>
      <c r="H131">
        <v>82</v>
      </c>
      <c r="I131" t="s">
        <v>104</v>
      </c>
    </row>
    <row r="132" spans="1:9">
      <c r="A132" s="10" t="s">
        <v>29</v>
      </c>
      <c r="B132" s="10" t="s">
        <v>24</v>
      </c>
      <c r="C132" s="10" t="s">
        <v>11</v>
      </c>
      <c r="D132" s="10" t="s">
        <v>27</v>
      </c>
      <c r="E132" s="11">
        <v>17.100000000000001</v>
      </c>
      <c r="F132" s="11">
        <v>63.291699999999992</v>
      </c>
      <c r="G132" s="11">
        <v>8.0830140000000004</v>
      </c>
      <c r="H132">
        <v>59</v>
      </c>
      <c r="I132" t="s">
        <v>106</v>
      </c>
    </row>
    <row r="133" spans="1:9">
      <c r="A133" s="10" t="s">
        <v>29</v>
      </c>
      <c r="B133" s="10" t="s">
        <v>24</v>
      </c>
      <c r="C133" s="10" t="s">
        <v>11</v>
      </c>
      <c r="D133" s="10" t="s">
        <v>27</v>
      </c>
      <c r="E133" s="11">
        <v>14.587515</v>
      </c>
      <c r="F133" s="11">
        <v>74.75</v>
      </c>
      <c r="G133" s="11">
        <v>12.707689</v>
      </c>
      <c r="H133">
        <v>68</v>
      </c>
      <c r="I133" t="s">
        <v>106</v>
      </c>
    </row>
    <row r="134" spans="1:9">
      <c r="A134" s="10" t="s">
        <v>29</v>
      </c>
      <c r="B134" s="10" t="s">
        <v>24</v>
      </c>
      <c r="C134" s="10" t="s">
        <v>11</v>
      </c>
      <c r="D134" s="10" t="s">
        <v>26</v>
      </c>
      <c r="E134" s="11">
        <v>16.050015000000002</v>
      </c>
      <c r="F134" s="11">
        <v>86.333300000000008</v>
      </c>
      <c r="G134" s="11">
        <v>12.041575</v>
      </c>
      <c r="H134">
        <v>82</v>
      </c>
      <c r="I134" t="s">
        <v>104</v>
      </c>
    </row>
    <row r="135" spans="1:9">
      <c r="A135" s="10" t="s">
        <v>29</v>
      </c>
      <c r="B135" s="10" t="s">
        <v>24</v>
      </c>
      <c r="C135" s="10" t="s">
        <v>25</v>
      </c>
      <c r="D135" s="10" t="s">
        <v>26</v>
      </c>
      <c r="E135" s="11">
        <v>19.837484999999997</v>
      </c>
      <c r="F135" s="11">
        <v>92.25</v>
      </c>
      <c r="G135" s="11">
        <v>9.0416499999999989</v>
      </c>
      <c r="H135">
        <v>74</v>
      </c>
      <c r="I135" t="s">
        <v>104</v>
      </c>
    </row>
    <row r="136" spans="1:9">
      <c r="A136" s="10" t="s">
        <v>29</v>
      </c>
      <c r="B136" s="10" t="s">
        <v>24</v>
      </c>
      <c r="C136" s="10" t="s">
        <v>25</v>
      </c>
      <c r="D136" s="10" t="s">
        <v>26</v>
      </c>
      <c r="E136" s="11">
        <v>23.85</v>
      </c>
      <c r="F136" s="11">
        <v>86.708300000000008</v>
      </c>
      <c r="G136" s="11">
        <v>10.249593000000001</v>
      </c>
      <c r="H136">
        <v>90</v>
      </c>
      <c r="I136" t="s">
        <v>104</v>
      </c>
    </row>
    <row r="137" spans="1:9">
      <c r="A137" s="10" t="s">
        <v>29</v>
      </c>
      <c r="B137" s="10" t="s">
        <v>24</v>
      </c>
      <c r="C137" s="10" t="s">
        <v>11</v>
      </c>
      <c r="D137" s="10" t="s">
        <v>27</v>
      </c>
      <c r="E137" s="11">
        <v>23.85</v>
      </c>
      <c r="F137" s="11">
        <v>78.791699999999992</v>
      </c>
      <c r="G137" s="11">
        <v>8.5003570000000011</v>
      </c>
      <c r="H137">
        <v>84</v>
      </c>
      <c r="I137" t="s">
        <v>104</v>
      </c>
    </row>
    <row r="138" spans="1:9">
      <c r="A138" s="10" t="s">
        <v>29</v>
      </c>
      <c r="B138" s="10" t="s">
        <v>24</v>
      </c>
      <c r="C138" s="10" t="s">
        <v>11</v>
      </c>
      <c r="D138" s="10" t="s">
        <v>26</v>
      </c>
      <c r="E138" s="11">
        <v>20.550014999999998</v>
      </c>
      <c r="F138" s="11">
        <v>83.791700000000006</v>
      </c>
      <c r="G138" s="11">
        <v>18.582718</v>
      </c>
      <c r="H138">
        <v>36</v>
      </c>
      <c r="I138" t="s">
        <v>107</v>
      </c>
    </row>
    <row r="139" spans="1:9">
      <c r="A139" s="10" t="s">
        <v>29</v>
      </c>
      <c r="B139" s="10" t="s">
        <v>24</v>
      </c>
      <c r="C139" s="10" t="s">
        <v>11</v>
      </c>
      <c r="D139" s="10" t="s">
        <v>26</v>
      </c>
      <c r="E139" s="11">
        <v>15.375014999999999</v>
      </c>
      <c r="F139" s="11">
        <v>87</v>
      </c>
      <c r="G139" s="11">
        <v>13.499964</v>
      </c>
      <c r="H139">
        <v>61</v>
      </c>
      <c r="I139" t="s">
        <v>106</v>
      </c>
    </row>
    <row r="140" spans="1:9">
      <c r="A140" s="10" t="s">
        <v>29</v>
      </c>
      <c r="B140" s="10" t="s">
        <v>24</v>
      </c>
      <c r="C140" s="10" t="s">
        <v>11</v>
      </c>
      <c r="D140" s="10" t="s">
        <v>26</v>
      </c>
      <c r="E140" s="11">
        <v>12.337515</v>
      </c>
      <c r="F140" s="11">
        <v>82.958299999999994</v>
      </c>
      <c r="G140" s="11">
        <v>7.2502710000000006</v>
      </c>
      <c r="H140">
        <v>68</v>
      </c>
      <c r="I140" t="s">
        <v>106</v>
      </c>
    </row>
    <row r="141" spans="1:9">
      <c r="A141" s="10" t="s">
        <v>29</v>
      </c>
      <c r="B141" s="10" t="s">
        <v>24</v>
      </c>
      <c r="C141" s="10" t="s">
        <v>11</v>
      </c>
      <c r="D141" s="10" t="s">
        <v>27</v>
      </c>
      <c r="E141" s="11">
        <v>14.812514999999999</v>
      </c>
      <c r="F141" s="11">
        <v>71.958299999999994</v>
      </c>
      <c r="G141" s="11">
        <v>8.3758710000000001</v>
      </c>
      <c r="H141">
        <v>73</v>
      </c>
      <c r="I141" t="s">
        <v>104</v>
      </c>
    </row>
    <row r="142" spans="1:9">
      <c r="A142" s="10" t="s">
        <v>29</v>
      </c>
      <c r="B142" s="10" t="s">
        <v>24</v>
      </c>
      <c r="C142" s="10" t="s">
        <v>25</v>
      </c>
      <c r="D142" s="10" t="s">
        <v>27</v>
      </c>
      <c r="E142" s="11">
        <v>20.849985</v>
      </c>
      <c r="F142" s="11">
        <v>62.666699999999999</v>
      </c>
      <c r="G142" s="11">
        <v>8.0835499999999989</v>
      </c>
      <c r="H142">
        <v>71</v>
      </c>
      <c r="I142" t="s">
        <v>104</v>
      </c>
    </row>
    <row r="143" spans="1:9">
      <c r="A143" s="10" t="s">
        <v>29</v>
      </c>
      <c r="B143" s="10" t="s">
        <v>24</v>
      </c>
      <c r="C143" s="10" t="s">
        <v>25</v>
      </c>
      <c r="D143" s="10" t="s">
        <v>27</v>
      </c>
      <c r="E143" s="11">
        <v>20.137499999999999</v>
      </c>
      <c r="F143" s="11">
        <v>74.958299999999994</v>
      </c>
      <c r="G143" s="11">
        <v>9.9165360000000007</v>
      </c>
      <c r="H143">
        <v>55</v>
      </c>
      <c r="I143" t="s">
        <v>106</v>
      </c>
    </row>
    <row r="144" spans="1:9">
      <c r="A144" s="10" t="s">
        <v>29</v>
      </c>
      <c r="B144" s="10" t="s">
        <v>24</v>
      </c>
      <c r="C144" s="10" t="s">
        <v>11</v>
      </c>
      <c r="D144" s="10" t="s">
        <v>26</v>
      </c>
      <c r="E144" s="11">
        <v>18.750015000000001</v>
      </c>
      <c r="F144" s="11">
        <v>81</v>
      </c>
      <c r="G144" s="11">
        <v>15.667413999999999</v>
      </c>
      <c r="H144">
        <v>32</v>
      </c>
      <c r="I144" t="s">
        <v>107</v>
      </c>
    </row>
    <row r="145" spans="1:9">
      <c r="A145" s="10" t="s">
        <v>29</v>
      </c>
      <c r="B145" s="10" t="s">
        <v>24</v>
      </c>
      <c r="C145" s="10" t="s">
        <v>11</v>
      </c>
      <c r="D145" s="10" t="s">
        <v>26</v>
      </c>
      <c r="E145" s="11">
        <v>19.837484999999997</v>
      </c>
      <c r="F145" s="11">
        <v>74.083299999999994</v>
      </c>
      <c r="G145" s="11">
        <v>13.875164</v>
      </c>
      <c r="H145">
        <v>51</v>
      </c>
      <c r="I145" t="s">
        <v>106</v>
      </c>
    </row>
    <row r="146" spans="1:9">
      <c r="A146" s="10" t="s">
        <v>29</v>
      </c>
      <c r="B146" s="10" t="s">
        <v>24</v>
      </c>
      <c r="C146" s="10" t="s">
        <v>11</v>
      </c>
      <c r="D146" s="10" t="s">
        <v>27</v>
      </c>
      <c r="E146" s="11">
        <v>16.799985</v>
      </c>
      <c r="F146" s="11">
        <v>69.625</v>
      </c>
      <c r="G146" s="11">
        <v>10.333611000000001</v>
      </c>
      <c r="H146">
        <v>30</v>
      </c>
      <c r="I146" t="s">
        <v>107</v>
      </c>
    </row>
    <row r="147" spans="1:9">
      <c r="A147" s="10" t="s">
        <v>29</v>
      </c>
      <c r="B147" s="10" t="s">
        <v>24</v>
      </c>
      <c r="C147" s="10" t="s">
        <v>11</v>
      </c>
      <c r="D147" s="10" t="s">
        <v>27</v>
      </c>
      <c r="E147" s="11">
        <v>16.875</v>
      </c>
      <c r="F147" s="11">
        <v>67.75</v>
      </c>
      <c r="G147" s="11">
        <v>13.376014</v>
      </c>
      <c r="H147">
        <v>56</v>
      </c>
      <c r="I147" t="s">
        <v>106</v>
      </c>
    </row>
    <row r="148" spans="1:9">
      <c r="A148" s="10" t="s">
        <v>29</v>
      </c>
      <c r="B148" s="10" t="s">
        <v>24</v>
      </c>
      <c r="C148" s="10" t="s">
        <v>11</v>
      </c>
      <c r="D148" s="10" t="s">
        <v>27</v>
      </c>
      <c r="E148" s="11">
        <v>16.912485</v>
      </c>
      <c r="F148" s="11">
        <v>65.375</v>
      </c>
      <c r="G148" s="11">
        <v>16.125492999999999</v>
      </c>
      <c r="H148">
        <v>61</v>
      </c>
      <c r="I148" t="s">
        <v>106</v>
      </c>
    </row>
    <row r="149" spans="1:9">
      <c r="A149" s="10" t="s">
        <v>29</v>
      </c>
      <c r="B149" s="10" t="s">
        <v>24</v>
      </c>
      <c r="C149" s="10" t="s">
        <v>25</v>
      </c>
      <c r="D149" s="10" t="s">
        <v>27</v>
      </c>
      <c r="E149" s="11">
        <v>20.662514999999999</v>
      </c>
      <c r="F149" s="11">
        <v>72.958299999999994</v>
      </c>
      <c r="G149" s="11">
        <v>15.416164</v>
      </c>
      <c r="H149">
        <v>61</v>
      </c>
      <c r="I149" t="s">
        <v>106</v>
      </c>
    </row>
    <row r="150" spans="1:9">
      <c r="A150" s="10" t="s">
        <v>29</v>
      </c>
      <c r="B150" s="10" t="s">
        <v>24</v>
      </c>
      <c r="C150" s="10" t="s">
        <v>25</v>
      </c>
      <c r="D150" s="10" t="s">
        <v>27</v>
      </c>
      <c r="E150" s="11">
        <v>22.656510000000001</v>
      </c>
      <c r="F150" s="11">
        <v>81.875</v>
      </c>
      <c r="G150" s="11">
        <v>14.333845999999999</v>
      </c>
      <c r="H150">
        <v>77</v>
      </c>
      <c r="I150" t="s">
        <v>104</v>
      </c>
    </row>
    <row r="151" spans="1:9">
      <c r="A151" s="10" t="s">
        <v>29</v>
      </c>
      <c r="B151" s="10" t="s">
        <v>7</v>
      </c>
      <c r="C151" s="10" t="s">
        <v>25</v>
      </c>
      <c r="D151" s="10" t="s">
        <v>27</v>
      </c>
      <c r="E151" s="11">
        <v>20.624984999999999</v>
      </c>
      <c r="F151" s="11">
        <v>68.5</v>
      </c>
      <c r="G151" s="11">
        <v>8.7920750000000005</v>
      </c>
      <c r="H151">
        <v>58</v>
      </c>
      <c r="I151" t="s">
        <v>106</v>
      </c>
    </row>
    <row r="152" spans="1:9">
      <c r="A152" s="10" t="s">
        <v>29</v>
      </c>
      <c r="B152" s="10" t="s">
        <v>24</v>
      </c>
      <c r="C152" s="10" t="s">
        <v>11</v>
      </c>
      <c r="D152" s="10" t="s">
        <v>27</v>
      </c>
      <c r="E152" s="11">
        <v>14.625</v>
      </c>
      <c r="F152" s="11">
        <v>63.666699999999999</v>
      </c>
      <c r="G152" s="11">
        <v>7.4590429999999994</v>
      </c>
      <c r="H152">
        <v>73</v>
      </c>
      <c r="I152" t="s">
        <v>104</v>
      </c>
    </row>
    <row r="153" spans="1:9">
      <c r="A153" s="10" t="s">
        <v>30</v>
      </c>
      <c r="B153" s="10" t="s">
        <v>24</v>
      </c>
      <c r="C153" s="10" t="s">
        <v>11</v>
      </c>
      <c r="D153" s="10" t="s">
        <v>26</v>
      </c>
      <c r="E153" s="11">
        <v>14.0625</v>
      </c>
      <c r="F153" s="11">
        <v>67.708299999999994</v>
      </c>
      <c r="G153" s="11">
        <v>13.875164</v>
      </c>
      <c r="H153">
        <v>75</v>
      </c>
      <c r="I153" t="s">
        <v>104</v>
      </c>
    </row>
    <row r="154" spans="1:9">
      <c r="A154" s="10" t="s">
        <v>30</v>
      </c>
      <c r="B154" s="10" t="s">
        <v>24</v>
      </c>
      <c r="C154" s="10" t="s">
        <v>11</v>
      </c>
      <c r="D154" s="10" t="s">
        <v>27</v>
      </c>
      <c r="E154" s="11">
        <v>14.137514999999999</v>
      </c>
      <c r="F154" s="11">
        <v>30.5</v>
      </c>
      <c r="G154" s="11">
        <v>19.583229000000003</v>
      </c>
      <c r="H154">
        <v>78</v>
      </c>
      <c r="I154" t="s">
        <v>104</v>
      </c>
    </row>
    <row r="155" spans="1:9">
      <c r="A155" s="10" t="s">
        <v>30</v>
      </c>
      <c r="B155" s="10" t="s">
        <v>24</v>
      </c>
      <c r="C155" s="10" t="s">
        <v>11</v>
      </c>
      <c r="D155" s="10" t="s">
        <v>27</v>
      </c>
      <c r="E155" s="11">
        <v>13.462515000000002</v>
      </c>
      <c r="F155" s="11">
        <v>35.416699999999999</v>
      </c>
      <c r="G155" s="11">
        <v>16.959106999999999</v>
      </c>
      <c r="H155">
        <v>72</v>
      </c>
      <c r="I155" t="s">
        <v>104</v>
      </c>
    </row>
    <row r="156" spans="1:9">
      <c r="A156" s="10" t="s">
        <v>30</v>
      </c>
      <c r="B156" s="10" t="s">
        <v>24</v>
      </c>
      <c r="C156" s="10" t="s">
        <v>25</v>
      </c>
      <c r="D156" s="10" t="s">
        <v>27</v>
      </c>
      <c r="E156" s="11">
        <v>14.887485</v>
      </c>
      <c r="F156" s="11">
        <v>45.625</v>
      </c>
      <c r="G156" s="11">
        <v>8.2505140000000008</v>
      </c>
      <c r="H156">
        <v>70</v>
      </c>
      <c r="I156" t="s">
        <v>104</v>
      </c>
    </row>
    <row r="157" spans="1:9">
      <c r="A157" s="10" t="s">
        <v>30</v>
      </c>
      <c r="B157" s="10" t="s">
        <v>24</v>
      </c>
      <c r="C157" s="10" t="s">
        <v>25</v>
      </c>
      <c r="D157" s="10" t="s">
        <v>26</v>
      </c>
      <c r="E157" s="11">
        <v>17.362485</v>
      </c>
      <c r="F157" s="11">
        <v>65.25</v>
      </c>
      <c r="G157" s="11">
        <v>9.292364000000001</v>
      </c>
      <c r="H157">
        <v>77</v>
      </c>
      <c r="I157" t="s">
        <v>104</v>
      </c>
    </row>
    <row r="158" spans="1:9">
      <c r="A158" s="10" t="s">
        <v>30</v>
      </c>
      <c r="B158" s="10" t="s">
        <v>24</v>
      </c>
      <c r="C158" s="10" t="s">
        <v>11</v>
      </c>
      <c r="D158" s="10" t="s">
        <v>27</v>
      </c>
      <c r="E158" s="11">
        <v>20.8125</v>
      </c>
      <c r="F158" s="11">
        <v>60</v>
      </c>
      <c r="G158" s="11">
        <v>8.1670320000000007</v>
      </c>
      <c r="H158">
        <v>52</v>
      </c>
      <c r="I158" t="s">
        <v>106</v>
      </c>
    </row>
    <row r="159" spans="1:9">
      <c r="A159" s="10" t="s">
        <v>30</v>
      </c>
      <c r="B159" s="10" t="s">
        <v>24</v>
      </c>
      <c r="C159" s="10" t="s">
        <v>11</v>
      </c>
      <c r="D159" s="10" t="s">
        <v>27</v>
      </c>
      <c r="E159" s="11">
        <v>18.45</v>
      </c>
      <c r="F159" s="11">
        <v>59.791700000000006</v>
      </c>
      <c r="G159" s="11">
        <v>12.583136</v>
      </c>
      <c r="H159">
        <v>14</v>
      </c>
      <c r="I159" t="s">
        <v>107</v>
      </c>
    </row>
    <row r="160" spans="1:9">
      <c r="A160" s="10" t="s">
        <v>30</v>
      </c>
      <c r="B160" s="10" t="s">
        <v>24</v>
      </c>
      <c r="C160" s="10" t="s">
        <v>11</v>
      </c>
      <c r="D160" s="10" t="s">
        <v>27</v>
      </c>
      <c r="E160" s="11">
        <v>11.962484999999999</v>
      </c>
      <c r="F160" s="11">
        <v>62.208300000000008</v>
      </c>
      <c r="G160" s="11">
        <v>9.1667389999999997</v>
      </c>
      <c r="H160">
        <v>66</v>
      </c>
      <c r="I160" t="s">
        <v>106</v>
      </c>
    </row>
    <row r="161" spans="1:9">
      <c r="A161" s="10" t="s">
        <v>30</v>
      </c>
      <c r="B161" s="10" t="s">
        <v>24</v>
      </c>
      <c r="C161" s="10" t="s">
        <v>11</v>
      </c>
      <c r="D161" s="10" t="s">
        <v>26</v>
      </c>
      <c r="E161" s="11">
        <v>13.087485000000001</v>
      </c>
      <c r="F161" s="11">
        <v>56.833299999999994</v>
      </c>
      <c r="G161" s="11">
        <v>10.042161</v>
      </c>
      <c r="H161">
        <v>72</v>
      </c>
      <c r="I161" t="s">
        <v>104</v>
      </c>
    </row>
    <row r="162" spans="1:9">
      <c r="A162" s="10" t="s">
        <v>30</v>
      </c>
      <c r="B162" s="10" t="s">
        <v>24</v>
      </c>
      <c r="C162" s="10" t="s">
        <v>11</v>
      </c>
      <c r="D162" s="10" t="s">
        <v>27</v>
      </c>
      <c r="E162" s="11">
        <v>12.375000000000002</v>
      </c>
      <c r="F162" s="11">
        <v>60.5</v>
      </c>
      <c r="G162" s="11">
        <v>9.4171180000000003</v>
      </c>
      <c r="H162">
        <v>64</v>
      </c>
      <c r="I162" t="s">
        <v>106</v>
      </c>
    </row>
    <row r="163" spans="1:9">
      <c r="A163" s="10" t="s">
        <v>30</v>
      </c>
      <c r="B163" s="10" t="s">
        <v>24</v>
      </c>
      <c r="C163" s="10" t="s">
        <v>25</v>
      </c>
      <c r="D163" s="10" t="s">
        <v>27</v>
      </c>
      <c r="E163" s="11">
        <v>9.9374850000000006</v>
      </c>
      <c r="F163" s="11">
        <v>65.458300000000008</v>
      </c>
      <c r="G163" s="11">
        <v>10.374949999999998</v>
      </c>
      <c r="H163">
        <v>55</v>
      </c>
      <c r="I163" t="s">
        <v>106</v>
      </c>
    </row>
    <row r="164" spans="1:9">
      <c r="A164" s="10" t="s">
        <v>30</v>
      </c>
      <c r="B164" s="10" t="s">
        <v>24</v>
      </c>
      <c r="C164" s="10" t="s">
        <v>25</v>
      </c>
      <c r="D164" s="10" t="s">
        <v>27</v>
      </c>
      <c r="E164" s="11">
        <v>10.724985</v>
      </c>
      <c r="F164" s="11">
        <v>74.791700000000006</v>
      </c>
      <c r="G164" s="11">
        <v>10.958988999999999</v>
      </c>
      <c r="H164">
        <v>66</v>
      </c>
      <c r="I164" t="s">
        <v>106</v>
      </c>
    </row>
    <row r="165" spans="1:9">
      <c r="A165" s="10" t="s">
        <v>30</v>
      </c>
      <c r="B165" s="10" t="s">
        <v>24</v>
      </c>
      <c r="C165" s="10" t="s">
        <v>11</v>
      </c>
      <c r="D165" s="10" t="s">
        <v>27</v>
      </c>
      <c r="E165" s="11">
        <v>12.712499999999999</v>
      </c>
      <c r="F165" s="11">
        <v>49.458300000000001</v>
      </c>
      <c r="G165" s="11">
        <v>20.458449999999999</v>
      </c>
      <c r="H165">
        <v>70</v>
      </c>
      <c r="I165" t="s">
        <v>104</v>
      </c>
    </row>
    <row r="166" spans="1:9">
      <c r="A166" s="10" t="s">
        <v>30</v>
      </c>
      <c r="B166" s="10" t="s">
        <v>24</v>
      </c>
      <c r="C166" s="10" t="s">
        <v>11</v>
      </c>
      <c r="D166" s="10" t="s">
        <v>27</v>
      </c>
      <c r="E166" s="11">
        <v>14.2875</v>
      </c>
      <c r="F166" s="11">
        <v>50.708299999999994</v>
      </c>
      <c r="G166" s="11">
        <v>18.041961000000001</v>
      </c>
      <c r="H166">
        <v>75</v>
      </c>
      <c r="I166" t="s">
        <v>104</v>
      </c>
    </row>
    <row r="167" spans="1:9">
      <c r="A167" s="10" t="s">
        <v>30</v>
      </c>
      <c r="B167" s="10" t="s">
        <v>24</v>
      </c>
      <c r="C167" s="10" t="s">
        <v>11</v>
      </c>
      <c r="D167" s="10" t="s">
        <v>27</v>
      </c>
      <c r="E167" s="11">
        <v>19.012499999999999</v>
      </c>
      <c r="F167" s="11">
        <v>47.166699999999999</v>
      </c>
      <c r="G167" s="11">
        <v>11.250104</v>
      </c>
      <c r="H167">
        <v>75</v>
      </c>
      <c r="I167" t="s">
        <v>104</v>
      </c>
    </row>
    <row r="168" spans="1:9">
      <c r="A168" s="10" t="s">
        <v>30</v>
      </c>
      <c r="B168" s="10" t="s">
        <v>24</v>
      </c>
      <c r="C168" s="10" t="s">
        <v>11</v>
      </c>
      <c r="D168" s="10" t="s">
        <v>26</v>
      </c>
      <c r="E168" s="11">
        <v>16.875</v>
      </c>
      <c r="F168" s="11">
        <v>68.833299999999994</v>
      </c>
      <c r="G168" s="11">
        <v>13.833556999999999</v>
      </c>
      <c r="H168">
        <v>72</v>
      </c>
      <c r="I168" t="s">
        <v>104</v>
      </c>
    </row>
    <row r="169" spans="1:9">
      <c r="A169" s="10" t="s">
        <v>30</v>
      </c>
      <c r="B169" s="10" t="s">
        <v>24</v>
      </c>
      <c r="C169" s="10" t="s">
        <v>11</v>
      </c>
      <c r="D169" s="10" t="s">
        <v>27</v>
      </c>
      <c r="E169" s="11">
        <v>11.624984999999999</v>
      </c>
      <c r="F169" s="11">
        <v>73.583299999999994</v>
      </c>
      <c r="G169" s="11">
        <v>9.5829429999999984</v>
      </c>
      <c r="H169">
        <v>55</v>
      </c>
      <c r="I169" t="s">
        <v>106</v>
      </c>
    </row>
    <row r="170" spans="1:9">
      <c r="A170" s="10" t="s">
        <v>30</v>
      </c>
      <c r="B170" s="10" t="s">
        <v>24</v>
      </c>
      <c r="C170" s="10" t="s">
        <v>25</v>
      </c>
      <c r="D170" s="10" t="s">
        <v>27</v>
      </c>
      <c r="E170" s="11">
        <v>10.724985</v>
      </c>
      <c r="F170" s="11">
        <v>67.041700000000006</v>
      </c>
      <c r="G170" s="11">
        <v>8.0003360000000008</v>
      </c>
      <c r="H170">
        <v>48</v>
      </c>
      <c r="I170" t="s">
        <v>106</v>
      </c>
    </row>
    <row r="171" spans="1:9">
      <c r="A171" s="10" t="s">
        <v>30</v>
      </c>
      <c r="B171" s="10" t="s">
        <v>24</v>
      </c>
      <c r="C171" s="10" t="s">
        <v>25</v>
      </c>
      <c r="D171" s="10" t="s">
        <v>26</v>
      </c>
      <c r="E171" s="11">
        <v>12.450015</v>
      </c>
      <c r="F171" s="11">
        <v>66.666700000000006</v>
      </c>
      <c r="G171" s="11">
        <v>6.8339999999999996</v>
      </c>
      <c r="H171">
        <v>68</v>
      </c>
      <c r="I171" t="s">
        <v>106</v>
      </c>
    </row>
    <row r="172" spans="1:9">
      <c r="A172" s="10" t="s">
        <v>30</v>
      </c>
      <c r="B172" s="10" t="s">
        <v>24</v>
      </c>
      <c r="C172" s="10" t="s">
        <v>11</v>
      </c>
      <c r="D172" s="10" t="s">
        <v>26</v>
      </c>
      <c r="E172" s="11">
        <v>17.362485</v>
      </c>
      <c r="F172" s="11">
        <v>74.625</v>
      </c>
      <c r="G172" s="11">
        <v>10.416824999999999</v>
      </c>
      <c r="H172">
        <v>75</v>
      </c>
      <c r="I172" t="s">
        <v>104</v>
      </c>
    </row>
    <row r="173" spans="1:9">
      <c r="A173" s="10" t="s">
        <v>30</v>
      </c>
      <c r="B173" s="10" t="s">
        <v>24</v>
      </c>
      <c r="C173" s="10" t="s">
        <v>11</v>
      </c>
      <c r="D173" s="10" t="s">
        <v>26</v>
      </c>
      <c r="E173" s="11">
        <v>19.274985000000001</v>
      </c>
      <c r="F173" s="11">
        <v>77.041700000000006</v>
      </c>
      <c r="G173" s="11">
        <v>11.458675000000001</v>
      </c>
      <c r="H173">
        <v>53</v>
      </c>
      <c r="I173" t="s">
        <v>106</v>
      </c>
    </row>
    <row r="174" spans="1:9">
      <c r="A174" s="10" t="s">
        <v>30</v>
      </c>
      <c r="B174" s="10" t="s">
        <v>24</v>
      </c>
      <c r="C174" s="10" t="s">
        <v>11</v>
      </c>
      <c r="D174" s="10" t="s">
        <v>27</v>
      </c>
      <c r="E174" s="11">
        <v>19.049985</v>
      </c>
      <c r="F174" s="11">
        <v>70.75</v>
      </c>
      <c r="G174" s="11">
        <v>11.541554</v>
      </c>
      <c r="H174">
        <v>62</v>
      </c>
      <c r="I174" t="s">
        <v>106</v>
      </c>
    </row>
    <row r="175" spans="1:9">
      <c r="A175" s="10" t="s">
        <v>30</v>
      </c>
      <c r="B175" s="10" t="s">
        <v>24</v>
      </c>
      <c r="C175" s="10" t="s">
        <v>11</v>
      </c>
      <c r="D175" s="10" t="s">
        <v>26</v>
      </c>
      <c r="E175" s="11">
        <v>16.799985</v>
      </c>
      <c r="F175" s="11">
        <v>70.333299999999994</v>
      </c>
      <c r="G175" s="11">
        <v>15.999867999999999</v>
      </c>
      <c r="H175">
        <v>44</v>
      </c>
      <c r="I175" t="s">
        <v>106</v>
      </c>
    </row>
    <row r="176" spans="1:9">
      <c r="A176" s="10" t="s">
        <v>30</v>
      </c>
      <c r="B176" s="10" t="s">
        <v>24</v>
      </c>
      <c r="C176" s="10" t="s">
        <v>11</v>
      </c>
      <c r="D176" s="10" t="s">
        <v>27</v>
      </c>
      <c r="E176" s="11">
        <v>13.612499999999999</v>
      </c>
      <c r="F176" s="11">
        <v>57.333300000000001</v>
      </c>
      <c r="G176" s="11">
        <v>14.875674999999999</v>
      </c>
      <c r="H176">
        <v>20</v>
      </c>
      <c r="I176" t="s">
        <v>107</v>
      </c>
    </row>
    <row r="177" spans="1:9">
      <c r="A177" s="10" t="s">
        <v>30</v>
      </c>
      <c r="B177" s="10" t="s">
        <v>24</v>
      </c>
      <c r="C177" s="10" t="s">
        <v>25</v>
      </c>
      <c r="D177" s="10" t="s">
        <v>27</v>
      </c>
      <c r="E177" s="11">
        <v>12.365235</v>
      </c>
      <c r="F177" s="11">
        <v>48.333300000000001</v>
      </c>
      <c r="G177" s="11">
        <v>14.041257</v>
      </c>
      <c r="H177">
        <v>15</v>
      </c>
      <c r="I177" t="s">
        <v>107</v>
      </c>
    </row>
    <row r="178" spans="1:9">
      <c r="A178" s="10" t="s">
        <v>30</v>
      </c>
      <c r="B178" s="10" t="s">
        <v>24</v>
      </c>
      <c r="C178" s="10" t="s">
        <v>25</v>
      </c>
      <c r="D178" s="10" t="s">
        <v>27</v>
      </c>
      <c r="E178" s="11">
        <v>14.478255000000001</v>
      </c>
      <c r="F178" s="11">
        <v>51.333300000000001</v>
      </c>
      <c r="G178" s="11">
        <v>6.3337310999999996</v>
      </c>
      <c r="H178">
        <v>27</v>
      </c>
      <c r="I178" t="s">
        <v>107</v>
      </c>
    </row>
    <row r="179" spans="1:9">
      <c r="A179" s="10" t="s">
        <v>30</v>
      </c>
      <c r="B179" s="10" t="s">
        <v>24</v>
      </c>
      <c r="C179" s="10" t="s">
        <v>11</v>
      </c>
      <c r="D179" s="10" t="s">
        <v>26</v>
      </c>
      <c r="E179" s="11">
        <v>14.625</v>
      </c>
      <c r="F179" s="11">
        <v>65.833299999999994</v>
      </c>
      <c r="G179" s="11">
        <v>7.2083960000000005</v>
      </c>
      <c r="H179">
        <v>23</v>
      </c>
      <c r="I179" t="s">
        <v>107</v>
      </c>
    </row>
    <row r="180" spans="1:9">
      <c r="A180" s="10" t="s">
        <v>30</v>
      </c>
      <c r="B180" s="10" t="s">
        <v>24</v>
      </c>
      <c r="C180" s="10" t="s">
        <v>11</v>
      </c>
      <c r="D180" s="10" t="s">
        <v>27</v>
      </c>
      <c r="E180" s="11">
        <v>13.460850000000001</v>
      </c>
      <c r="F180" s="11">
        <v>63.416700000000006</v>
      </c>
      <c r="G180" s="11">
        <v>9.6669609999999988</v>
      </c>
      <c r="H180">
        <v>46</v>
      </c>
      <c r="I180" t="s">
        <v>106</v>
      </c>
    </row>
    <row r="181" spans="1:9">
      <c r="A181" s="10" t="s">
        <v>30</v>
      </c>
      <c r="B181" s="10" t="s">
        <v>24</v>
      </c>
      <c r="C181" s="10" t="s">
        <v>11</v>
      </c>
      <c r="D181" s="10" t="s">
        <v>27</v>
      </c>
      <c r="E181" s="11">
        <v>11.174985</v>
      </c>
      <c r="F181" s="11">
        <v>49.791699999999999</v>
      </c>
      <c r="G181" s="11">
        <v>17.542007000000002</v>
      </c>
      <c r="H181">
        <v>48</v>
      </c>
      <c r="I181" t="s">
        <v>106</v>
      </c>
    </row>
    <row r="182" spans="1:9">
      <c r="A182" s="10" t="s">
        <v>30</v>
      </c>
      <c r="B182" s="10" t="s">
        <v>24</v>
      </c>
      <c r="C182" s="10" t="s">
        <v>11</v>
      </c>
      <c r="D182" s="10" t="s">
        <v>27</v>
      </c>
      <c r="E182" s="11">
        <v>14.025015000000002</v>
      </c>
      <c r="F182" s="11">
        <v>43.416700000000006</v>
      </c>
      <c r="G182" s="11">
        <v>12.415904000000001</v>
      </c>
      <c r="H182">
        <v>60</v>
      </c>
      <c r="I182" t="s">
        <v>106</v>
      </c>
    </row>
    <row r="183" spans="1:9">
      <c r="A183" s="10" t="s">
        <v>30</v>
      </c>
      <c r="B183" s="10" t="s">
        <v>24</v>
      </c>
      <c r="C183" s="10" t="s">
        <v>11</v>
      </c>
      <c r="D183" s="10" t="s">
        <v>27</v>
      </c>
      <c r="E183" s="11">
        <v>18.45</v>
      </c>
      <c r="F183" s="11">
        <v>39.625</v>
      </c>
      <c r="G183" s="11">
        <v>6.8747360000000004</v>
      </c>
      <c r="H183">
        <v>49</v>
      </c>
      <c r="I183" t="s">
        <v>106</v>
      </c>
    </row>
    <row r="184" spans="1:9">
      <c r="A184" s="10" t="s">
        <v>30</v>
      </c>
      <c r="B184" s="10" t="s">
        <v>24</v>
      </c>
      <c r="C184" s="10" t="s">
        <v>25</v>
      </c>
      <c r="D184" s="10" t="s">
        <v>27</v>
      </c>
      <c r="E184" s="11">
        <v>15.487515</v>
      </c>
      <c r="F184" s="11">
        <v>44.458300000000001</v>
      </c>
      <c r="G184" s="11">
        <v>7.7091539999999998</v>
      </c>
      <c r="H184">
        <v>20</v>
      </c>
      <c r="I184" t="s">
        <v>107</v>
      </c>
    </row>
    <row r="185" spans="1:9">
      <c r="A185" s="10" t="s">
        <v>30</v>
      </c>
      <c r="B185" s="10" t="s">
        <v>24</v>
      </c>
      <c r="C185" s="10" t="s">
        <v>25</v>
      </c>
      <c r="D185" s="10" t="s">
        <v>26</v>
      </c>
      <c r="E185" s="11">
        <v>16.35651</v>
      </c>
      <c r="F185" s="11">
        <v>68.25</v>
      </c>
      <c r="G185" s="11">
        <v>15.333486000000001</v>
      </c>
      <c r="H185">
        <v>16</v>
      </c>
      <c r="I185" t="s">
        <v>107</v>
      </c>
    </row>
    <row r="186" spans="1:9">
      <c r="A186" s="10" t="s">
        <v>30</v>
      </c>
      <c r="B186" s="10" t="s">
        <v>7</v>
      </c>
      <c r="C186" s="10" t="s">
        <v>25</v>
      </c>
      <c r="D186" s="10" t="s">
        <v>26</v>
      </c>
      <c r="E186" s="11">
        <v>8.8363800000000001</v>
      </c>
      <c r="F186" s="11">
        <v>63.791699999999999</v>
      </c>
      <c r="G186" s="11">
        <v>5.4591064000000005</v>
      </c>
      <c r="H186">
        <v>27</v>
      </c>
      <c r="I186" t="s">
        <v>107</v>
      </c>
    </row>
    <row r="187" spans="1:9">
      <c r="A187" s="10" t="s">
        <v>30</v>
      </c>
      <c r="B187" s="10" t="s">
        <v>24</v>
      </c>
      <c r="C187" s="10" t="s">
        <v>11</v>
      </c>
      <c r="D187" s="10" t="s">
        <v>27</v>
      </c>
      <c r="E187" s="11">
        <v>9</v>
      </c>
      <c r="F187" s="11">
        <v>59.041699999999999</v>
      </c>
      <c r="G187" s="11">
        <v>8.4592860000000005</v>
      </c>
      <c r="H187">
        <v>31</v>
      </c>
      <c r="I187" t="s">
        <v>107</v>
      </c>
    </row>
    <row r="188" spans="1:9">
      <c r="A188" s="10" t="s">
        <v>30</v>
      </c>
      <c r="B188" s="10" t="s">
        <v>24</v>
      </c>
      <c r="C188" s="10" t="s">
        <v>11</v>
      </c>
      <c r="D188" s="10" t="s">
        <v>27</v>
      </c>
      <c r="E188" s="11">
        <v>10.213065</v>
      </c>
      <c r="F188" s="11">
        <v>74.333300000000008</v>
      </c>
      <c r="G188" s="11">
        <v>10.042161</v>
      </c>
      <c r="H188">
        <v>32</v>
      </c>
      <c r="I188" t="s">
        <v>107</v>
      </c>
    </row>
    <row r="189" spans="1:9">
      <c r="A189" s="10" t="s">
        <v>30</v>
      </c>
      <c r="B189" s="10" t="s">
        <v>24</v>
      </c>
      <c r="C189" s="10" t="s">
        <v>11</v>
      </c>
      <c r="D189" s="10" t="s">
        <v>27</v>
      </c>
      <c r="E189" s="11">
        <v>9.1956600000000002</v>
      </c>
      <c r="F189" s="11">
        <v>65.125</v>
      </c>
      <c r="G189" s="11">
        <v>10.666400000000001</v>
      </c>
      <c r="H189">
        <v>32</v>
      </c>
      <c r="I189" t="s">
        <v>107</v>
      </c>
    </row>
    <row r="190" spans="1:9">
      <c r="A190" s="10" t="s">
        <v>30</v>
      </c>
      <c r="B190" s="10" t="s">
        <v>24</v>
      </c>
      <c r="C190" s="10" t="s">
        <v>11</v>
      </c>
      <c r="D190" s="10" t="s">
        <v>26</v>
      </c>
      <c r="E190" s="11">
        <v>8.843490000000001</v>
      </c>
      <c r="F190" s="11">
        <v>75.791699999999992</v>
      </c>
      <c r="G190" s="11">
        <v>15.083643</v>
      </c>
      <c r="H190">
        <v>30</v>
      </c>
      <c r="I190" t="s">
        <v>107</v>
      </c>
    </row>
    <row r="191" spans="1:9">
      <c r="A191" s="10" t="s">
        <v>30</v>
      </c>
      <c r="B191" s="10" t="s">
        <v>24</v>
      </c>
      <c r="C191" s="10" t="s">
        <v>25</v>
      </c>
      <c r="D191" s="10" t="s">
        <v>27</v>
      </c>
      <c r="E191" s="11">
        <v>7.4250000000000007</v>
      </c>
      <c r="F191" s="11">
        <v>60.916699999999999</v>
      </c>
      <c r="G191" s="11">
        <v>11.250104</v>
      </c>
      <c r="H191">
        <v>19</v>
      </c>
      <c r="I191" t="s">
        <v>107</v>
      </c>
    </row>
    <row r="192" spans="1:9">
      <c r="A192" s="10" t="s">
        <v>30</v>
      </c>
      <c r="B192" s="10" t="s">
        <v>24</v>
      </c>
      <c r="C192" s="10" t="s">
        <v>25</v>
      </c>
      <c r="D192" s="10" t="s">
        <v>27</v>
      </c>
      <c r="E192" s="11">
        <v>6.2249850000000002</v>
      </c>
      <c r="F192" s="11">
        <v>57.833300000000001</v>
      </c>
      <c r="G192" s="11">
        <v>12.292557</v>
      </c>
      <c r="H192">
        <v>16</v>
      </c>
      <c r="I192" t="s">
        <v>107</v>
      </c>
    </row>
    <row r="193" spans="1:9">
      <c r="A193" s="10" t="s">
        <v>30</v>
      </c>
      <c r="B193" s="10" t="s">
        <v>24</v>
      </c>
      <c r="C193" s="10" t="s">
        <v>11</v>
      </c>
      <c r="D193" s="10" t="s">
        <v>27</v>
      </c>
      <c r="E193" s="11">
        <v>6.7874850000000002</v>
      </c>
      <c r="F193" s="11">
        <v>63.583300000000001</v>
      </c>
      <c r="G193" s="11">
        <v>18.916578999999999</v>
      </c>
      <c r="H193">
        <v>27</v>
      </c>
      <c r="I193" t="s">
        <v>107</v>
      </c>
    </row>
    <row r="194" spans="1:9">
      <c r="A194" s="10" t="s">
        <v>30</v>
      </c>
      <c r="B194" s="10" t="s">
        <v>24</v>
      </c>
      <c r="C194" s="10" t="s">
        <v>11</v>
      </c>
      <c r="D194" s="10" t="s">
        <v>27</v>
      </c>
      <c r="E194" s="11">
        <v>7.6090949999999999</v>
      </c>
      <c r="F194" s="11">
        <v>55.916699999999999</v>
      </c>
      <c r="G194" s="11">
        <v>13.417017999999999</v>
      </c>
      <c r="H194">
        <v>25</v>
      </c>
      <c r="I194" t="s">
        <v>107</v>
      </c>
    </row>
    <row r="195" spans="1:9">
      <c r="A195" s="10" t="s">
        <v>30</v>
      </c>
      <c r="B195" s="10" t="s">
        <v>24</v>
      </c>
      <c r="C195" s="10" t="s">
        <v>11</v>
      </c>
      <c r="D195" s="10" t="s">
        <v>27</v>
      </c>
      <c r="E195" s="11">
        <v>7.7727149999999998</v>
      </c>
      <c r="F195" s="11">
        <v>63.166699999999999</v>
      </c>
      <c r="G195" s="11">
        <v>9.7909110000000013</v>
      </c>
      <c r="H195">
        <v>24</v>
      </c>
      <c r="I195" t="s">
        <v>107</v>
      </c>
    </row>
    <row r="196" spans="1:9">
      <c r="A196" s="10" t="s">
        <v>30</v>
      </c>
      <c r="B196" s="10" t="s">
        <v>24</v>
      </c>
      <c r="C196" s="10" t="s">
        <v>11</v>
      </c>
      <c r="D196" s="10" t="s">
        <v>27</v>
      </c>
      <c r="E196" s="11">
        <v>7.4250000000000007</v>
      </c>
      <c r="F196" s="11">
        <v>47.625</v>
      </c>
      <c r="G196" s="11">
        <v>16.124689</v>
      </c>
      <c r="H196">
        <v>28</v>
      </c>
      <c r="I196" t="s">
        <v>107</v>
      </c>
    </row>
    <row r="197" spans="1:9">
      <c r="A197" s="10" t="s">
        <v>30</v>
      </c>
      <c r="B197" s="10" t="s">
        <v>24</v>
      </c>
      <c r="C197" s="10" t="s">
        <v>11</v>
      </c>
      <c r="D197" s="10" t="s">
        <v>27</v>
      </c>
      <c r="E197" s="11">
        <v>7.2391500000000004</v>
      </c>
      <c r="F197" s="11">
        <v>59.125000000000007</v>
      </c>
      <c r="G197" s="11">
        <v>12.249810999999999</v>
      </c>
      <c r="H197">
        <v>28</v>
      </c>
      <c r="I197" t="s">
        <v>107</v>
      </c>
    </row>
    <row r="198" spans="1:9">
      <c r="A198" s="10" t="s">
        <v>30</v>
      </c>
      <c r="B198" s="10" t="s">
        <v>24</v>
      </c>
      <c r="C198" s="10" t="s">
        <v>25</v>
      </c>
      <c r="D198" s="10" t="s">
        <v>27</v>
      </c>
      <c r="E198" s="11">
        <v>10.499985000000001</v>
      </c>
      <c r="F198" s="11">
        <v>58.5</v>
      </c>
      <c r="G198" s="11">
        <v>13.958914</v>
      </c>
      <c r="H198">
        <v>25</v>
      </c>
      <c r="I198" t="s">
        <v>107</v>
      </c>
    </row>
    <row r="199" spans="1:9">
      <c r="A199" s="10" t="s">
        <v>30</v>
      </c>
      <c r="B199" s="10" t="s">
        <v>24</v>
      </c>
      <c r="C199" s="10" t="s">
        <v>25</v>
      </c>
      <c r="D199" s="10" t="s">
        <v>27</v>
      </c>
      <c r="E199" s="11">
        <v>10.425015</v>
      </c>
      <c r="F199" s="11">
        <v>60.416699999999999</v>
      </c>
      <c r="G199" s="11">
        <v>16.417211000000002</v>
      </c>
      <c r="H199">
        <v>24</v>
      </c>
      <c r="I199" t="s">
        <v>107</v>
      </c>
    </row>
    <row r="200" spans="1:9">
      <c r="A200" s="10" t="s">
        <v>30</v>
      </c>
      <c r="B200" s="10" t="s">
        <v>24</v>
      </c>
      <c r="C200" s="10" t="s">
        <v>11</v>
      </c>
      <c r="D200" s="10" t="s">
        <v>27</v>
      </c>
      <c r="E200" s="11">
        <v>7.9124849999999993</v>
      </c>
      <c r="F200" s="11">
        <v>65.125</v>
      </c>
      <c r="G200" s="11">
        <v>14.458867999999999</v>
      </c>
      <c r="H200">
        <v>20</v>
      </c>
      <c r="I200" t="s">
        <v>107</v>
      </c>
    </row>
    <row r="201" spans="1:9">
      <c r="A201" s="10" t="s">
        <v>30</v>
      </c>
      <c r="B201" s="10" t="s">
        <v>24</v>
      </c>
      <c r="C201" s="10" t="s">
        <v>11</v>
      </c>
      <c r="D201" s="10" t="s">
        <v>27</v>
      </c>
      <c r="E201" s="11">
        <v>9.7500149999999994</v>
      </c>
      <c r="F201" s="11">
        <v>65.041700000000006</v>
      </c>
      <c r="G201" s="11">
        <v>8.7501999999999995</v>
      </c>
      <c r="H201">
        <v>13</v>
      </c>
      <c r="I201" t="s">
        <v>107</v>
      </c>
    </row>
    <row r="202" spans="1:9">
      <c r="A202" s="10" t="s">
        <v>30</v>
      </c>
      <c r="B202" s="10" t="s">
        <v>24</v>
      </c>
      <c r="C202" s="10" t="s">
        <v>11</v>
      </c>
      <c r="D202" s="10" t="s">
        <v>27</v>
      </c>
      <c r="E202" s="11">
        <v>13.147829999999999</v>
      </c>
      <c r="F202" s="11">
        <v>70.708300000000008</v>
      </c>
      <c r="G202" s="11">
        <v>7.6257390000000003</v>
      </c>
      <c r="H202">
        <v>33</v>
      </c>
      <c r="I202" t="s">
        <v>107</v>
      </c>
    </row>
    <row r="203" spans="1:9">
      <c r="A203" s="10" t="s">
        <v>30</v>
      </c>
      <c r="B203" s="10" t="s">
        <v>24</v>
      </c>
      <c r="C203" s="10" t="s">
        <v>11</v>
      </c>
      <c r="D203" s="10" t="s">
        <v>26</v>
      </c>
      <c r="E203" s="11">
        <v>11.775015</v>
      </c>
      <c r="F203" s="11">
        <v>69.125</v>
      </c>
      <c r="G203" s="11">
        <v>14.875406999999999</v>
      </c>
      <c r="H203">
        <v>39</v>
      </c>
      <c r="I203" t="s">
        <v>107</v>
      </c>
    </row>
    <row r="204" spans="1:9">
      <c r="A204" s="10" t="s">
        <v>30</v>
      </c>
      <c r="B204" s="10" t="s">
        <v>24</v>
      </c>
      <c r="C204" s="10" t="s">
        <v>11</v>
      </c>
      <c r="D204" s="10" t="s">
        <v>27</v>
      </c>
      <c r="E204" s="11">
        <v>7.9874999999999998</v>
      </c>
      <c r="F204" s="11">
        <v>58.041699999999999</v>
      </c>
      <c r="G204" s="11">
        <v>8.9177</v>
      </c>
      <c r="H204">
        <v>31</v>
      </c>
      <c r="I204" t="s">
        <v>107</v>
      </c>
    </row>
    <row r="205" spans="1:9">
      <c r="A205" s="10" t="s">
        <v>30</v>
      </c>
      <c r="B205" s="10" t="s">
        <v>24</v>
      </c>
      <c r="C205" s="10" t="s">
        <v>25</v>
      </c>
      <c r="D205" s="10" t="s">
        <v>27</v>
      </c>
      <c r="E205" s="11">
        <v>2.6608679999999998</v>
      </c>
      <c r="F205" s="11">
        <v>50</v>
      </c>
      <c r="G205" s="11">
        <v>8.7918070000000004</v>
      </c>
      <c r="H205">
        <v>20</v>
      </c>
      <c r="I205" t="s">
        <v>107</v>
      </c>
    </row>
    <row r="206" spans="1:9">
      <c r="A206" s="10" t="s">
        <v>30</v>
      </c>
      <c r="B206" s="10" t="s">
        <v>24</v>
      </c>
      <c r="C206" s="10" t="s">
        <v>25</v>
      </c>
      <c r="D206" s="10" t="s">
        <v>27</v>
      </c>
      <c r="E206" s="11">
        <v>4.3434765000000004</v>
      </c>
      <c r="F206" s="11">
        <v>55.083300000000001</v>
      </c>
      <c r="G206" s="11">
        <v>11.334456999999999</v>
      </c>
      <c r="H206">
        <v>20</v>
      </c>
      <c r="I206" t="s">
        <v>107</v>
      </c>
    </row>
    <row r="207" spans="1:9">
      <c r="A207" s="10" t="s">
        <v>30</v>
      </c>
      <c r="B207" s="10" t="s">
        <v>24</v>
      </c>
      <c r="C207" s="10" t="s">
        <v>11</v>
      </c>
      <c r="D207" s="10" t="s">
        <v>27</v>
      </c>
      <c r="E207" s="11">
        <v>4.3826084999999999</v>
      </c>
      <c r="F207" s="11">
        <v>75.708299999999994</v>
      </c>
      <c r="G207" s="11">
        <v>6.0841560999999995</v>
      </c>
      <c r="H207">
        <v>29</v>
      </c>
      <c r="I207" t="s">
        <v>107</v>
      </c>
    </row>
    <row r="208" spans="1:9">
      <c r="A208" s="10" t="s">
        <v>30</v>
      </c>
      <c r="B208" s="10" t="s">
        <v>24</v>
      </c>
      <c r="C208" s="10" t="s">
        <v>11</v>
      </c>
      <c r="D208" s="10" t="s">
        <v>27</v>
      </c>
      <c r="E208" s="11">
        <v>10.056510000000001</v>
      </c>
      <c r="F208" s="11">
        <v>54.083300000000001</v>
      </c>
      <c r="G208" s="11">
        <v>13.417285999999999</v>
      </c>
      <c r="H208">
        <v>40</v>
      </c>
      <c r="I208" t="s">
        <v>106</v>
      </c>
    </row>
    <row r="209" spans="1:9">
      <c r="A209" s="10" t="s">
        <v>30</v>
      </c>
      <c r="B209" s="10" t="s">
        <v>24</v>
      </c>
      <c r="C209" s="10" t="s">
        <v>11</v>
      </c>
      <c r="D209" s="10" t="s">
        <v>27</v>
      </c>
      <c r="E209" s="11">
        <v>9.7874999999999996</v>
      </c>
      <c r="F209" s="11">
        <v>40.291700000000006</v>
      </c>
      <c r="G209" s="11">
        <v>12.292020999999998</v>
      </c>
      <c r="H209">
        <v>10</v>
      </c>
      <c r="I209" t="s">
        <v>107</v>
      </c>
    </row>
    <row r="210" spans="1:9">
      <c r="A210" s="10" t="s">
        <v>30</v>
      </c>
      <c r="B210" s="10" t="s">
        <v>24</v>
      </c>
      <c r="C210" s="10" t="s">
        <v>11</v>
      </c>
      <c r="D210" s="10" t="s">
        <v>27</v>
      </c>
      <c r="E210" s="11">
        <v>8.7750000000000004</v>
      </c>
      <c r="F210" s="11">
        <v>58.333300000000001</v>
      </c>
      <c r="G210" s="11">
        <v>11.958093</v>
      </c>
      <c r="H210">
        <v>8</v>
      </c>
      <c r="I210" t="s">
        <v>107</v>
      </c>
    </row>
    <row r="211" spans="1:9">
      <c r="A211" s="10" t="s">
        <v>30</v>
      </c>
      <c r="B211" s="10" t="s">
        <v>24</v>
      </c>
      <c r="C211" s="10" t="s">
        <v>11</v>
      </c>
      <c r="D211" s="10" t="s">
        <v>27</v>
      </c>
      <c r="E211" s="11">
        <v>9.156509999999999</v>
      </c>
      <c r="F211" s="11">
        <v>54.25</v>
      </c>
      <c r="G211" s="11">
        <v>11.667245999999999</v>
      </c>
      <c r="H211">
        <v>24</v>
      </c>
      <c r="I211" t="s">
        <v>107</v>
      </c>
    </row>
    <row r="212" spans="1:9">
      <c r="A212" s="10" t="s">
        <v>30</v>
      </c>
      <c r="B212" s="10" t="s">
        <v>24</v>
      </c>
      <c r="C212" s="10" t="s">
        <v>25</v>
      </c>
      <c r="D212" s="10" t="s">
        <v>27</v>
      </c>
      <c r="E212" s="11">
        <v>8.843490000000001</v>
      </c>
      <c r="F212" s="11">
        <v>46.583300000000001</v>
      </c>
      <c r="G212" s="11">
        <v>11.291979</v>
      </c>
      <c r="H212">
        <v>22</v>
      </c>
      <c r="I212" t="s">
        <v>107</v>
      </c>
    </row>
    <row r="213" spans="1:9">
      <c r="A213" s="10" t="s">
        <v>30</v>
      </c>
      <c r="B213" s="10" t="s">
        <v>24</v>
      </c>
      <c r="C213" s="10" t="s">
        <v>25</v>
      </c>
      <c r="D213" s="10" t="s">
        <v>27</v>
      </c>
      <c r="E213" s="11">
        <v>9.7434899999999995</v>
      </c>
      <c r="F213" s="11">
        <v>48.083300000000001</v>
      </c>
      <c r="G213" s="11">
        <v>11.042470999999999</v>
      </c>
      <c r="H213">
        <v>22</v>
      </c>
      <c r="I213" t="s">
        <v>107</v>
      </c>
    </row>
    <row r="214" spans="1:9">
      <c r="A214" s="10" t="s">
        <v>30</v>
      </c>
      <c r="B214" s="10" t="s">
        <v>24</v>
      </c>
      <c r="C214" s="10" t="s">
        <v>11</v>
      </c>
      <c r="D214" s="10" t="s">
        <v>27</v>
      </c>
      <c r="E214" s="11">
        <v>8.1374849999999999</v>
      </c>
      <c r="F214" s="11">
        <v>55.083300000000001</v>
      </c>
      <c r="G214" s="11">
        <v>10.500038999999999</v>
      </c>
      <c r="H214">
        <v>30</v>
      </c>
      <c r="I214" t="s">
        <v>107</v>
      </c>
    </row>
    <row r="215" spans="1:9">
      <c r="A215" s="10" t="s">
        <v>30</v>
      </c>
      <c r="B215" s="10" t="s">
        <v>24</v>
      </c>
      <c r="C215" s="10" t="s">
        <v>11</v>
      </c>
      <c r="D215" s="10" t="s">
        <v>27</v>
      </c>
      <c r="E215" s="11">
        <v>8.6478300000000008</v>
      </c>
      <c r="F215" s="11">
        <v>49.125</v>
      </c>
      <c r="G215" s="11">
        <v>13.79195</v>
      </c>
      <c r="H215">
        <v>27</v>
      </c>
      <c r="I215" t="s">
        <v>107</v>
      </c>
    </row>
    <row r="216" spans="1:9">
      <c r="A216" s="10" t="s">
        <v>30</v>
      </c>
      <c r="B216" s="10" t="s">
        <v>24</v>
      </c>
      <c r="C216" s="10" t="s">
        <v>11</v>
      </c>
      <c r="D216" s="10" t="s">
        <v>26</v>
      </c>
      <c r="E216" s="11">
        <v>11.700000000000001</v>
      </c>
      <c r="F216" s="11">
        <v>65.75</v>
      </c>
      <c r="G216" s="11">
        <v>9.0840610000000002</v>
      </c>
      <c r="H216">
        <v>30</v>
      </c>
      <c r="I216" t="s">
        <v>107</v>
      </c>
    </row>
    <row r="217" spans="1:9">
      <c r="A217" s="10" t="s">
        <v>30</v>
      </c>
      <c r="B217" s="10" t="s">
        <v>24</v>
      </c>
      <c r="C217" s="10" t="s">
        <v>11</v>
      </c>
      <c r="D217" s="10" t="s">
        <v>26</v>
      </c>
      <c r="E217" s="11">
        <v>8.4130650000000013</v>
      </c>
      <c r="F217" s="11">
        <v>75.75</v>
      </c>
      <c r="G217" s="11">
        <v>13.20905</v>
      </c>
      <c r="H217">
        <v>31</v>
      </c>
      <c r="I217" t="s">
        <v>107</v>
      </c>
    </row>
    <row r="218" spans="1:9">
      <c r="A218" s="10" t="s">
        <v>30</v>
      </c>
      <c r="B218" s="10" t="s">
        <v>24</v>
      </c>
      <c r="C218" s="10" t="s">
        <v>11</v>
      </c>
      <c r="D218" s="10" t="s">
        <v>27</v>
      </c>
      <c r="E218" s="11">
        <v>9.50868</v>
      </c>
      <c r="F218" s="11">
        <v>63.083299999999994</v>
      </c>
      <c r="G218" s="11">
        <v>12.374632</v>
      </c>
      <c r="H218">
        <v>34</v>
      </c>
      <c r="I218" t="s">
        <v>107</v>
      </c>
    </row>
    <row r="219" spans="1:9">
      <c r="A219" s="10" t="s">
        <v>30</v>
      </c>
      <c r="B219" s="10" t="s">
        <v>24</v>
      </c>
      <c r="C219" s="10" t="s">
        <v>25</v>
      </c>
      <c r="D219" s="10" t="s">
        <v>26</v>
      </c>
      <c r="E219" s="11">
        <v>10.499985000000001</v>
      </c>
      <c r="F219" s="11">
        <v>75.5</v>
      </c>
      <c r="G219" s="11">
        <v>15.29275</v>
      </c>
      <c r="H219">
        <v>20</v>
      </c>
      <c r="I219" t="s">
        <v>107</v>
      </c>
    </row>
    <row r="220" spans="1:9">
      <c r="A220" s="10" t="s">
        <v>30</v>
      </c>
      <c r="B220" s="10" t="s">
        <v>24</v>
      </c>
      <c r="C220" s="10" t="s">
        <v>25</v>
      </c>
      <c r="D220" s="10" t="s">
        <v>27</v>
      </c>
      <c r="E220" s="11">
        <v>12.862485</v>
      </c>
      <c r="F220" s="11">
        <v>75.291699999999992</v>
      </c>
      <c r="G220" s="11">
        <v>13.499629000000001</v>
      </c>
      <c r="H220">
        <v>32</v>
      </c>
      <c r="I220" t="s">
        <v>107</v>
      </c>
    </row>
    <row r="221" spans="1:9">
      <c r="A221" s="10" t="s">
        <v>30</v>
      </c>
      <c r="B221" s="10" t="s">
        <v>24</v>
      </c>
      <c r="C221" s="10" t="s">
        <v>11</v>
      </c>
      <c r="D221" s="10" t="s">
        <v>27</v>
      </c>
      <c r="E221" s="11">
        <v>12.225014999999999</v>
      </c>
      <c r="F221" s="11">
        <v>59.208300000000001</v>
      </c>
      <c r="G221" s="11">
        <v>12.875725000000001</v>
      </c>
      <c r="H221">
        <v>34</v>
      </c>
      <c r="I221" t="s">
        <v>107</v>
      </c>
    </row>
    <row r="222" spans="1:9">
      <c r="A222" s="10" t="s">
        <v>30</v>
      </c>
      <c r="B222" s="10" t="s">
        <v>24</v>
      </c>
      <c r="C222" s="10" t="s">
        <v>11</v>
      </c>
      <c r="D222" s="10" t="s">
        <v>27</v>
      </c>
      <c r="E222" s="11">
        <v>9.9374850000000006</v>
      </c>
      <c r="F222" s="11">
        <v>57.041699999999992</v>
      </c>
      <c r="G222" s="11">
        <v>10.125107</v>
      </c>
      <c r="H222">
        <v>30</v>
      </c>
      <c r="I222" t="s">
        <v>107</v>
      </c>
    </row>
    <row r="223" spans="1:9">
      <c r="A223" s="10" t="s">
        <v>30</v>
      </c>
      <c r="B223" s="10" t="s">
        <v>24</v>
      </c>
      <c r="C223" s="10" t="s">
        <v>11</v>
      </c>
      <c r="D223" s="10" t="s">
        <v>27</v>
      </c>
      <c r="E223" s="11">
        <v>6.0652349999999995</v>
      </c>
      <c r="F223" s="11">
        <v>42.416699999999999</v>
      </c>
      <c r="G223" s="11">
        <v>13.417285999999999</v>
      </c>
      <c r="H223">
        <v>32</v>
      </c>
      <c r="I223" t="s">
        <v>107</v>
      </c>
    </row>
    <row r="224" spans="1:9">
      <c r="A224" s="10" t="s">
        <v>30</v>
      </c>
      <c r="B224" s="10" t="s">
        <v>24</v>
      </c>
      <c r="C224" s="10" t="s">
        <v>11</v>
      </c>
      <c r="D224" s="10" t="s">
        <v>27</v>
      </c>
      <c r="E224" s="11">
        <v>6.49566</v>
      </c>
      <c r="F224" s="11">
        <v>42.375</v>
      </c>
      <c r="G224" s="11">
        <v>11.041332000000001</v>
      </c>
      <c r="H224">
        <v>31</v>
      </c>
      <c r="I224" t="s">
        <v>107</v>
      </c>
    </row>
    <row r="225" spans="1:9">
      <c r="A225" s="10" t="s">
        <v>30</v>
      </c>
      <c r="B225" s="10" t="s">
        <v>24</v>
      </c>
      <c r="C225" s="10" t="s">
        <v>11</v>
      </c>
      <c r="D225" s="10" t="s">
        <v>27</v>
      </c>
      <c r="E225" s="11">
        <v>8.5090950000000003</v>
      </c>
      <c r="F225" s="11">
        <v>41.5</v>
      </c>
      <c r="G225" s="11">
        <v>8.4166070000000008</v>
      </c>
      <c r="H225">
        <v>35</v>
      </c>
      <c r="I225" t="s">
        <v>107</v>
      </c>
    </row>
    <row r="226" spans="1:9">
      <c r="A226" s="10" t="s">
        <v>30</v>
      </c>
      <c r="B226" s="10" t="s">
        <v>24</v>
      </c>
      <c r="C226" s="10" t="s">
        <v>25</v>
      </c>
      <c r="D226" s="10" t="s">
        <v>26</v>
      </c>
      <c r="E226" s="11">
        <v>10.012499999999999</v>
      </c>
      <c r="F226" s="11">
        <v>72.958299999999994</v>
      </c>
      <c r="G226" s="11">
        <v>14.167418</v>
      </c>
      <c r="H226">
        <v>30</v>
      </c>
      <c r="I226" t="s">
        <v>107</v>
      </c>
    </row>
    <row r="227" spans="1:9">
      <c r="A227" s="10" t="s">
        <v>30</v>
      </c>
      <c r="B227" s="10" t="s">
        <v>24</v>
      </c>
      <c r="C227" s="10" t="s">
        <v>25</v>
      </c>
      <c r="D227" s="10" t="s">
        <v>26</v>
      </c>
      <c r="E227" s="11">
        <v>14.243490000000001</v>
      </c>
      <c r="F227" s="11">
        <v>81.75</v>
      </c>
      <c r="G227" s="11">
        <v>14.916411</v>
      </c>
      <c r="H227">
        <v>32</v>
      </c>
      <c r="I227" t="s">
        <v>107</v>
      </c>
    </row>
    <row r="228" spans="1:9">
      <c r="A228" s="10" t="s">
        <v>30</v>
      </c>
      <c r="B228" s="10" t="s">
        <v>24</v>
      </c>
      <c r="C228" s="10" t="s">
        <v>11</v>
      </c>
      <c r="D228" s="10" t="s">
        <v>27</v>
      </c>
      <c r="E228" s="11">
        <v>18.675000000000001</v>
      </c>
      <c r="F228" s="11">
        <v>71.208300000000008</v>
      </c>
      <c r="G228" s="11">
        <v>13.999917999999999</v>
      </c>
      <c r="H228">
        <v>38</v>
      </c>
      <c r="I228" t="s">
        <v>107</v>
      </c>
    </row>
    <row r="229" spans="1:9">
      <c r="A229" s="10" t="s">
        <v>30</v>
      </c>
      <c r="B229" s="10" t="s">
        <v>24</v>
      </c>
      <c r="C229" s="10" t="s">
        <v>11</v>
      </c>
      <c r="D229" s="10" t="s">
        <v>27</v>
      </c>
      <c r="E229" s="11">
        <v>11.973915000000002</v>
      </c>
      <c r="F229" s="11">
        <v>57.833300000000001</v>
      </c>
      <c r="G229" s="11">
        <v>15.834043000000001</v>
      </c>
      <c r="H229">
        <v>37</v>
      </c>
      <c r="I229" t="s">
        <v>107</v>
      </c>
    </row>
    <row r="230" spans="1:9">
      <c r="A230" s="10" t="s">
        <v>30</v>
      </c>
      <c r="B230" s="10" t="s">
        <v>24</v>
      </c>
      <c r="C230" s="10" t="s">
        <v>11</v>
      </c>
      <c r="D230" s="10" t="s">
        <v>27</v>
      </c>
      <c r="E230" s="11">
        <v>14.321745</v>
      </c>
      <c r="F230" s="11">
        <v>57.541699999999999</v>
      </c>
      <c r="G230" s="11">
        <v>9.6256889999999995</v>
      </c>
      <c r="H230">
        <v>42</v>
      </c>
      <c r="I230" t="s">
        <v>106</v>
      </c>
    </row>
    <row r="231" spans="1:9">
      <c r="A231" s="10" t="s">
        <v>30</v>
      </c>
      <c r="B231" s="10" t="s">
        <v>24</v>
      </c>
      <c r="C231" s="10" t="s">
        <v>11</v>
      </c>
      <c r="D231" s="10" t="s">
        <v>27</v>
      </c>
      <c r="E231" s="11">
        <v>19.612485</v>
      </c>
      <c r="F231" s="11">
        <v>65.458300000000008</v>
      </c>
      <c r="G231" s="11">
        <v>15.624936</v>
      </c>
      <c r="H231">
        <v>49</v>
      </c>
      <c r="I231" t="s">
        <v>106</v>
      </c>
    </row>
    <row r="232" spans="1:9">
      <c r="A232" s="10" t="s">
        <v>30</v>
      </c>
      <c r="B232" s="10" t="s">
        <v>24</v>
      </c>
      <c r="C232" s="10" t="s">
        <v>11</v>
      </c>
      <c r="D232" s="10" t="s">
        <v>26</v>
      </c>
      <c r="E232" s="11">
        <v>23.475014999999999</v>
      </c>
      <c r="F232" s="11">
        <v>72.291700000000006</v>
      </c>
      <c r="G232" s="11">
        <v>9.3336359999999985</v>
      </c>
      <c r="H232">
        <v>59</v>
      </c>
      <c r="I232" t="s">
        <v>106</v>
      </c>
    </row>
    <row r="233" spans="1:9">
      <c r="A233" s="10" t="s">
        <v>30</v>
      </c>
      <c r="B233" s="10" t="s">
        <v>24</v>
      </c>
      <c r="C233" s="10" t="s">
        <v>25</v>
      </c>
      <c r="D233" s="10" t="s">
        <v>27</v>
      </c>
      <c r="E233" s="11">
        <v>17.962515</v>
      </c>
      <c r="F233" s="11">
        <v>67.416699999999992</v>
      </c>
      <c r="G233" s="11">
        <v>6.9992890000000001</v>
      </c>
      <c r="H233">
        <v>33</v>
      </c>
      <c r="I233" t="s">
        <v>107</v>
      </c>
    </row>
    <row r="234" spans="1:9">
      <c r="A234" s="10" t="s">
        <v>30</v>
      </c>
      <c r="B234" s="10" t="s">
        <v>24</v>
      </c>
      <c r="C234" s="10" t="s">
        <v>25</v>
      </c>
      <c r="D234" s="10" t="s">
        <v>27</v>
      </c>
      <c r="E234" s="11">
        <v>12.834764999999999</v>
      </c>
      <c r="F234" s="11">
        <v>77</v>
      </c>
      <c r="G234" s="11">
        <v>16.666518</v>
      </c>
      <c r="H234">
        <v>36</v>
      </c>
      <c r="I234" t="s">
        <v>107</v>
      </c>
    </row>
    <row r="235" spans="1:9">
      <c r="A235" s="10" t="s">
        <v>30</v>
      </c>
      <c r="B235" s="10" t="s">
        <v>24</v>
      </c>
      <c r="C235" s="10" t="s">
        <v>11</v>
      </c>
      <c r="D235" s="10" t="s">
        <v>27</v>
      </c>
      <c r="E235" s="11">
        <v>13.649985000000001</v>
      </c>
      <c r="F235" s="11">
        <v>47</v>
      </c>
      <c r="G235" s="11">
        <v>18.542249999999999</v>
      </c>
      <c r="H235">
        <v>22</v>
      </c>
      <c r="I235" t="s">
        <v>107</v>
      </c>
    </row>
    <row r="236" spans="1:9">
      <c r="A236" s="10" t="s">
        <v>30</v>
      </c>
      <c r="B236" s="10" t="s">
        <v>24</v>
      </c>
      <c r="C236" s="10" t="s">
        <v>11</v>
      </c>
      <c r="D236" s="10" t="s">
        <v>27</v>
      </c>
      <c r="E236" s="11">
        <v>8.1999899999999997</v>
      </c>
      <c r="F236" s="11">
        <v>45.541699999999999</v>
      </c>
      <c r="G236" s="11">
        <v>9.8331210000000002</v>
      </c>
      <c r="H236">
        <v>29</v>
      </c>
      <c r="I236" t="s">
        <v>107</v>
      </c>
    </row>
    <row r="237" spans="1:9">
      <c r="A237" s="10" t="s">
        <v>30</v>
      </c>
      <c r="B237" s="10" t="s">
        <v>24</v>
      </c>
      <c r="C237" s="10" t="s">
        <v>11</v>
      </c>
      <c r="D237" s="10" t="s">
        <v>27</v>
      </c>
      <c r="E237" s="11">
        <v>9.978254999999999</v>
      </c>
      <c r="F237" s="11">
        <v>60.5</v>
      </c>
      <c r="G237" s="11">
        <v>16.958235999999999</v>
      </c>
      <c r="H237">
        <v>39</v>
      </c>
      <c r="I237" t="s">
        <v>107</v>
      </c>
    </row>
    <row r="238" spans="1:9">
      <c r="A238" s="10" t="s">
        <v>30</v>
      </c>
      <c r="B238" s="10" t="s">
        <v>24</v>
      </c>
      <c r="C238" s="10" t="s">
        <v>11</v>
      </c>
      <c r="D238" s="10" t="s">
        <v>26</v>
      </c>
      <c r="E238" s="11">
        <v>13.304340000000002</v>
      </c>
      <c r="F238" s="11">
        <v>77.166700000000006</v>
      </c>
      <c r="G238" s="11">
        <v>14.125810999999999</v>
      </c>
      <c r="H238">
        <v>36</v>
      </c>
      <c r="I238" t="s">
        <v>107</v>
      </c>
    </row>
    <row r="239" spans="1:9">
      <c r="A239" s="10" t="s">
        <v>30</v>
      </c>
      <c r="B239" s="10" t="s">
        <v>24</v>
      </c>
      <c r="C239" s="10" t="s">
        <v>11</v>
      </c>
      <c r="D239" s="10" t="s">
        <v>27</v>
      </c>
      <c r="E239" s="11">
        <v>16.395659999999999</v>
      </c>
      <c r="F239" s="11">
        <v>76.125</v>
      </c>
      <c r="G239" s="11">
        <v>5.6254874999999993</v>
      </c>
      <c r="H239">
        <v>29</v>
      </c>
      <c r="I239" t="s">
        <v>107</v>
      </c>
    </row>
    <row r="240" spans="1:9">
      <c r="A240" s="10" t="s">
        <v>30</v>
      </c>
      <c r="B240" s="10" t="s">
        <v>24</v>
      </c>
      <c r="C240" s="10" t="s">
        <v>25</v>
      </c>
      <c r="D240" s="10" t="s">
        <v>26</v>
      </c>
      <c r="E240" s="11">
        <v>12.712499999999999</v>
      </c>
      <c r="F240" s="11">
        <v>85</v>
      </c>
      <c r="G240" s="11">
        <v>25.166338999999997</v>
      </c>
      <c r="H240">
        <v>39</v>
      </c>
      <c r="I240" t="s">
        <v>107</v>
      </c>
    </row>
    <row r="241" spans="1:9">
      <c r="A241" s="10" t="s">
        <v>30</v>
      </c>
      <c r="B241" s="10" t="s">
        <v>24</v>
      </c>
      <c r="C241" s="10" t="s">
        <v>25</v>
      </c>
      <c r="D241" s="10" t="s">
        <v>27</v>
      </c>
      <c r="E241" s="11">
        <v>15.45651</v>
      </c>
      <c r="F241" s="11">
        <v>56.176499999999997</v>
      </c>
      <c r="G241" s="11">
        <v>20.412153</v>
      </c>
      <c r="H241">
        <v>48</v>
      </c>
      <c r="I241" t="s">
        <v>106</v>
      </c>
    </row>
    <row r="242" spans="1:9">
      <c r="A242" s="10" t="s">
        <v>30</v>
      </c>
      <c r="B242" s="10" t="s">
        <v>24</v>
      </c>
      <c r="C242" s="10" t="s">
        <v>11</v>
      </c>
      <c r="D242" s="10" t="s">
        <v>27</v>
      </c>
      <c r="E242" s="11">
        <v>18.327285</v>
      </c>
      <c r="F242" s="11">
        <v>55.458300000000008</v>
      </c>
      <c r="G242" s="11">
        <v>10.708275</v>
      </c>
      <c r="H242">
        <v>29</v>
      </c>
      <c r="I242" t="s">
        <v>107</v>
      </c>
    </row>
    <row r="243" spans="1:9">
      <c r="A243" s="10" t="s">
        <v>30</v>
      </c>
      <c r="B243" s="10" t="s">
        <v>24</v>
      </c>
      <c r="C243" s="10" t="s">
        <v>11</v>
      </c>
      <c r="D243" s="10" t="s">
        <v>27</v>
      </c>
      <c r="E243" s="11">
        <v>12.000014999999999</v>
      </c>
      <c r="F243" s="11">
        <v>54.833299999999994</v>
      </c>
      <c r="G243" s="11">
        <v>8.3755360000000003</v>
      </c>
      <c r="H243">
        <v>37</v>
      </c>
      <c r="I243" t="s">
        <v>107</v>
      </c>
    </row>
    <row r="244" spans="1:9">
      <c r="A244" s="10" t="s">
        <v>30</v>
      </c>
      <c r="B244" s="10" t="s">
        <v>24</v>
      </c>
      <c r="C244" s="10" t="s">
        <v>11</v>
      </c>
      <c r="D244" s="10" t="s">
        <v>27</v>
      </c>
      <c r="E244" s="11">
        <v>15.075000000000001</v>
      </c>
      <c r="F244" s="11">
        <v>59.791700000000006</v>
      </c>
      <c r="G244" s="11">
        <v>5.5833310999999997</v>
      </c>
      <c r="H244">
        <v>43</v>
      </c>
      <c r="I244" t="s">
        <v>106</v>
      </c>
    </row>
    <row r="245" spans="1:9">
      <c r="A245" s="10" t="s">
        <v>31</v>
      </c>
      <c r="B245" s="10" t="s">
        <v>24</v>
      </c>
      <c r="C245" s="10" t="s">
        <v>11</v>
      </c>
      <c r="D245" s="10" t="s">
        <v>27</v>
      </c>
      <c r="E245" s="11">
        <v>8.9249850000000013</v>
      </c>
      <c r="F245" s="11">
        <v>63.916700000000006</v>
      </c>
      <c r="G245" s="11">
        <v>9.5003320000000002</v>
      </c>
      <c r="H245">
        <v>33</v>
      </c>
      <c r="I245" t="s">
        <v>107</v>
      </c>
    </row>
    <row r="246" spans="1:9">
      <c r="A246" s="10" t="s">
        <v>31</v>
      </c>
      <c r="B246" s="10" t="s">
        <v>24</v>
      </c>
      <c r="C246" s="10" t="s">
        <v>11</v>
      </c>
      <c r="D246" s="10" t="s">
        <v>26</v>
      </c>
      <c r="E246" s="11">
        <v>11.775015</v>
      </c>
      <c r="F246" s="11">
        <v>72.708300000000008</v>
      </c>
      <c r="G246" s="11">
        <v>9.3752429999999993</v>
      </c>
      <c r="H246">
        <v>39</v>
      </c>
      <c r="I246" t="s">
        <v>107</v>
      </c>
    </row>
    <row r="247" spans="1:9">
      <c r="A247" s="10" t="s">
        <v>31</v>
      </c>
      <c r="B247" s="10" t="s">
        <v>24</v>
      </c>
      <c r="C247" s="10" t="s">
        <v>25</v>
      </c>
      <c r="D247" s="10" t="s">
        <v>27</v>
      </c>
      <c r="E247" s="11">
        <v>17.287514999999999</v>
      </c>
      <c r="F247" s="11">
        <v>71.666700000000006</v>
      </c>
      <c r="G247" s="11">
        <v>12.416774999999999</v>
      </c>
      <c r="H247">
        <v>42</v>
      </c>
      <c r="I247" t="s">
        <v>106</v>
      </c>
    </row>
    <row r="248" spans="1:9">
      <c r="A248" s="10" t="s">
        <v>31</v>
      </c>
      <c r="B248" s="10" t="s">
        <v>24</v>
      </c>
      <c r="C248" s="10" t="s">
        <v>25</v>
      </c>
      <c r="D248" s="10" t="s">
        <v>27</v>
      </c>
      <c r="E248" s="11">
        <v>16.943490000000001</v>
      </c>
      <c r="F248" s="11">
        <v>74.208300000000008</v>
      </c>
      <c r="G248" s="11">
        <v>13.833289000000001</v>
      </c>
      <c r="H248">
        <v>12</v>
      </c>
      <c r="I248" t="s">
        <v>107</v>
      </c>
    </row>
    <row r="249" spans="1:9">
      <c r="A249" s="10" t="s">
        <v>31</v>
      </c>
      <c r="B249" s="10" t="s">
        <v>7</v>
      </c>
      <c r="C249" s="10" t="s">
        <v>25</v>
      </c>
      <c r="D249" s="10" t="s">
        <v>26</v>
      </c>
      <c r="E249" s="11">
        <v>11.778255</v>
      </c>
      <c r="F249" s="11">
        <v>79.041700000000006</v>
      </c>
      <c r="G249" s="11">
        <v>14.250632</v>
      </c>
      <c r="H249">
        <v>38</v>
      </c>
      <c r="I249" t="s">
        <v>107</v>
      </c>
    </row>
    <row r="250" spans="1:9">
      <c r="A250" s="10" t="s">
        <v>31</v>
      </c>
      <c r="B250" s="10" t="s">
        <v>24</v>
      </c>
      <c r="C250" s="10" t="s">
        <v>11</v>
      </c>
      <c r="D250" s="10" t="s">
        <v>28</v>
      </c>
      <c r="E250" s="11">
        <v>13.1625</v>
      </c>
      <c r="F250" s="11">
        <v>88.695700000000002</v>
      </c>
      <c r="G250" s="11">
        <v>23.044180999999998</v>
      </c>
      <c r="H250">
        <v>42</v>
      </c>
      <c r="I250" t="s">
        <v>106</v>
      </c>
    </row>
    <row r="251" spans="1:9">
      <c r="A251" s="10" t="s">
        <v>31</v>
      </c>
      <c r="B251" s="10" t="s">
        <v>24</v>
      </c>
      <c r="C251" s="10" t="s">
        <v>11</v>
      </c>
      <c r="D251" s="10" t="s">
        <v>28</v>
      </c>
      <c r="E251" s="11">
        <v>13.312485000000001</v>
      </c>
      <c r="F251" s="11">
        <v>91.708299999999994</v>
      </c>
      <c r="G251" s="11">
        <v>6.5003936000000007</v>
      </c>
      <c r="H251">
        <v>38</v>
      </c>
      <c r="I251" t="s">
        <v>107</v>
      </c>
    </row>
    <row r="252" spans="1:9">
      <c r="A252" s="10" t="s">
        <v>31</v>
      </c>
      <c r="B252" s="10" t="s">
        <v>24</v>
      </c>
      <c r="C252" s="10" t="s">
        <v>11</v>
      </c>
      <c r="D252" s="10" t="s">
        <v>28</v>
      </c>
      <c r="E252" s="11">
        <v>17.509095000000002</v>
      </c>
      <c r="F252" s="11">
        <v>93.956500000000005</v>
      </c>
      <c r="G252" s="11">
        <v>12.914116</v>
      </c>
      <c r="H252">
        <v>13</v>
      </c>
      <c r="I252" t="s">
        <v>107</v>
      </c>
    </row>
    <row r="253" spans="1:9">
      <c r="A253" s="10" t="s">
        <v>31</v>
      </c>
      <c r="B253" s="10" t="s">
        <v>24</v>
      </c>
      <c r="C253" s="10" t="s">
        <v>11</v>
      </c>
      <c r="D253" s="10" t="s">
        <v>26</v>
      </c>
      <c r="E253" s="11">
        <v>14.243490000000001</v>
      </c>
      <c r="F253" s="11">
        <v>89.791699999999992</v>
      </c>
      <c r="G253" s="11">
        <v>8.3333930000000009</v>
      </c>
      <c r="H253">
        <v>40</v>
      </c>
      <c r="I253" t="s">
        <v>106</v>
      </c>
    </row>
    <row r="254" spans="1:9">
      <c r="A254" s="10" t="s">
        <v>31</v>
      </c>
      <c r="B254" s="10" t="s">
        <v>24</v>
      </c>
      <c r="C254" s="10" t="s">
        <v>25</v>
      </c>
      <c r="D254" s="10" t="s">
        <v>27</v>
      </c>
      <c r="E254" s="11">
        <v>14.812514999999999</v>
      </c>
      <c r="F254" s="11">
        <v>75.375</v>
      </c>
      <c r="G254" s="11">
        <v>10.291736</v>
      </c>
      <c r="H254">
        <v>42</v>
      </c>
      <c r="I254" t="s">
        <v>106</v>
      </c>
    </row>
    <row r="255" spans="1:9">
      <c r="A255" s="10" t="s">
        <v>31</v>
      </c>
      <c r="B255" s="10" t="s">
        <v>24</v>
      </c>
      <c r="C255" s="10" t="s">
        <v>25</v>
      </c>
      <c r="D255" s="10" t="s">
        <v>27</v>
      </c>
      <c r="E255" s="11">
        <v>17.295660000000002</v>
      </c>
      <c r="F255" s="11">
        <v>71.375</v>
      </c>
      <c r="G255" s="11">
        <v>7.7086180000000004</v>
      </c>
      <c r="H255">
        <v>49</v>
      </c>
      <c r="I255" t="s">
        <v>106</v>
      </c>
    </row>
    <row r="256" spans="1:9">
      <c r="A256" s="10" t="s">
        <v>31</v>
      </c>
      <c r="B256" s="10" t="s">
        <v>24</v>
      </c>
      <c r="C256" s="10" t="s">
        <v>11</v>
      </c>
      <c r="D256" s="10" t="s">
        <v>27</v>
      </c>
      <c r="E256" s="11">
        <v>14.634765</v>
      </c>
      <c r="F256" s="11">
        <v>69.217399999999998</v>
      </c>
      <c r="G256" s="11">
        <v>5.9571710000000007</v>
      </c>
      <c r="H256">
        <v>41</v>
      </c>
      <c r="I256" t="s">
        <v>106</v>
      </c>
    </row>
    <row r="257" spans="1:9">
      <c r="A257" s="10" t="s">
        <v>31</v>
      </c>
      <c r="B257" s="10" t="s">
        <v>24</v>
      </c>
      <c r="C257" s="10" t="s">
        <v>11</v>
      </c>
      <c r="D257" s="10" t="s">
        <v>27</v>
      </c>
      <c r="E257" s="11">
        <v>14.282594999999999</v>
      </c>
      <c r="F257" s="11">
        <v>71.25</v>
      </c>
      <c r="G257" s="11">
        <v>9.5008680000000005</v>
      </c>
      <c r="H257">
        <v>41</v>
      </c>
      <c r="I257" t="s">
        <v>106</v>
      </c>
    </row>
    <row r="258" spans="1:9">
      <c r="A258" s="10" t="s">
        <v>31</v>
      </c>
      <c r="B258" s="10" t="s">
        <v>24</v>
      </c>
      <c r="C258" s="10" t="s">
        <v>11</v>
      </c>
      <c r="D258" s="10" t="s">
        <v>27</v>
      </c>
      <c r="E258" s="11">
        <v>16.434765000000002</v>
      </c>
      <c r="F258" s="11">
        <v>69.708299999999994</v>
      </c>
      <c r="G258" s="11">
        <v>11.209099999999999</v>
      </c>
      <c r="H258">
        <v>43</v>
      </c>
      <c r="I258" t="s">
        <v>106</v>
      </c>
    </row>
    <row r="259" spans="1:9">
      <c r="A259" s="10" t="s">
        <v>31</v>
      </c>
      <c r="B259" s="10" t="s">
        <v>24</v>
      </c>
      <c r="C259" s="10" t="s">
        <v>11</v>
      </c>
      <c r="D259" s="10" t="s">
        <v>26</v>
      </c>
      <c r="E259" s="11">
        <v>18.675000000000001</v>
      </c>
      <c r="F259" s="11">
        <v>70.916700000000006</v>
      </c>
      <c r="G259" s="11">
        <v>18.166782000000001</v>
      </c>
      <c r="H259">
        <v>54</v>
      </c>
      <c r="I259" t="s">
        <v>106</v>
      </c>
    </row>
    <row r="260" spans="1:9">
      <c r="A260" s="10" t="s">
        <v>31</v>
      </c>
      <c r="B260" s="10" t="s">
        <v>24</v>
      </c>
      <c r="C260" s="10" t="s">
        <v>11</v>
      </c>
      <c r="D260" s="10" t="s">
        <v>26</v>
      </c>
      <c r="E260" s="11">
        <v>24.3</v>
      </c>
      <c r="F260" s="11">
        <v>59.041699999999999</v>
      </c>
      <c r="G260" s="11">
        <v>11.000261</v>
      </c>
      <c r="H260">
        <v>65</v>
      </c>
      <c r="I260" t="s">
        <v>106</v>
      </c>
    </row>
    <row r="261" spans="1:9">
      <c r="A261" s="10" t="s">
        <v>31</v>
      </c>
      <c r="B261" s="10" t="s">
        <v>24</v>
      </c>
      <c r="C261" s="10" t="s">
        <v>25</v>
      </c>
      <c r="D261" s="10" t="s">
        <v>26</v>
      </c>
      <c r="E261" s="11">
        <v>21.262499999999999</v>
      </c>
      <c r="F261" s="11">
        <v>71.833299999999994</v>
      </c>
      <c r="G261" s="11">
        <v>12.708225000000001</v>
      </c>
      <c r="H261">
        <v>62</v>
      </c>
      <c r="I261" t="s">
        <v>106</v>
      </c>
    </row>
    <row r="262" spans="1:9">
      <c r="A262" s="10" t="s">
        <v>31</v>
      </c>
      <c r="B262" s="10" t="s">
        <v>24</v>
      </c>
      <c r="C262" s="10" t="s">
        <v>25</v>
      </c>
      <c r="D262" s="10" t="s">
        <v>27</v>
      </c>
      <c r="E262" s="11">
        <v>14.9625</v>
      </c>
      <c r="F262" s="11">
        <v>69.5</v>
      </c>
      <c r="G262" s="11">
        <v>11.958361</v>
      </c>
      <c r="H262">
        <v>49</v>
      </c>
      <c r="I262" t="s">
        <v>106</v>
      </c>
    </row>
    <row r="263" spans="1:9">
      <c r="A263" s="10" t="s">
        <v>31</v>
      </c>
      <c r="B263" s="10" t="s">
        <v>24</v>
      </c>
      <c r="C263" s="10" t="s">
        <v>11</v>
      </c>
      <c r="D263" s="10" t="s">
        <v>26</v>
      </c>
      <c r="E263" s="11">
        <v>19.369575000000001</v>
      </c>
      <c r="F263" s="11">
        <v>69</v>
      </c>
      <c r="G263" s="11">
        <v>10.166713999999999</v>
      </c>
      <c r="H263">
        <v>42</v>
      </c>
      <c r="I263" t="s">
        <v>106</v>
      </c>
    </row>
    <row r="264" spans="1:9">
      <c r="A264" s="10" t="s">
        <v>31</v>
      </c>
      <c r="B264" s="10" t="s">
        <v>24</v>
      </c>
      <c r="C264" s="10" t="s">
        <v>11</v>
      </c>
      <c r="D264" s="10" t="s">
        <v>26</v>
      </c>
      <c r="E264" s="11">
        <v>19.875014999999998</v>
      </c>
      <c r="F264" s="11">
        <v>88.125</v>
      </c>
      <c r="G264" s="11">
        <v>9.041917999999999</v>
      </c>
      <c r="H264">
        <v>54</v>
      </c>
      <c r="I264" t="s">
        <v>106</v>
      </c>
    </row>
    <row r="265" spans="1:9">
      <c r="A265" s="10" t="s">
        <v>31</v>
      </c>
      <c r="B265" s="10" t="s">
        <v>24</v>
      </c>
      <c r="C265" s="10" t="s">
        <v>11</v>
      </c>
      <c r="D265" s="10" t="s">
        <v>26</v>
      </c>
      <c r="E265" s="11">
        <v>15.613065000000001</v>
      </c>
      <c r="F265" s="11">
        <v>90</v>
      </c>
      <c r="G265" s="11">
        <v>6.4590813999999996</v>
      </c>
      <c r="H265">
        <v>42</v>
      </c>
      <c r="I265" t="s">
        <v>106</v>
      </c>
    </row>
    <row r="266" spans="1:9">
      <c r="A266" s="10" t="s">
        <v>31</v>
      </c>
      <c r="B266" s="10" t="s">
        <v>24</v>
      </c>
      <c r="C266" s="10" t="s">
        <v>11</v>
      </c>
      <c r="D266" s="10" t="s">
        <v>26</v>
      </c>
      <c r="E266" s="11">
        <v>12.824999999999999</v>
      </c>
      <c r="F266" s="11">
        <v>90.208299999999994</v>
      </c>
      <c r="G266" s="11">
        <v>8.5843749999999996</v>
      </c>
      <c r="H266">
        <v>37</v>
      </c>
      <c r="I266" t="s">
        <v>107</v>
      </c>
    </row>
    <row r="267" spans="1:9">
      <c r="A267" s="10" t="s">
        <v>31</v>
      </c>
      <c r="B267" s="10" t="s">
        <v>24</v>
      </c>
      <c r="C267" s="10" t="s">
        <v>11</v>
      </c>
      <c r="D267" s="10" t="s">
        <v>26</v>
      </c>
      <c r="E267" s="11">
        <v>11.887514999999999</v>
      </c>
      <c r="F267" s="11">
        <v>97.25</v>
      </c>
      <c r="G267" s="11">
        <v>5.2505689000000002</v>
      </c>
      <c r="H267">
        <v>44</v>
      </c>
      <c r="I267" t="s">
        <v>106</v>
      </c>
    </row>
    <row r="268" spans="1:9">
      <c r="A268" s="10" t="s">
        <v>31</v>
      </c>
      <c r="B268" s="10" t="s">
        <v>24</v>
      </c>
      <c r="C268" s="10" t="s">
        <v>25</v>
      </c>
      <c r="D268" s="10" t="s">
        <v>26</v>
      </c>
      <c r="E268" s="11">
        <v>11.962484999999999</v>
      </c>
      <c r="F268" s="11">
        <v>86.25</v>
      </c>
      <c r="G268" s="11">
        <v>5.2516810999999999</v>
      </c>
      <c r="H268">
        <v>50</v>
      </c>
      <c r="I268" t="s">
        <v>106</v>
      </c>
    </row>
    <row r="269" spans="1:9">
      <c r="A269" s="10" t="s">
        <v>31</v>
      </c>
      <c r="B269" s="10" t="s">
        <v>24</v>
      </c>
      <c r="C269" s="10" t="s">
        <v>25</v>
      </c>
      <c r="D269" s="10" t="s">
        <v>26</v>
      </c>
      <c r="E269" s="11">
        <v>11.386935000000001</v>
      </c>
      <c r="F269" s="11">
        <v>84.5</v>
      </c>
      <c r="G269" s="11">
        <v>3.3754064000000001</v>
      </c>
      <c r="H269">
        <v>33</v>
      </c>
      <c r="I269" t="s">
        <v>107</v>
      </c>
    </row>
    <row r="270" spans="1:9">
      <c r="A270" s="10" t="s">
        <v>31</v>
      </c>
      <c r="B270" s="10" t="s">
        <v>24</v>
      </c>
      <c r="C270" s="10" t="s">
        <v>11</v>
      </c>
      <c r="D270" s="10" t="s">
        <v>26</v>
      </c>
      <c r="E270" s="11">
        <v>11.895660000000001</v>
      </c>
      <c r="F270" s="11">
        <v>84.833299999999994</v>
      </c>
      <c r="G270" s="11">
        <v>7.4169</v>
      </c>
      <c r="H270">
        <v>40</v>
      </c>
      <c r="I270" t="s">
        <v>106</v>
      </c>
    </row>
    <row r="271" spans="1:9">
      <c r="A271" s="10" t="s">
        <v>31</v>
      </c>
      <c r="B271" s="10" t="s">
        <v>24</v>
      </c>
      <c r="C271" s="10" t="s">
        <v>11</v>
      </c>
      <c r="D271" s="10" t="s">
        <v>26</v>
      </c>
      <c r="E271" s="11">
        <v>13.612499999999999</v>
      </c>
      <c r="F271" s="11">
        <v>88.541700000000006</v>
      </c>
      <c r="G271" s="11">
        <v>7.9174569999999997</v>
      </c>
      <c r="H271">
        <v>48</v>
      </c>
      <c r="I271" t="s">
        <v>106</v>
      </c>
    </row>
    <row r="272" spans="1:9">
      <c r="A272" s="10" t="s">
        <v>31</v>
      </c>
      <c r="B272" s="10" t="s">
        <v>24</v>
      </c>
      <c r="C272" s="10" t="s">
        <v>11</v>
      </c>
      <c r="D272" s="10" t="s">
        <v>26</v>
      </c>
      <c r="E272" s="11">
        <v>13.5</v>
      </c>
      <c r="F272" s="11">
        <v>84.875</v>
      </c>
      <c r="G272" s="11">
        <v>9.9581430000000015</v>
      </c>
      <c r="H272">
        <v>30</v>
      </c>
      <c r="I272" t="s">
        <v>107</v>
      </c>
    </row>
    <row r="273" spans="1:9">
      <c r="A273" s="10" t="s">
        <v>31</v>
      </c>
      <c r="B273" s="10" t="s">
        <v>24</v>
      </c>
      <c r="C273" s="10" t="s">
        <v>11</v>
      </c>
      <c r="D273" s="10" t="s">
        <v>27</v>
      </c>
      <c r="E273" s="11">
        <v>12.074985</v>
      </c>
      <c r="F273" s="11">
        <v>69.916699999999992</v>
      </c>
      <c r="G273" s="11">
        <v>11.583161</v>
      </c>
      <c r="H273">
        <v>34</v>
      </c>
      <c r="I273" t="s">
        <v>107</v>
      </c>
    </row>
    <row r="274" spans="1:9">
      <c r="A274" s="10" t="s">
        <v>31</v>
      </c>
      <c r="B274" s="10" t="s">
        <v>24</v>
      </c>
      <c r="C274" s="10" t="s">
        <v>11</v>
      </c>
      <c r="D274" s="10" t="s">
        <v>27</v>
      </c>
      <c r="E274" s="11">
        <v>13.5</v>
      </c>
      <c r="F274" s="11">
        <v>64.75</v>
      </c>
      <c r="G274" s="11">
        <v>13.833824999999999</v>
      </c>
      <c r="H274">
        <v>44</v>
      </c>
      <c r="I274" t="s">
        <v>106</v>
      </c>
    </row>
    <row r="275" spans="1:9">
      <c r="A275" s="10" t="s">
        <v>31</v>
      </c>
      <c r="B275" s="10" t="s">
        <v>24</v>
      </c>
      <c r="C275" s="10" t="s">
        <v>25</v>
      </c>
      <c r="D275" s="10" t="s">
        <v>26</v>
      </c>
      <c r="E275" s="11">
        <v>14.175000000000001</v>
      </c>
      <c r="F275" s="11">
        <v>75.375</v>
      </c>
      <c r="G275" s="11">
        <v>19.583832000000001</v>
      </c>
      <c r="H275">
        <v>45</v>
      </c>
      <c r="I275" t="s">
        <v>106</v>
      </c>
    </row>
    <row r="276" spans="1:9">
      <c r="A276" s="10" t="s">
        <v>31</v>
      </c>
      <c r="B276" s="10" t="s">
        <v>24</v>
      </c>
      <c r="C276" s="10" t="s">
        <v>25</v>
      </c>
      <c r="D276" s="10" t="s">
        <v>26</v>
      </c>
      <c r="E276" s="11">
        <v>17.024984999999997</v>
      </c>
      <c r="F276" s="11">
        <v>79.166700000000006</v>
      </c>
      <c r="G276" s="11">
        <v>14.874870999999999</v>
      </c>
      <c r="H276">
        <v>65</v>
      </c>
      <c r="I276" t="s">
        <v>106</v>
      </c>
    </row>
    <row r="277" spans="1:9">
      <c r="A277" s="10" t="s">
        <v>31</v>
      </c>
      <c r="B277" s="10" t="s">
        <v>24</v>
      </c>
      <c r="C277" s="10" t="s">
        <v>11</v>
      </c>
      <c r="D277" s="10" t="s">
        <v>26</v>
      </c>
      <c r="E277" s="11">
        <v>25.799985</v>
      </c>
      <c r="F277" s="11">
        <v>76.083299999999994</v>
      </c>
      <c r="G277" s="11">
        <v>5.5841685999999999</v>
      </c>
      <c r="H277">
        <v>63</v>
      </c>
      <c r="I277" t="s">
        <v>106</v>
      </c>
    </row>
    <row r="278" spans="1:9">
      <c r="A278" s="10" t="s">
        <v>31</v>
      </c>
      <c r="B278" s="10" t="s">
        <v>24</v>
      </c>
      <c r="C278" s="10" t="s">
        <v>11</v>
      </c>
      <c r="D278" s="10" t="s">
        <v>27</v>
      </c>
      <c r="E278" s="11">
        <v>18.637515</v>
      </c>
      <c r="F278" s="11">
        <v>71</v>
      </c>
      <c r="G278" s="11">
        <v>13.792218</v>
      </c>
      <c r="H278">
        <v>36</v>
      </c>
      <c r="I278" t="s">
        <v>107</v>
      </c>
    </row>
    <row r="279" spans="1:9">
      <c r="A279" s="10" t="s">
        <v>31</v>
      </c>
      <c r="B279" s="10" t="s">
        <v>24</v>
      </c>
      <c r="C279" s="10" t="s">
        <v>11</v>
      </c>
      <c r="D279" s="10" t="s">
        <v>27</v>
      </c>
      <c r="E279" s="11">
        <v>17.587485000000001</v>
      </c>
      <c r="F279" s="11">
        <v>64.791699999999992</v>
      </c>
      <c r="G279" s="11">
        <v>11.87575</v>
      </c>
      <c r="H279">
        <v>56</v>
      </c>
      <c r="I279" t="s">
        <v>106</v>
      </c>
    </row>
    <row r="280" spans="1:9">
      <c r="A280" s="10" t="s">
        <v>31</v>
      </c>
      <c r="B280" s="10" t="s">
        <v>24</v>
      </c>
      <c r="C280" s="10" t="s">
        <v>11</v>
      </c>
      <c r="D280" s="10" t="s">
        <v>27</v>
      </c>
      <c r="E280" s="11">
        <v>19.6875</v>
      </c>
      <c r="F280" s="11">
        <v>62.083299999999994</v>
      </c>
      <c r="G280" s="11">
        <v>9.041917999999999</v>
      </c>
      <c r="H280">
        <v>62</v>
      </c>
      <c r="I280" t="s">
        <v>106</v>
      </c>
    </row>
    <row r="281" spans="1:9">
      <c r="A281" s="10" t="s">
        <v>31</v>
      </c>
      <c r="B281" s="10" t="s">
        <v>24</v>
      </c>
      <c r="C281" s="10" t="s">
        <v>11</v>
      </c>
      <c r="D281" s="10" t="s">
        <v>27</v>
      </c>
      <c r="E281" s="11">
        <v>15.112485</v>
      </c>
      <c r="F281" s="11">
        <v>68.416699999999992</v>
      </c>
      <c r="G281" s="11">
        <v>1.5002439000000001</v>
      </c>
      <c r="H281">
        <v>29</v>
      </c>
      <c r="I281" t="s">
        <v>107</v>
      </c>
    </row>
    <row r="282" spans="1:9">
      <c r="A282" s="10" t="s">
        <v>31</v>
      </c>
      <c r="B282" s="10" t="s">
        <v>24</v>
      </c>
      <c r="C282" s="10" t="s">
        <v>25</v>
      </c>
      <c r="D282" s="10" t="s">
        <v>27</v>
      </c>
      <c r="E282" s="11">
        <v>15.412500000000001</v>
      </c>
      <c r="F282" s="11">
        <v>70.125</v>
      </c>
      <c r="G282" s="11">
        <v>3.0420813999999998</v>
      </c>
      <c r="H282">
        <v>50</v>
      </c>
      <c r="I282" t="s">
        <v>106</v>
      </c>
    </row>
    <row r="283" spans="1:9">
      <c r="A283" s="10" t="s">
        <v>31</v>
      </c>
      <c r="B283" s="10" t="s">
        <v>24</v>
      </c>
      <c r="C283" s="10" t="s">
        <v>25</v>
      </c>
      <c r="D283" s="10" t="s">
        <v>27</v>
      </c>
      <c r="E283" s="11">
        <v>19.200015</v>
      </c>
      <c r="F283" s="11">
        <v>72.75</v>
      </c>
      <c r="G283" s="11">
        <v>4.2511500000000009</v>
      </c>
      <c r="H283">
        <v>58</v>
      </c>
      <c r="I283" t="s">
        <v>106</v>
      </c>
    </row>
    <row r="284" spans="1:9">
      <c r="A284" s="10" t="s">
        <v>31</v>
      </c>
      <c r="B284" s="10" t="s">
        <v>7</v>
      </c>
      <c r="C284" s="10" t="s">
        <v>25</v>
      </c>
      <c r="D284" s="10" t="s">
        <v>27</v>
      </c>
      <c r="E284" s="11">
        <v>26.80434</v>
      </c>
      <c r="F284" s="11">
        <v>73.375</v>
      </c>
      <c r="G284" s="11">
        <v>2.8343813999999998</v>
      </c>
      <c r="H284">
        <v>67</v>
      </c>
      <c r="I284" t="s">
        <v>106</v>
      </c>
    </row>
    <row r="285" spans="1:9">
      <c r="A285" s="10" t="s">
        <v>31</v>
      </c>
      <c r="B285" s="10" t="s">
        <v>24</v>
      </c>
      <c r="C285" s="10" t="s">
        <v>11</v>
      </c>
      <c r="D285" s="10" t="s">
        <v>26</v>
      </c>
      <c r="E285" s="11">
        <v>22.612499999999997</v>
      </c>
      <c r="F285" s="11">
        <v>80.875</v>
      </c>
      <c r="G285" s="11">
        <v>9.5838140000000003</v>
      </c>
      <c r="H285">
        <v>41</v>
      </c>
      <c r="I285" t="s">
        <v>106</v>
      </c>
    </row>
    <row r="286" spans="1:9">
      <c r="A286" s="10" t="s">
        <v>31</v>
      </c>
      <c r="B286" s="10" t="s">
        <v>24</v>
      </c>
      <c r="C286" s="10" t="s">
        <v>11</v>
      </c>
      <c r="D286" s="10" t="s">
        <v>28</v>
      </c>
      <c r="E286" s="11">
        <v>18.5625</v>
      </c>
      <c r="F286" s="11">
        <v>90.625</v>
      </c>
      <c r="G286" s="11">
        <v>16.626049999999999</v>
      </c>
      <c r="H286">
        <v>43</v>
      </c>
      <c r="I286" t="s">
        <v>106</v>
      </c>
    </row>
    <row r="287" spans="1:9">
      <c r="A287" s="10" t="s">
        <v>31</v>
      </c>
      <c r="B287" s="10" t="s">
        <v>24</v>
      </c>
      <c r="C287" s="10" t="s">
        <v>11</v>
      </c>
      <c r="D287" s="10" t="s">
        <v>26</v>
      </c>
      <c r="E287" s="11">
        <v>21.037500000000001</v>
      </c>
      <c r="F287" s="11">
        <v>89.666700000000006</v>
      </c>
      <c r="G287" s="11">
        <v>9.4997290000000003</v>
      </c>
      <c r="H287">
        <v>66</v>
      </c>
      <c r="I287" t="s">
        <v>106</v>
      </c>
    </row>
    <row r="288" spans="1:9">
      <c r="A288" s="10" t="s">
        <v>31</v>
      </c>
      <c r="B288" s="10" t="s">
        <v>24</v>
      </c>
      <c r="C288" s="10" t="s">
        <v>11</v>
      </c>
      <c r="D288" s="10" t="s">
        <v>26</v>
      </c>
      <c r="E288" s="11">
        <v>20.100014999999999</v>
      </c>
      <c r="F288" s="11">
        <v>71.625</v>
      </c>
      <c r="G288" s="11">
        <v>15.000161</v>
      </c>
      <c r="H288">
        <v>63</v>
      </c>
      <c r="I288" t="s">
        <v>106</v>
      </c>
    </row>
    <row r="289" spans="1:9">
      <c r="A289" s="10" t="s">
        <v>31</v>
      </c>
      <c r="B289" s="10" t="s">
        <v>24</v>
      </c>
      <c r="C289" s="10" t="s">
        <v>25</v>
      </c>
      <c r="D289" s="10" t="s">
        <v>27</v>
      </c>
      <c r="E289" s="11">
        <v>19.387485000000002</v>
      </c>
      <c r="F289" s="11">
        <v>48.333300000000001</v>
      </c>
      <c r="G289" s="11">
        <v>17.291561000000002</v>
      </c>
      <c r="H289">
        <v>15</v>
      </c>
      <c r="I289" t="s">
        <v>107</v>
      </c>
    </row>
    <row r="290" spans="1:9">
      <c r="A290" s="10" t="s">
        <v>31</v>
      </c>
      <c r="B290" s="10" t="s">
        <v>24</v>
      </c>
      <c r="C290" s="10" t="s">
        <v>25</v>
      </c>
      <c r="D290" s="10" t="s">
        <v>27</v>
      </c>
      <c r="E290" s="11">
        <v>20.550014999999998</v>
      </c>
      <c r="F290" s="11">
        <v>48.666699999999999</v>
      </c>
      <c r="G290" s="11">
        <v>18.875039000000001</v>
      </c>
      <c r="H290">
        <v>75</v>
      </c>
      <c r="I290" t="s">
        <v>104</v>
      </c>
    </row>
    <row r="291" spans="1:9">
      <c r="A291" s="10" t="s">
        <v>31</v>
      </c>
      <c r="B291" s="10" t="s">
        <v>24</v>
      </c>
      <c r="C291" s="10" t="s">
        <v>11</v>
      </c>
      <c r="D291" s="10" t="s">
        <v>27</v>
      </c>
      <c r="E291" s="11">
        <v>23.062499999999996</v>
      </c>
      <c r="F291" s="11">
        <v>57.958299999999994</v>
      </c>
      <c r="G291" s="11">
        <v>11.750393000000001</v>
      </c>
      <c r="H291">
        <v>68</v>
      </c>
      <c r="I291" t="s">
        <v>106</v>
      </c>
    </row>
    <row r="292" spans="1:9">
      <c r="A292" s="10" t="s">
        <v>31</v>
      </c>
      <c r="B292" s="10" t="s">
        <v>24</v>
      </c>
      <c r="C292" s="10" t="s">
        <v>11</v>
      </c>
      <c r="D292" s="10" t="s">
        <v>26</v>
      </c>
      <c r="E292" s="11">
        <v>22.762484999999998</v>
      </c>
      <c r="F292" s="11">
        <v>70.166700000000006</v>
      </c>
      <c r="G292" s="11">
        <v>7.3758290000000004</v>
      </c>
      <c r="H292">
        <v>64</v>
      </c>
      <c r="I292" t="s">
        <v>106</v>
      </c>
    </row>
    <row r="293" spans="1:9">
      <c r="A293" s="10" t="s">
        <v>31</v>
      </c>
      <c r="B293" s="10" t="s">
        <v>24</v>
      </c>
      <c r="C293" s="10" t="s">
        <v>11</v>
      </c>
      <c r="D293" s="10" t="s">
        <v>28</v>
      </c>
      <c r="E293" s="11">
        <v>26.774999999999999</v>
      </c>
      <c r="F293" s="11">
        <v>89.52170000000001</v>
      </c>
      <c r="G293" s="11">
        <v>16.303712999999998</v>
      </c>
      <c r="H293">
        <v>79</v>
      </c>
      <c r="I293" t="s">
        <v>104</v>
      </c>
    </row>
    <row r="294" spans="1:9">
      <c r="A294" s="10" t="s">
        <v>31</v>
      </c>
      <c r="B294" s="10" t="s">
        <v>24</v>
      </c>
      <c r="C294" s="10" t="s">
        <v>11</v>
      </c>
      <c r="D294" s="10" t="s">
        <v>27</v>
      </c>
      <c r="E294" s="11">
        <v>20.662514999999999</v>
      </c>
      <c r="F294" s="11">
        <v>63.625</v>
      </c>
      <c r="G294" s="11">
        <v>28.292425000000001</v>
      </c>
      <c r="H294">
        <v>84</v>
      </c>
      <c r="I294" t="s">
        <v>104</v>
      </c>
    </row>
    <row r="295" spans="1:9">
      <c r="A295" s="10" t="s">
        <v>31</v>
      </c>
      <c r="B295" s="10" t="s">
        <v>24</v>
      </c>
      <c r="C295" s="10" t="s">
        <v>11</v>
      </c>
      <c r="D295" s="10" t="s">
        <v>27</v>
      </c>
      <c r="E295" s="11">
        <v>15.150015</v>
      </c>
      <c r="F295" s="11">
        <v>57.416699999999999</v>
      </c>
      <c r="G295" s="11">
        <v>14.833532</v>
      </c>
      <c r="H295">
        <v>34</v>
      </c>
      <c r="I295" t="s">
        <v>107</v>
      </c>
    </row>
    <row r="296" spans="1:9">
      <c r="A296" s="10" t="s">
        <v>31</v>
      </c>
      <c r="B296" s="10" t="s">
        <v>24</v>
      </c>
      <c r="C296" s="10" t="s">
        <v>25</v>
      </c>
      <c r="D296" s="10" t="s">
        <v>27</v>
      </c>
      <c r="E296" s="11">
        <v>20.7</v>
      </c>
      <c r="F296" s="11">
        <v>62.916700000000006</v>
      </c>
      <c r="G296" s="11">
        <v>6.2086689000000002</v>
      </c>
      <c r="H296">
        <v>80</v>
      </c>
      <c r="I296" t="s">
        <v>104</v>
      </c>
    </row>
    <row r="297" spans="1:9">
      <c r="A297" s="10" t="s">
        <v>31</v>
      </c>
      <c r="B297" s="10" t="s">
        <v>24</v>
      </c>
      <c r="C297" s="10" t="s">
        <v>25</v>
      </c>
      <c r="D297" s="10" t="s">
        <v>27</v>
      </c>
      <c r="E297" s="11">
        <v>26.175015000000002</v>
      </c>
      <c r="F297" s="11">
        <v>74.125</v>
      </c>
      <c r="G297" s="11">
        <v>6.6673375000000004</v>
      </c>
      <c r="H297">
        <v>84</v>
      </c>
      <c r="I297" t="s">
        <v>104</v>
      </c>
    </row>
    <row r="298" spans="1:9">
      <c r="A298" s="10" t="s">
        <v>31</v>
      </c>
      <c r="B298" s="10" t="s">
        <v>24</v>
      </c>
      <c r="C298" s="10" t="s">
        <v>11</v>
      </c>
      <c r="D298" s="10" t="s">
        <v>27</v>
      </c>
      <c r="E298" s="11">
        <v>27.300014999999998</v>
      </c>
      <c r="F298" s="11">
        <v>77.208299999999994</v>
      </c>
      <c r="G298" s="11">
        <v>7.9590639999999997</v>
      </c>
      <c r="H298">
        <v>81</v>
      </c>
      <c r="I298" t="s">
        <v>104</v>
      </c>
    </row>
    <row r="299" spans="1:9">
      <c r="A299" s="10" t="s">
        <v>31</v>
      </c>
      <c r="B299" s="10" t="s">
        <v>24</v>
      </c>
      <c r="C299" s="10" t="s">
        <v>11</v>
      </c>
      <c r="D299" s="10" t="s">
        <v>27</v>
      </c>
      <c r="E299" s="11">
        <v>28.425014999999998</v>
      </c>
      <c r="F299" s="11">
        <v>62.291700000000006</v>
      </c>
      <c r="G299" s="11">
        <v>11.166086</v>
      </c>
      <c r="H299">
        <v>88</v>
      </c>
      <c r="I299" t="s">
        <v>104</v>
      </c>
    </row>
    <row r="300" spans="1:9">
      <c r="A300" s="10" t="s">
        <v>31</v>
      </c>
      <c r="B300" s="10" t="s">
        <v>24</v>
      </c>
      <c r="C300" s="10" t="s">
        <v>11</v>
      </c>
      <c r="D300" s="10" t="s">
        <v>26</v>
      </c>
      <c r="E300" s="11">
        <v>27.9</v>
      </c>
      <c r="F300" s="11">
        <v>72.041699999999992</v>
      </c>
      <c r="G300" s="11">
        <v>9.9590139999999998</v>
      </c>
      <c r="H300">
        <v>78</v>
      </c>
      <c r="I300" t="s">
        <v>104</v>
      </c>
    </row>
    <row r="301" spans="1:9">
      <c r="A301" s="10" t="s">
        <v>31</v>
      </c>
      <c r="B301" s="10" t="s">
        <v>24</v>
      </c>
      <c r="C301" s="10" t="s">
        <v>11</v>
      </c>
      <c r="D301" s="10" t="s">
        <v>26</v>
      </c>
      <c r="E301" s="11">
        <v>27.787500000000001</v>
      </c>
      <c r="F301" s="11">
        <v>81.291700000000006</v>
      </c>
      <c r="G301" s="11">
        <v>13.250121</v>
      </c>
      <c r="H301">
        <v>81</v>
      </c>
      <c r="I301" t="s">
        <v>104</v>
      </c>
    </row>
    <row r="302" spans="1:9">
      <c r="A302" s="10" t="s">
        <v>31</v>
      </c>
      <c r="B302" s="10" t="s">
        <v>24</v>
      </c>
      <c r="C302" s="10" t="s">
        <v>11</v>
      </c>
      <c r="D302" s="10" t="s">
        <v>26</v>
      </c>
      <c r="E302" s="11">
        <v>22.95</v>
      </c>
      <c r="F302" s="11">
        <v>58.583300000000008</v>
      </c>
      <c r="G302" s="11">
        <v>15.375093</v>
      </c>
      <c r="H302">
        <v>92</v>
      </c>
      <c r="I302" t="s">
        <v>104</v>
      </c>
    </row>
    <row r="303" spans="1:9">
      <c r="A303" s="10" t="s">
        <v>31</v>
      </c>
      <c r="B303" s="10" t="s">
        <v>24</v>
      </c>
      <c r="C303" s="10" t="s">
        <v>25</v>
      </c>
      <c r="D303" s="10" t="s">
        <v>28</v>
      </c>
      <c r="E303" s="11">
        <v>21.262499999999999</v>
      </c>
      <c r="F303" s="11">
        <v>88.25</v>
      </c>
      <c r="G303" s="11">
        <v>23.541857</v>
      </c>
      <c r="H303">
        <v>106</v>
      </c>
      <c r="I303" t="s">
        <v>105</v>
      </c>
    </row>
    <row r="304" spans="1:9">
      <c r="A304" s="10" t="s">
        <v>31</v>
      </c>
      <c r="B304" s="10" t="s">
        <v>24</v>
      </c>
      <c r="C304" s="10" t="s">
        <v>25</v>
      </c>
      <c r="D304" s="10" t="s">
        <v>27</v>
      </c>
      <c r="E304" s="11">
        <v>20.325015</v>
      </c>
      <c r="F304" s="11">
        <v>62.375</v>
      </c>
      <c r="G304" s="11">
        <v>11.833339</v>
      </c>
      <c r="H304">
        <v>67</v>
      </c>
      <c r="I304" t="s">
        <v>106</v>
      </c>
    </row>
    <row r="305" spans="1:9">
      <c r="A305" s="10" t="s">
        <v>31</v>
      </c>
      <c r="B305" s="10" t="s">
        <v>24</v>
      </c>
      <c r="C305" s="10" t="s">
        <v>11</v>
      </c>
      <c r="D305" s="10" t="s">
        <v>27</v>
      </c>
      <c r="E305" s="11">
        <v>24.712515</v>
      </c>
      <c r="F305" s="11">
        <v>70.333299999999994</v>
      </c>
      <c r="G305" s="11">
        <v>7.1254499999999998</v>
      </c>
      <c r="H305">
        <v>88</v>
      </c>
      <c r="I305" t="s">
        <v>104</v>
      </c>
    </row>
    <row r="306" spans="1:9">
      <c r="A306" s="10" t="s">
        <v>31</v>
      </c>
      <c r="B306" s="10" t="s">
        <v>24</v>
      </c>
      <c r="C306" s="10" t="s">
        <v>11</v>
      </c>
      <c r="D306" s="10" t="s">
        <v>27</v>
      </c>
      <c r="E306" s="11">
        <v>27.750014999999998</v>
      </c>
      <c r="F306" s="11">
        <v>68.375</v>
      </c>
      <c r="G306" s="11">
        <v>9.0832569999999997</v>
      </c>
      <c r="H306">
        <v>89</v>
      </c>
      <c r="I306" t="s">
        <v>104</v>
      </c>
    </row>
    <row r="307" spans="1:9">
      <c r="A307" s="10" t="s">
        <v>31</v>
      </c>
      <c r="B307" s="10" t="s">
        <v>24</v>
      </c>
      <c r="C307" s="10" t="s">
        <v>11</v>
      </c>
      <c r="D307" s="10" t="s">
        <v>27</v>
      </c>
      <c r="E307" s="11">
        <v>18.637515</v>
      </c>
      <c r="F307" s="11">
        <v>71.875</v>
      </c>
      <c r="G307" s="11">
        <v>5.5001439000000003</v>
      </c>
      <c r="H307">
        <v>53</v>
      </c>
      <c r="I307" t="s">
        <v>106</v>
      </c>
    </row>
    <row r="308" spans="1:9">
      <c r="A308" s="10" t="s">
        <v>31</v>
      </c>
      <c r="B308" s="10" t="s">
        <v>24</v>
      </c>
      <c r="C308" s="10" t="s">
        <v>11</v>
      </c>
      <c r="D308" s="10" t="s">
        <v>27</v>
      </c>
      <c r="E308" s="11">
        <v>20.662514999999999</v>
      </c>
      <c r="F308" s="11">
        <v>70.208300000000008</v>
      </c>
      <c r="G308" s="11">
        <v>9.1667389999999997</v>
      </c>
      <c r="H308">
        <v>88</v>
      </c>
      <c r="I308" t="s">
        <v>104</v>
      </c>
    </row>
    <row r="309" spans="1:9">
      <c r="A309" s="10" t="s">
        <v>31</v>
      </c>
      <c r="B309" s="10" t="s">
        <v>24</v>
      </c>
      <c r="C309" s="10" t="s">
        <v>11</v>
      </c>
      <c r="D309" s="10" t="s">
        <v>26</v>
      </c>
      <c r="E309" s="11">
        <v>21.562515000000001</v>
      </c>
      <c r="F309" s="11">
        <v>62.250000000000007</v>
      </c>
      <c r="G309" s="11">
        <v>18.209192999999999</v>
      </c>
      <c r="H309">
        <v>92</v>
      </c>
      <c r="I309" t="s">
        <v>104</v>
      </c>
    </row>
    <row r="310" spans="1:9">
      <c r="A310" s="10" t="s">
        <v>31</v>
      </c>
      <c r="B310" s="10" t="s">
        <v>24</v>
      </c>
      <c r="C310" s="10" t="s">
        <v>25</v>
      </c>
      <c r="D310" s="10" t="s">
        <v>27</v>
      </c>
      <c r="E310" s="11">
        <v>23.400000000000002</v>
      </c>
      <c r="F310" s="11">
        <v>51.916700000000006</v>
      </c>
      <c r="G310" s="11">
        <v>12.667154</v>
      </c>
      <c r="H310">
        <v>94</v>
      </c>
      <c r="I310" t="s">
        <v>104</v>
      </c>
    </row>
    <row r="311" spans="1:9">
      <c r="A311" s="10" t="s">
        <v>31</v>
      </c>
      <c r="B311" s="10" t="s">
        <v>24</v>
      </c>
      <c r="C311" s="10" t="s">
        <v>25</v>
      </c>
      <c r="D311" s="10" t="s">
        <v>27</v>
      </c>
      <c r="E311" s="11">
        <v>23.774985000000001</v>
      </c>
      <c r="F311" s="11">
        <v>73.458299999999994</v>
      </c>
      <c r="G311" s="11">
        <v>6.1676314000000003</v>
      </c>
      <c r="H311">
        <v>87</v>
      </c>
      <c r="I311" t="s">
        <v>104</v>
      </c>
    </row>
    <row r="312" spans="1:9">
      <c r="A312" s="10" t="s">
        <v>31</v>
      </c>
      <c r="B312" s="10" t="s">
        <v>24</v>
      </c>
      <c r="C312" s="10" t="s">
        <v>11</v>
      </c>
      <c r="D312" s="10" t="s">
        <v>27</v>
      </c>
      <c r="E312" s="11">
        <v>23.962499999999999</v>
      </c>
      <c r="F312" s="11">
        <v>75.875</v>
      </c>
      <c r="G312" s="11">
        <v>3.8340749999999999</v>
      </c>
      <c r="H312">
        <v>87</v>
      </c>
      <c r="I312" t="s">
        <v>104</v>
      </c>
    </row>
    <row r="313" spans="1:9">
      <c r="A313" s="10" t="s">
        <v>31</v>
      </c>
      <c r="B313" s="10" t="s">
        <v>24</v>
      </c>
      <c r="C313" s="10" t="s">
        <v>11</v>
      </c>
      <c r="D313" s="10" t="s">
        <v>27</v>
      </c>
      <c r="E313" s="11">
        <v>23.962499999999999</v>
      </c>
      <c r="F313" s="11">
        <v>72.166699999999992</v>
      </c>
      <c r="G313" s="11">
        <v>4.6255125000000001</v>
      </c>
      <c r="H313">
        <v>96</v>
      </c>
      <c r="I313" t="s">
        <v>104</v>
      </c>
    </row>
    <row r="314" spans="1:9">
      <c r="A314" s="10" t="s">
        <v>31</v>
      </c>
      <c r="B314" s="10" t="s">
        <v>24</v>
      </c>
      <c r="C314" s="10" t="s">
        <v>11</v>
      </c>
      <c r="D314" s="10" t="s">
        <v>27</v>
      </c>
      <c r="E314" s="11">
        <v>24.412499999999998</v>
      </c>
      <c r="F314" s="11">
        <v>75.833300000000008</v>
      </c>
      <c r="G314" s="11">
        <v>4.1671186000000002</v>
      </c>
      <c r="H314">
        <v>84</v>
      </c>
      <c r="I314" t="s">
        <v>104</v>
      </c>
    </row>
    <row r="315" spans="1:9">
      <c r="A315" s="10" t="s">
        <v>31</v>
      </c>
      <c r="B315" s="10" t="s">
        <v>24</v>
      </c>
      <c r="C315" s="10" t="s">
        <v>11</v>
      </c>
      <c r="D315" s="10" t="s">
        <v>26</v>
      </c>
      <c r="E315" s="11">
        <v>24.075000000000003</v>
      </c>
      <c r="F315" s="11">
        <v>81.333299999999994</v>
      </c>
      <c r="G315" s="11">
        <v>12.667489000000002</v>
      </c>
      <c r="H315">
        <v>97</v>
      </c>
      <c r="I315" t="s">
        <v>104</v>
      </c>
    </row>
    <row r="316" spans="1:9">
      <c r="A316" s="10" t="s">
        <v>31</v>
      </c>
      <c r="B316" s="10" t="s">
        <v>7</v>
      </c>
      <c r="C316" s="10" t="s">
        <v>25</v>
      </c>
      <c r="D316" s="10" t="s">
        <v>27</v>
      </c>
      <c r="E316" s="11">
        <v>23.062499999999996</v>
      </c>
      <c r="F316" s="11">
        <v>44.625</v>
      </c>
      <c r="G316" s="11">
        <v>21.083224999999999</v>
      </c>
      <c r="H316">
        <v>82</v>
      </c>
      <c r="I316" t="s">
        <v>104</v>
      </c>
    </row>
    <row r="317" spans="1:9">
      <c r="A317" s="10" t="s">
        <v>31</v>
      </c>
      <c r="B317" s="10" t="s">
        <v>24</v>
      </c>
      <c r="C317" s="10" t="s">
        <v>25</v>
      </c>
      <c r="D317" s="10" t="s">
        <v>27</v>
      </c>
      <c r="E317" s="11">
        <v>23.437484999999999</v>
      </c>
      <c r="F317" s="11">
        <v>55.291699999999999</v>
      </c>
      <c r="G317" s="11">
        <v>14.208154</v>
      </c>
      <c r="H317">
        <v>68</v>
      </c>
      <c r="I317" t="s">
        <v>106</v>
      </c>
    </row>
    <row r="318" spans="1:9">
      <c r="A318" s="10" t="s">
        <v>31</v>
      </c>
      <c r="B318" s="10" t="s">
        <v>24</v>
      </c>
      <c r="C318" s="10" t="s">
        <v>25</v>
      </c>
      <c r="D318" s="10" t="s">
        <v>27</v>
      </c>
      <c r="E318" s="11">
        <v>25.3125</v>
      </c>
      <c r="F318" s="11">
        <v>45.833300000000001</v>
      </c>
      <c r="G318" s="11">
        <v>18.875306999999999</v>
      </c>
      <c r="H318">
        <v>91</v>
      </c>
      <c r="I318" t="s">
        <v>104</v>
      </c>
    </row>
    <row r="319" spans="1:9">
      <c r="A319" s="10" t="s">
        <v>31</v>
      </c>
      <c r="B319" s="10" t="s">
        <v>24</v>
      </c>
      <c r="C319" s="10" t="s">
        <v>11</v>
      </c>
      <c r="D319" s="10" t="s">
        <v>27</v>
      </c>
      <c r="E319" s="11">
        <v>25.987500000000001</v>
      </c>
      <c r="F319" s="11">
        <v>58.708300000000001</v>
      </c>
      <c r="G319" s="11">
        <v>20.541931999999999</v>
      </c>
      <c r="H319">
        <v>79</v>
      </c>
      <c r="I319" t="s">
        <v>104</v>
      </c>
    </row>
    <row r="320" spans="1:9">
      <c r="A320" s="10" t="s">
        <v>31</v>
      </c>
      <c r="B320" s="10" t="s">
        <v>24</v>
      </c>
      <c r="C320" s="10" t="s">
        <v>11</v>
      </c>
      <c r="D320" s="10" t="s">
        <v>26</v>
      </c>
      <c r="E320" s="11">
        <v>25.275015</v>
      </c>
      <c r="F320" s="11">
        <v>68.875</v>
      </c>
      <c r="G320" s="11">
        <v>13.375411</v>
      </c>
      <c r="H320">
        <v>83</v>
      </c>
      <c r="I320" t="s">
        <v>104</v>
      </c>
    </row>
    <row r="321" spans="1:9">
      <c r="A321" s="10" t="s">
        <v>31</v>
      </c>
      <c r="B321" s="10" t="s">
        <v>24</v>
      </c>
      <c r="C321" s="10" t="s">
        <v>11</v>
      </c>
      <c r="D321" s="10" t="s">
        <v>28</v>
      </c>
      <c r="E321" s="11">
        <v>24.750000000000004</v>
      </c>
      <c r="F321" s="11">
        <v>93</v>
      </c>
      <c r="G321" s="11">
        <v>9.1675430000000002</v>
      </c>
      <c r="H321">
        <v>77</v>
      </c>
      <c r="I321" t="s">
        <v>104</v>
      </c>
    </row>
    <row r="322" spans="1:9">
      <c r="A322" s="10" t="s">
        <v>31</v>
      </c>
      <c r="B322" s="10" t="s">
        <v>24</v>
      </c>
      <c r="C322" s="10" t="s">
        <v>11</v>
      </c>
      <c r="D322" s="10" t="s">
        <v>26</v>
      </c>
      <c r="E322" s="11">
        <v>23.887485000000002</v>
      </c>
      <c r="F322" s="11">
        <v>57.583300000000001</v>
      </c>
      <c r="G322" s="11">
        <v>20.459254000000001</v>
      </c>
      <c r="H322">
        <v>92</v>
      </c>
      <c r="I322" t="s">
        <v>104</v>
      </c>
    </row>
    <row r="323" spans="1:9">
      <c r="A323" s="10" t="s">
        <v>31</v>
      </c>
      <c r="B323" s="10" t="s">
        <v>24</v>
      </c>
      <c r="C323" s="10" t="s">
        <v>11</v>
      </c>
      <c r="D323" s="10" t="s">
        <v>27</v>
      </c>
      <c r="E323" s="11">
        <v>24.150015</v>
      </c>
      <c r="F323" s="11">
        <v>41</v>
      </c>
      <c r="G323" s="11">
        <v>11.291710999999999</v>
      </c>
      <c r="H323">
        <v>98</v>
      </c>
      <c r="I323" t="s">
        <v>104</v>
      </c>
    </row>
    <row r="324" spans="1:9">
      <c r="A324" s="10" t="s">
        <v>31</v>
      </c>
      <c r="B324" s="10" t="s">
        <v>24</v>
      </c>
      <c r="C324" s="10" t="s">
        <v>25</v>
      </c>
      <c r="D324" s="10" t="s">
        <v>27</v>
      </c>
      <c r="E324" s="11">
        <v>27.112500000000001</v>
      </c>
      <c r="F324" s="11">
        <v>50.208299999999994</v>
      </c>
      <c r="G324" s="11">
        <v>15.041232000000001</v>
      </c>
      <c r="H324">
        <v>116</v>
      </c>
      <c r="I324" t="s">
        <v>105</v>
      </c>
    </row>
    <row r="325" spans="1:9">
      <c r="A325" s="10" t="s">
        <v>31</v>
      </c>
      <c r="B325" s="10" t="s">
        <v>24</v>
      </c>
      <c r="C325" s="10" t="s">
        <v>25</v>
      </c>
      <c r="D325" s="10" t="s">
        <v>26</v>
      </c>
      <c r="E325" s="11">
        <v>27.187515000000001</v>
      </c>
      <c r="F325" s="11">
        <v>68.458300000000008</v>
      </c>
      <c r="G325" s="11">
        <v>12.45865</v>
      </c>
      <c r="H325">
        <v>94</v>
      </c>
      <c r="I325" t="s">
        <v>104</v>
      </c>
    </row>
    <row r="326" spans="1:9">
      <c r="A326" s="10" t="s">
        <v>31</v>
      </c>
      <c r="B326" s="10" t="s">
        <v>24</v>
      </c>
      <c r="C326" s="10" t="s">
        <v>11</v>
      </c>
      <c r="D326" s="10" t="s">
        <v>28</v>
      </c>
      <c r="E326" s="11">
        <v>28.425014999999998</v>
      </c>
      <c r="F326" s="11">
        <v>91</v>
      </c>
      <c r="G326" s="11">
        <v>9.2496179999999999</v>
      </c>
      <c r="H326">
        <v>86</v>
      </c>
      <c r="I326" t="s">
        <v>104</v>
      </c>
    </row>
    <row r="327" spans="1:9">
      <c r="A327" s="10" t="s">
        <v>31</v>
      </c>
      <c r="B327" s="10" t="s">
        <v>24</v>
      </c>
      <c r="C327" s="10" t="s">
        <v>11</v>
      </c>
      <c r="D327" s="10" t="s">
        <v>28</v>
      </c>
      <c r="E327" s="11">
        <v>29.700000000000003</v>
      </c>
      <c r="F327" s="11">
        <v>96.25</v>
      </c>
      <c r="G327" s="11">
        <v>7.9590639999999997</v>
      </c>
      <c r="H327">
        <v>90</v>
      </c>
      <c r="I327" t="s">
        <v>104</v>
      </c>
    </row>
    <row r="328" spans="1:9">
      <c r="A328" s="10" t="s">
        <v>31</v>
      </c>
      <c r="B328" s="10" t="s">
        <v>24</v>
      </c>
      <c r="C328" s="10" t="s">
        <v>11</v>
      </c>
      <c r="D328" s="10" t="s">
        <v>26</v>
      </c>
      <c r="E328" s="11">
        <v>29.737485</v>
      </c>
      <c r="F328" s="11">
        <v>75.791699999999992</v>
      </c>
      <c r="G328" s="11">
        <v>22.500274999999998</v>
      </c>
      <c r="H328">
        <v>100</v>
      </c>
      <c r="I328" t="s">
        <v>105</v>
      </c>
    </row>
    <row r="329" spans="1:9">
      <c r="A329" s="10" t="s">
        <v>31</v>
      </c>
      <c r="B329" s="10" t="s">
        <v>7</v>
      </c>
      <c r="C329" s="10" t="s">
        <v>25</v>
      </c>
      <c r="D329" s="10" t="s">
        <v>27</v>
      </c>
      <c r="E329" s="11">
        <v>31.874984999999999</v>
      </c>
      <c r="F329" s="11">
        <v>54.916699999999999</v>
      </c>
      <c r="G329" s="11">
        <v>11.209368000000001</v>
      </c>
      <c r="H329">
        <v>93</v>
      </c>
      <c r="I329" t="s">
        <v>104</v>
      </c>
    </row>
    <row r="330" spans="1:9">
      <c r="A330" s="10" t="s">
        <v>31</v>
      </c>
      <c r="B330" s="10" t="s">
        <v>24</v>
      </c>
      <c r="C330" s="10" t="s">
        <v>11</v>
      </c>
      <c r="D330" s="10" t="s">
        <v>27</v>
      </c>
      <c r="E330" s="11">
        <v>30.675015000000002</v>
      </c>
      <c r="F330" s="11">
        <v>64.375</v>
      </c>
      <c r="G330" s="11">
        <v>6.6260186000000001</v>
      </c>
      <c r="H330">
        <v>93</v>
      </c>
      <c r="I330" t="s">
        <v>104</v>
      </c>
    </row>
    <row r="331" spans="1:9">
      <c r="A331" s="10" t="s">
        <v>31</v>
      </c>
      <c r="B331" s="10" t="s">
        <v>24</v>
      </c>
      <c r="C331" s="10" t="s">
        <v>25</v>
      </c>
      <c r="D331" s="10" t="s">
        <v>27</v>
      </c>
      <c r="E331" s="11">
        <v>29.512485000000002</v>
      </c>
      <c r="F331" s="11">
        <v>68.166700000000006</v>
      </c>
      <c r="G331" s="11">
        <v>4.5841935999999999</v>
      </c>
      <c r="H331">
        <v>95</v>
      </c>
      <c r="I331" t="s">
        <v>104</v>
      </c>
    </row>
    <row r="332" spans="1:9">
      <c r="A332" s="10" t="s">
        <v>31</v>
      </c>
      <c r="B332" s="10" t="s">
        <v>24</v>
      </c>
      <c r="C332" s="10" t="s">
        <v>25</v>
      </c>
      <c r="D332" s="10" t="s">
        <v>27</v>
      </c>
      <c r="E332" s="11">
        <v>30.037499999999998</v>
      </c>
      <c r="F332" s="11">
        <v>69.833299999999994</v>
      </c>
      <c r="G332" s="11">
        <v>13.999917999999999</v>
      </c>
      <c r="H332">
        <v>96</v>
      </c>
      <c r="I332" t="s">
        <v>104</v>
      </c>
    </row>
    <row r="333" spans="1:9">
      <c r="A333" s="10" t="s">
        <v>31</v>
      </c>
      <c r="B333" s="10" t="s">
        <v>24</v>
      </c>
      <c r="C333" s="10" t="s">
        <v>11</v>
      </c>
      <c r="D333" s="10" t="s">
        <v>27</v>
      </c>
      <c r="E333" s="11">
        <v>32.999985000000002</v>
      </c>
      <c r="F333" s="11">
        <v>74.304299999999998</v>
      </c>
      <c r="G333" s="11">
        <v>9.5221739999999997</v>
      </c>
      <c r="H333">
        <v>82</v>
      </c>
      <c r="I333" t="s">
        <v>104</v>
      </c>
    </row>
    <row r="334" spans="1:9">
      <c r="A334" s="10" t="s">
        <v>31</v>
      </c>
      <c r="B334" s="10" t="s">
        <v>24</v>
      </c>
      <c r="C334" s="10" t="s">
        <v>11</v>
      </c>
      <c r="D334" s="10" t="s">
        <v>26</v>
      </c>
      <c r="E334" s="11">
        <v>34.875</v>
      </c>
      <c r="F334" s="11">
        <v>83.083300000000008</v>
      </c>
      <c r="G334" s="11">
        <v>17.292164</v>
      </c>
      <c r="H334">
        <v>79</v>
      </c>
      <c r="I334" t="s">
        <v>104</v>
      </c>
    </row>
    <row r="335" spans="1:9">
      <c r="A335" s="10" t="s">
        <v>31</v>
      </c>
      <c r="B335" s="10" t="s">
        <v>24</v>
      </c>
      <c r="C335" s="10" t="s">
        <v>11</v>
      </c>
      <c r="D335" s="10" t="s">
        <v>27</v>
      </c>
      <c r="E335" s="11">
        <v>34.387515</v>
      </c>
      <c r="F335" s="11">
        <v>61.333300000000001</v>
      </c>
      <c r="G335" s="11">
        <v>18.167586</v>
      </c>
      <c r="H335">
        <v>79</v>
      </c>
      <c r="I335" t="s">
        <v>104</v>
      </c>
    </row>
    <row r="336" spans="1:9">
      <c r="A336" s="10" t="s">
        <v>23</v>
      </c>
      <c r="B336" s="10" t="s">
        <v>24</v>
      </c>
      <c r="C336" s="10" t="s">
        <v>11</v>
      </c>
      <c r="D336" s="10" t="s">
        <v>27</v>
      </c>
      <c r="E336" s="11">
        <v>32.174999999999997</v>
      </c>
      <c r="F336" s="11">
        <v>52.458300000000001</v>
      </c>
      <c r="G336" s="11">
        <v>14.750586</v>
      </c>
      <c r="H336">
        <v>100</v>
      </c>
      <c r="I336" t="s">
        <v>105</v>
      </c>
    </row>
    <row r="337" spans="1:9">
      <c r="A337" s="10" t="s">
        <v>23</v>
      </c>
      <c r="B337" s="10" t="s">
        <v>24</v>
      </c>
      <c r="C337" s="10" t="s">
        <v>11</v>
      </c>
      <c r="D337" s="10" t="s">
        <v>27</v>
      </c>
      <c r="E337" s="11">
        <v>27.9</v>
      </c>
      <c r="F337" s="11">
        <v>62.583299999999994</v>
      </c>
      <c r="G337" s="11">
        <v>6.7505179999999996</v>
      </c>
      <c r="H337">
        <v>106</v>
      </c>
      <c r="I337" t="s">
        <v>105</v>
      </c>
    </row>
    <row r="338" spans="1:9">
      <c r="A338" s="10" t="s">
        <v>23</v>
      </c>
      <c r="B338" s="10" t="s">
        <v>24</v>
      </c>
      <c r="C338" s="10" t="s">
        <v>25</v>
      </c>
      <c r="D338" s="10" t="s">
        <v>27</v>
      </c>
      <c r="E338" s="11">
        <v>28.574999999999999</v>
      </c>
      <c r="F338" s="11">
        <v>61.291700000000006</v>
      </c>
      <c r="G338" s="11">
        <v>6.4174810999999998</v>
      </c>
      <c r="H338">
        <v>106</v>
      </c>
      <c r="I338" t="s">
        <v>105</v>
      </c>
    </row>
    <row r="339" spans="1:9">
      <c r="A339" s="10" t="s">
        <v>23</v>
      </c>
      <c r="B339" s="10" t="s">
        <v>24</v>
      </c>
      <c r="C339" s="10" t="s">
        <v>25</v>
      </c>
      <c r="D339" s="10" t="s">
        <v>27</v>
      </c>
      <c r="E339" s="11">
        <v>29.174985000000003</v>
      </c>
      <c r="F339" s="11">
        <v>77.583299999999994</v>
      </c>
      <c r="G339" s="11">
        <v>5.6252060999999998</v>
      </c>
      <c r="H339">
        <v>98</v>
      </c>
      <c r="I339" t="s">
        <v>104</v>
      </c>
    </row>
    <row r="340" spans="1:9">
      <c r="A340" s="10" t="s">
        <v>23</v>
      </c>
      <c r="B340" s="10" t="s">
        <v>24</v>
      </c>
      <c r="C340" s="10" t="s">
        <v>11</v>
      </c>
      <c r="D340" s="10" t="s">
        <v>26</v>
      </c>
      <c r="E340" s="11">
        <v>30.524984999999997</v>
      </c>
      <c r="F340" s="11">
        <v>82.708300000000008</v>
      </c>
      <c r="G340" s="11">
        <v>4.1679561000000005</v>
      </c>
      <c r="H340">
        <v>91</v>
      </c>
      <c r="I340" t="s">
        <v>104</v>
      </c>
    </row>
    <row r="341" spans="1:9">
      <c r="A341" s="10" t="s">
        <v>23</v>
      </c>
      <c r="B341" s="10" t="s">
        <v>24</v>
      </c>
      <c r="C341" s="10" t="s">
        <v>11</v>
      </c>
      <c r="D341" s="10" t="s">
        <v>28</v>
      </c>
      <c r="E341" s="11">
        <v>31.837500000000002</v>
      </c>
      <c r="F341" s="11">
        <v>94.958299999999994</v>
      </c>
      <c r="G341" s="11">
        <v>15.583061000000001</v>
      </c>
      <c r="H341">
        <v>96</v>
      </c>
      <c r="I341" t="s">
        <v>104</v>
      </c>
    </row>
    <row r="342" spans="1:9">
      <c r="A342" s="10" t="s">
        <v>23</v>
      </c>
      <c r="B342" s="10" t="s">
        <v>24</v>
      </c>
      <c r="C342" s="10" t="s">
        <v>11</v>
      </c>
      <c r="D342" s="10" t="s">
        <v>28</v>
      </c>
      <c r="E342" s="11">
        <v>34.912484999999997</v>
      </c>
      <c r="F342" s="11">
        <v>97.041699999999992</v>
      </c>
      <c r="G342" s="11">
        <v>17.833725000000001</v>
      </c>
      <c r="H342">
        <v>89</v>
      </c>
      <c r="I342" t="s">
        <v>104</v>
      </c>
    </row>
    <row r="343" spans="1:9">
      <c r="A343" s="10" t="s">
        <v>23</v>
      </c>
      <c r="B343" s="10" t="s">
        <v>24</v>
      </c>
      <c r="C343" s="10" t="s">
        <v>11</v>
      </c>
      <c r="D343" s="10" t="s">
        <v>27</v>
      </c>
      <c r="E343" s="11">
        <v>36.374984999999995</v>
      </c>
      <c r="F343" s="11">
        <v>57.999999999999993</v>
      </c>
      <c r="G343" s="11">
        <v>16.083886</v>
      </c>
      <c r="H343">
        <v>78</v>
      </c>
      <c r="I343" t="s">
        <v>104</v>
      </c>
    </row>
    <row r="344" spans="1:9">
      <c r="A344" s="10" t="s">
        <v>23</v>
      </c>
      <c r="B344" s="10" t="s">
        <v>24</v>
      </c>
      <c r="C344" s="10" t="s">
        <v>11</v>
      </c>
      <c r="D344" s="10" t="s">
        <v>27</v>
      </c>
      <c r="E344" s="11">
        <v>33.975000000000001</v>
      </c>
      <c r="F344" s="11">
        <v>69.583300000000008</v>
      </c>
      <c r="G344" s="11">
        <v>5.5420189000000004</v>
      </c>
      <c r="H344">
        <v>91</v>
      </c>
      <c r="I344" t="s">
        <v>104</v>
      </c>
    </row>
    <row r="345" spans="1:9">
      <c r="A345" s="10" t="s">
        <v>23</v>
      </c>
      <c r="B345" s="10" t="s">
        <v>24</v>
      </c>
      <c r="C345" s="10" t="s">
        <v>25</v>
      </c>
      <c r="D345" s="10" t="s">
        <v>27</v>
      </c>
      <c r="E345" s="11">
        <v>32.625</v>
      </c>
      <c r="F345" s="11">
        <v>50.749999999999993</v>
      </c>
      <c r="G345" s="11">
        <v>15.625807</v>
      </c>
      <c r="H345">
        <v>100</v>
      </c>
      <c r="I345" t="s">
        <v>105</v>
      </c>
    </row>
    <row r="346" spans="1:9">
      <c r="A346" s="10" t="s">
        <v>23</v>
      </c>
      <c r="B346" s="10" t="s">
        <v>24</v>
      </c>
      <c r="C346" s="10" t="s">
        <v>25</v>
      </c>
      <c r="D346" s="10" t="s">
        <v>27</v>
      </c>
      <c r="E346" s="11">
        <v>31.162500000000001</v>
      </c>
      <c r="F346" s="11">
        <v>49</v>
      </c>
      <c r="G346" s="11">
        <v>4.4582938999999993</v>
      </c>
      <c r="H346">
        <v>89</v>
      </c>
      <c r="I346" t="s">
        <v>104</v>
      </c>
    </row>
    <row r="347" spans="1:9">
      <c r="A347" s="10" t="s">
        <v>23</v>
      </c>
      <c r="B347" s="10" t="s">
        <v>24</v>
      </c>
      <c r="C347" s="10" t="s">
        <v>11</v>
      </c>
      <c r="D347" s="10" t="s">
        <v>27</v>
      </c>
      <c r="E347" s="11">
        <v>28.574999999999999</v>
      </c>
      <c r="F347" s="11">
        <v>67.083300000000008</v>
      </c>
      <c r="G347" s="11">
        <v>4.2511500000000009</v>
      </c>
      <c r="H347">
        <v>100</v>
      </c>
      <c r="I347" t="s">
        <v>105</v>
      </c>
    </row>
    <row r="348" spans="1:9">
      <c r="A348" s="10" t="s">
        <v>23</v>
      </c>
      <c r="B348" s="10" t="s">
        <v>24</v>
      </c>
      <c r="C348" s="10" t="s">
        <v>11</v>
      </c>
      <c r="D348" s="10" t="s">
        <v>27</v>
      </c>
      <c r="E348" s="11">
        <v>27.187515000000001</v>
      </c>
      <c r="F348" s="11">
        <v>59</v>
      </c>
      <c r="G348" s="11">
        <v>9.4168500000000002</v>
      </c>
      <c r="H348">
        <v>98</v>
      </c>
      <c r="I348" t="s">
        <v>104</v>
      </c>
    </row>
    <row r="349" spans="1:9">
      <c r="A349" s="10" t="s">
        <v>23</v>
      </c>
      <c r="B349" s="10" t="s">
        <v>24</v>
      </c>
      <c r="C349" s="10" t="s">
        <v>11</v>
      </c>
      <c r="D349" s="10" t="s">
        <v>26</v>
      </c>
      <c r="E349" s="11">
        <v>28.200015</v>
      </c>
      <c r="F349" s="11">
        <v>66.375</v>
      </c>
      <c r="G349" s="11">
        <v>4.0842061000000003</v>
      </c>
      <c r="H349">
        <v>103</v>
      </c>
      <c r="I349" t="s">
        <v>105</v>
      </c>
    </row>
    <row r="350" spans="1:9">
      <c r="A350" s="10" t="s">
        <v>23</v>
      </c>
      <c r="B350" s="10" t="s">
        <v>24</v>
      </c>
      <c r="C350" s="10" t="s">
        <v>11</v>
      </c>
      <c r="D350" s="10" t="s">
        <v>26</v>
      </c>
      <c r="E350" s="11">
        <v>28.274985000000001</v>
      </c>
      <c r="F350" s="11">
        <v>63.416700000000006</v>
      </c>
      <c r="G350" s="11">
        <v>17.958814</v>
      </c>
      <c r="H350">
        <v>75</v>
      </c>
      <c r="I350" t="s">
        <v>104</v>
      </c>
    </row>
    <row r="351" spans="1:9">
      <c r="A351" s="10" t="s">
        <v>23</v>
      </c>
      <c r="B351" s="10" t="s">
        <v>24</v>
      </c>
      <c r="C351" s="10" t="s">
        <v>11</v>
      </c>
      <c r="D351" s="10" t="s">
        <v>26</v>
      </c>
      <c r="E351" s="11">
        <v>29.212515000000003</v>
      </c>
      <c r="F351" s="11">
        <v>50.041699999999999</v>
      </c>
      <c r="G351" s="11">
        <v>17.458525000000002</v>
      </c>
      <c r="H351">
        <v>97</v>
      </c>
      <c r="I351" t="s">
        <v>104</v>
      </c>
    </row>
    <row r="352" spans="1:9">
      <c r="A352" s="10" t="s">
        <v>23</v>
      </c>
      <c r="B352" s="10" t="s">
        <v>24</v>
      </c>
      <c r="C352" s="10" t="s">
        <v>25</v>
      </c>
      <c r="D352" s="10" t="s">
        <v>26</v>
      </c>
      <c r="E352" s="11">
        <v>31.350015000000003</v>
      </c>
      <c r="F352" s="11">
        <v>56.083300000000001</v>
      </c>
      <c r="G352" s="11">
        <v>16.292189</v>
      </c>
      <c r="H352">
        <v>102</v>
      </c>
      <c r="I352" t="s">
        <v>105</v>
      </c>
    </row>
    <row r="353" spans="1:9">
      <c r="A353" s="10" t="s">
        <v>23</v>
      </c>
      <c r="B353" s="10" t="s">
        <v>24</v>
      </c>
      <c r="C353" s="10" t="s">
        <v>25</v>
      </c>
      <c r="D353" s="10" t="s">
        <v>27</v>
      </c>
      <c r="E353" s="11">
        <v>31.462515</v>
      </c>
      <c r="F353" s="11">
        <v>58.625000000000007</v>
      </c>
      <c r="G353" s="11">
        <v>11.375193000000001</v>
      </c>
      <c r="H353">
        <v>95</v>
      </c>
      <c r="I353" t="s">
        <v>104</v>
      </c>
    </row>
    <row r="354" spans="1:9">
      <c r="A354" s="10" t="s">
        <v>23</v>
      </c>
      <c r="B354" s="10" t="s">
        <v>24</v>
      </c>
      <c r="C354" s="10" t="s">
        <v>11</v>
      </c>
      <c r="D354" s="10" t="s">
        <v>27</v>
      </c>
      <c r="E354" s="11">
        <v>28.574999999999999</v>
      </c>
      <c r="F354" s="11">
        <v>63.749999999999993</v>
      </c>
      <c r="G354" s="11">
        <v>11.584031999999999</v>
      </c>
      <c r="H354">
        <v>80</v>
      </c>
      <c r="I354" t="s">
        <v>104</v>
      </c>
    </row>
    <row r="355" spans="1:9">
      <c r="A355" s="10" t="s">
        <v>23</v>
      </c>
      <c r="B355" s="10" t="s">
        <v>24</v>
      </c>
      <c r="C355" s="10" t="s">
        <v>11</v>
      </c>
      <c r="D355" s="10" t="s">
        <v>26</v>
      </c>
      <c r="E355" s="11">
        <v>30.637485000000002</v>
      </c>
      <c r="F355" s="11">
        <v>59.541699999999999</v>
      </c>
      <c r="G355" s="11">
        <v>4.1252436000000001</v>
      </c>
      <c r="H355">
        <v>96</v>
      </c>
      <c r="I355" t="s">
        <v>104</v>
      </c>
    </row>
    <row r="356" spans="1:9">
      <c r="A356" s="10" t="s">
        <v>23</v>
      </c>
      <c r="B356" s="10" t="s">
        <v>24</v>
      </c>
      <c r="C356" s="10" t="s">
        <v>11</v>
      </c>
      <c r="D356" s="10" t="s">
        <v>26</v>
      </c>
      <c r="E356" s="11">
        <v>32.999985000000002</v>
      </c>
      <c r="F356" s="11">
        <v>85.833300000000008</v>
      </c>
      <c r="G356" s="11">
        <v>14.8338</v>
      </c>
      <c r="H356">
        <v>90</v>
      </c>
      <c r="I356" t="s">
        <v>104</v>
      </c>
    </row>
    <row r="357" spans="1:9">
      <c r="A357" s="10" t="s">
        <v>23</v>
      </c>
      <c r="B357" s="10" t="s">
        <v>24</v>
      </c>
      <c r="C357" s="10" t="s">
        <v>11</v>
      </c>
      <c r="D357" s="10" t="s">
        <v>26</v>
      </c>
      <c r="E357" s="11">
        <v>32.774985000000001</v>
      </c>
      <c r="F357" s="11">
        <v>75.75</v>
      </c>
      <c r="G357" s="11">
        <v>3.1674249999999997</v>
      </c>
      <c r="H357">
        <v>96</v>
      </c>
      <c r="I357" t="s">
        <v>104</v>
      </c>
    </row>
    <row r="358" spans="1:9">
      <c r="A358" s="10" t="s">
        <v>23</v>
      </c>
      <c r="B358" s="10" t="s">
        <v>24</v>
      </c>
      <c r="C358" s="10" t="s">
        <v>11</v>
      </c>
      <c r="D358" s="10" t="s">
        <v>27</v>
      </c>
      <c r="E358" s="11">
        <v>32.587515000000003</v>
      </c>
      <c r="F358" s="11">
        <v>68.625</v>
      </c>
      <c r="G358" s="11">
        <v>18.374482</v>
      </c>
      <c r="H358">
        <v>99</v>
      </c>
      <c r="I358" t="s">
        <v>104</v>
      </c>
    </row>
    <row r="359" spans="1:9">
      <c r="A359" s="10" t="s">
        <v>23</v>
      </c>
      <c r="B359" s="10" t="s">
        <v>24</v>
      </c>
      <c r="C359" s="10" t="s">
        <v>25</v>
      </c>
      <c r="D359" s="10" t="s">
        <v>27</v>
      </c>
      <c r="E359" s="11">
        <v>31.274999999999999</v>
      </c>
      <c r="F359" s="11">
        <v>54.25</v>
      </c>
      <c r="G359" s="11">
        <v>12.750368</v>
      </c>
      <c r="H359">
        <v>104</v>
      </c>
      <c r="I359" t="s">
        <v>105</v>
      </c>
    </row>
    <row r="360" spans="1:9">
      <c r="A360" s="10" t="s">
        <v>23</v>
      </c>
      <c r="B360" s="10" t="s">
        <v>24</v>
      </c>
      <c r="C360" s="10" t="s">
        <v>25</v>
      </c>
      <c r="D360" s="10" t="s">
        <v>27</v>
      </c>
      <c r="E360" s="11">
        <v>30.6</v>
      </c>
      <c r="F360" s="11">
        <v>68.130400000000009</v>
      </c>
      <c r="G360" s="11">
        <v>10.391097</v>
      </c>
      <c r="H360">
        <v>106</v>
      </c>
      <c r="I360" t="s">
        <v>105</v>
      </c>
    </row>
    <row r="361" spans="1:9">
      <c r="A361" s="10" t="s">
        <v>23</v>
      </c>
      <c r="B361" s="10" t="s">
        <v>7</v>
      </c>
      <c r="C361" s="10" t="s">
        <v>25</v>
      </c>
      <c r="D361" s="10" t="s">
        <v>27</v>
      </c>
      <c r="E361" s="11">
        <v>30.712499999999999</v>
      </c>
      <c r="F361" s="11">
        <v>50.695700000000002</v>
      </c>
      <c r="G361" s="11">
        <v>16.044155</v>
      </c>
      <c r="H361">
        <v>94</v>
      </c>
      <c r="I361" t="s">
        <v>104</v>
      </c>
    </row>
    <row r="362" spans="1:9">
      <c r="A362" s="10" t="s">
        <v>23</v>
      </c>
      <c r="B362" s="10" t="s">
        <v>24</v>
      </c>
      <c r="C362" s="10" t="s">
        <v>11</v>
      </c>
      <c r="D362" s="10" t="s">
        <v>26</v>
      </c>
      <c r="E362" s="11">
        <v>33.487515000000002</v>
      </c>
      <c r="F362" s="11">
        <v>76.25</v>
      </c>
      <c r="G362" s="11">
        <v>12.626150000000001</v>
      </c>
      <c r="H362">
        <v>93</v>
      </c>
      <c r="I362" t="s">
        <v>104</v>
      </c>
    </row>
    <row r="363" spans="1:9">
      <c r="A363" s="10" t="s">
        <v>23</v>
      </c>
      <c r="B363" s="10" t="s">
        <v>24</v>
      </c>
      <c r="C363" s="10" t="s">
        <v>11</v>
      </c>
      <c r="D363" s="10" t="s">
        <v>27</v>
      </c>
      <c r="E363" s="11">
        <v>32.774985000000001</v>
      </c>
      <c r="F363" s="11">
        <v>50.391300000000008</v>
      </c>
      <c r="G363" s="11">
        <v>19.695386999999997</v>
      </c>
      <c r="H363">
        <v>105</v>
      </c>
      <c r="I363" t="s">
        <v>105</v>
      </c>
    </row>
    <row r="364" spans="1:9">
      <c r="A364" s="10" t="s">
        <v>23</v>
      </c>
      <c r="B364" s="10" t="s">
        <v>24</v>
      </c>
      <c r="C364" s="10" t="s">
        <v>11</v>
      </c>
      <c r="D364" s="10" t="s">
        <v>27</v>
      </c>
      <c r="E364" s="11">
        <v>31.350015000000003</v>
      </c>
      <c r="F364" s="11">
        <v>57.416699999999999</v>
      </c>
      <c r="G364" s="11">
        <v>8.0006040000000009</v>
      </c>
      <c r="H364">
        <v>111</v>
      </c>
      <c r="I364" t="s">
        <v>105</v>
      </c>
    </row>
    <row r="365" spans="1:9">
      <c r="A365" s="10" t="s">
        <v>23</v>
      </c>
      <c r="B365" s="10" t="s">
        <v>24</v>
      </c>
      <c r="C365" s="10" t="s">
        <v>11</v>
      </c>
      <c r="D365" s="10" t="s">
        <v>27</v>
      </c>
      <c r="E365" s="11">
        <v>32.512500000000003</v>
      </c>
      <c r="F365" s="11">
        <v>63.666699999999999</v>
      </c>
      <c r="G365" s="11">
        <v>9.0005790000000001</v>
      </c>
      <c r="H365">
        <v>107</v>
      </c>
      <c r="I365" t="s">
        <v>105</v>
      </c>
    </row>
    <row r="366" spans="1:9">
      <c r="A366" s="10" t="s">
        <v>23</v>
      </c>
      <c r="B366" s="10" t="s">
        <v>24</v>
      </c>
      <c r="C366" s="10" t="s">
        <v>25</v>
      </c>
      <c r="D366" s="10" t="s">
        <v>27</v>
      </c>
      <c r="E366" s="11">
        <v>33.224985000000004</v>
      </c>
      <c r="F366" s="11">
        <v>61.583299999999994</v>
      </c>
      <c r="G366" s="11">
        <v>14.750318</v>
      </c>
      <c r="H366">
        <v>102</v>
      </c>
      <c r="I366" t="s">
        <v>105</v>
      </c>
    </row>
  </sheetData>
  <autoFilter ref="A1:G366" xr:uid="{93516512-0AE1-4C36-8BF5-82AD4EAE273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061E1-CCBD-40C6-8300-24C86DC12A5B}">
  <dimension ref="A1:CL494"/>
  <sheetViews>
    <sheetView topLeftCell="A51" zoomScale="60" zoomScaleNormal="130" workbookViewId="0">
      <selection activeCell="B70" sqref="B70:I83"/>
    </sheetView>
  </sheetViews>
  <sheetFormatPr defaultColWidth="13.54296875" defaultRowHeight="18.5"/>
  <cols>
    <col min="1" max="1" width="6" style="14" customWidth="1"/>
    <col min="2" max="2" width="15.26953125" style="14" customWidth="1"/>
    <col min="3" max="5" width="13.54296875" style="14"/>
    <col min="6" max="6" width="26.36328125" style="14" bestFit="1" customWidth="1"/>
    <col min="7" max="23" width="13.54296875" style="14"/>
    <col min="24" max="24" width="9.453125" style="14" bestFit="1" customWidth="1"/>
    <col min="25" max="25" width="16.1796875" style="14" customWidth="1"/>
    <col min="26" max="27" width="12.54296875" style="14" customWidth="1"/>
    <col min="28" max="28" width="16.90625" style="14" customWidth="1"/>
    <col min="29" max="29" width="17.26953125" style="14" customWidth="1"/>
    <col min="30" max="30" width="10.453125" style="14" customWidth="1"/>
    <col min="31" max="31" width="13.08984375" style="14" customWidth="1"/>
    <col min="32" max="32" width="8.36328125" style="14" customWidth="1"/>
    <col min="33" max="33" width="11.81640625" style="14" customWidth="1"/>
    <col min="34" max="34" width="24" style="14" customWidth="1"/>
    <col min="35" max="75" width="13.54296875" style="14"/>
    <col min="76" max="85" width="16.453125" style="14" bestFit="1" customWidth="1"/>
    <col min="86" max="86" width="17.54296875" style="14" bestFit="1" customWidth="1"/>
    <col min="87" max="87" width="18.54296875" style="14" bestFit="1" customWidth="1"/>
    <col min="88" max="88" width="17.54296875" style="14" bestFit="1" customWidth="1"/>
    <col min="89" max="89" width="18.54296875" style="14" bestFit="1" customWidth="1"/>
    <col min="90" max="16384" width="13.54296875" style="14"/>
  </cols>
  <sheetData>
    <row r="1" spans="1:72" s="17" customFormat="1" ht="49.15" customHeight="1" thickBot="1">
      <c r="A1" s="13" t="s">
        <v>44</v>
      </c>
      <c r="B1" s="13"/>
      <c r="C1" s="14"/>
      <c r="D1" s="15" t="s">
        <v>45</v>
      </c>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K1" s="9" t="s">
        <v>22</v>
      </c>
      <c r="AL1" s="9" t="s">
        <v>108</v>
      </c>
      <c r="AM1" s="9" t="s">
        <v>109</v>
      </c>
      <c r="AN1" s="9" t="s">
        <v>110</v>
      </c>
      <c r="AO1" s="9" t="s">
        <v>7</v>
      </c>
      <c r="AP1" s="9" t="s">
        <v>111</v>
      </c>
      <c r="AQ1" s="9" t="s">
        <v>11</v>
      </c>
      <c r="AR1" s="9" t="s">
        <v>112</v>
      </c>
      <c r="AS1" s="9" t="s">
        <v>13</v>
      </c>
      <c r="AT1" s="9" t="s">
        <v>113</v>
      </c>
      <c r="AU1" s="9" t="s">
        <v>114</v>
      </c>
      <c r="AV1" s="9" t="s">
        <v>15</v>
      </c>
      <c r="AW1" s="9" t="s">
        <v>0</v>
      </c>
      <c r="AX1" s="9" t="s">
        <v>18</v>
      </c>
      <c r="AY1" s="9" t="s">
        <v>39</v>
      </c>
      <c r="AZ1" s="9" t="s">
        <v>35</v>
      </c>
      <c r="BA1" s="17" t="s">
        <v>117</v>
      </c>
      <c r="BB1" s="17" t="s">
        <v>118</v>
      </c>
      <c r="BC1" s="17" t="s">
        <v>116</v>
      </c>
      <c r="BG1" s="17" t="s">
        <v>108</v>
      </c>
      <c r="BH1" s="17" t="s">
        <v>109</v>
      </c>
      <c r="BI1" s="17" t="s">
        <v>110</v>
      </c>
      <c r="BJ1" s="17" t="s">
        <v>111</v>
      </c>
      <c r="BK1" s="17" t="s">
        <v>112</v>
      </c>
      <c r="BL1" s="17" t="s">
        <v>113</v>
      </c>
      <c r="BM1" s="17" t="s">
        <v>114</v>
      </c>
      <c r="BN1" s="17" t="s">
        <v>117</v>
      </c>
      <c r="BO1" s="17" t="s">
        <v>118</v>
      </c>
      <c r="BP1" s="17" t="s">
        <v>116</v>
      </c>
      <c r="BQ1" s="9" t="s">
        <v>15</v>
      </c>
      <c r="BR1" s="9" t="s">
        <v>0</v>
      </c>
      <c r="BS1" s="9" t="s">
        <v>18</v>
      </c>
      <c r="BT1" s="9" t="s">
        <v>39</v>
      </c>
    </row>
    <row r="2" spans="1:72" s="17" customFormat="1" ht="20.149999999999999" customHeight="1">
      <c r="A2" s="13"/>
      <c r="B2" s="18"/>
      <c r="C2" s="19"/>
      <c r="D2" s="20"/>
      <c r="E2" s="19"/>
      <c r="F2" s="19"/>
      <c r="G2" s="19"/>
      <c r="H2" s="19"/>
      <c r="I2" s="19"/>
      <c r="J2" s="19"/>
      <c r="K2" s="19"/>
      <c r="L2" s="19"/>
      <c r="M2" s="19"/>
      <c r="N2" s="19"/>
      <c r="O2" s="19"/>
      <c r="P2" s="19"/>
      <c r="Q2" s="19"/>
      <c r="R2" s="19"/>
      <c r="S2" s="19"/>
      <c r="T2" s="19"/>
      <c r="U2" s="19"/>
      <c r="V2" s="19"/>
      <c r="W2" s="19"/>
      <c r="X2" s="19"/>
      <c r="Y2" s="19"/>
      <c r="Z2" s="19"/>
      <c r="AA2" s="19"/>
      <c r="AB2" s="19"/>
      <c r="AC2" s="21"/>
      <c r="AD2" s="22"/>
      <c r="AE2" s="22"/>
      <c r="AF2" s="22"/>
      <c r="AG2" s="22"/>
      <c r="AH2" s="22"/>
      <c r="AK2" s="10" t="s">
        <v>23</v>
      </c>
      <c r="AL2" s="10">
        <f>IF(AK2="autumn",1,0)</f>
        <v>0</v>
      </c>
      <c r="AM2" s="10">
        <f>IF(AK2="winter",1,0)</f>
        <v>0</v>
      </c>
      <c r="AN2" s="10">
        <f>IF(AK2="spring",1,0)</f>
        <v>0</v>
      </c>
      <c r="AO2" s="10" t="s">
        <v>24</v>
      </c>
      <c r="AP2" s="10">
        <f>IF(AO2="holiday",1,0)</f>
        <v>0</v>
      </c>
      <c r="AQ2" s="10" t="s">
        <v>25</v>
      </c>
      <c r="AR2" s="10">
        <f>IF(AQ2="workingday",1,0)</f>
        <v>0</v>
      </c>
      <c r="AS2" s="10" t="s">
        <v>26</v>
      </c>
      <c r="AT2" s="10">
        <f>IF(AS2="cloudy",1,0)</f>
        <v>1</v>
      </c>
      <c r="AU2" s="10">
        <f>IF(AS2="rain",1,0)</f>
        <v>0</v>
      </c>
      <c r="AV2" s="11">
        <v>32.250015000000005</v>
      </c>
      <c r="AW2" s="11">
        <v>80.583300000000008</v>
      </c>
      <c r="AX2" s="11">
        <v>10.749881999999999</v>
      </c>
      <c r="AY2" s="10">
        <v>93</v>
      </c>
      <c r="AZ2" t="s">
        <v>104</v>
      </c>
      <c r="BA2" s="17">
        <f>IF(AZ2="queit",1,0)</f>
        <v>0</v>
      </c>
      <c r="BB2" s="17">
        <f>IF(AZ2="Modest",1,0)</f>
        <v>0</v>
      </c>
      <c r="BC2" s="17">
        <f>IF(AZ2="busy",1,0)</f>
        <v>0</v>
      </c>
      <c r="BG2" s="17">
        <v>0</v>
      </c>
      <c r="BH2" s="17">
        <v>0</v>
      </c>
      <c r="BI2" s="17">
        <v>0</v>
      </c>
      <c r="BJ2" s="17">
        <v>0</v>
      </c>
      <c r="BK2" s="17">
        <v>0</v>
      </c>
      <c r="BL2" s="17">
        <v>1</v>
      </c>
      <c r="BM2" s="17">
        <v>0</v>
      </c>
      <c r="BN2" s="17">
        <v>0</v>
      </c>
      <c r="BO2" s="17">
        <v>0</v>
      </c>
      <c r="BP2" s="17">
        <v>0</v>
      </c>
      <c r="BQ2" s="11">
        <v>32.250015000000005</v>
      </c>
      <c r="BR2" s="11">
        <v>80.583300000000008</v>
      </c>
      <c r="BS2" s="11">
        <v>10.749881999999999</v>
      </c>
      <c r="BT2" s="10">
        <v>93</v>
      </c>
    </row>
    <row r="3" spans="1:72" s="27" customFormat="1" ht="20.149999999999999" customHeight="1">
      <c r="A3" s="23"/>
      <c r="B3" s="24"/>
      <c r="C3" s="13" t="s">
        <v>46</v>
      </c>
      <c r="D3" s="14"/>
      <c r="E3" s="25"/>
      <c r="F3" s="16"/>
      <c r="G3" s="16"/>
      <c r="H3" s="16"/>
      <c r="I3" s="16"/>
      <c r="J3" s="16"/>
      <c r="K3" s="16"/>
      <c r="L3" s="16"/>
      <c r="M3" s="16"/>
      <c r="N3" s="16"/>
      <c r="O3" s="16"/>
      <c r="P3" s="16"/>
      <c r="Q3" s="16"/>
      <c r="R3" s="16"/>
      <c r="S3" s="16"/>
      <c r="T3" s="16"/>
      <c r="U3" s="16"/>
      <c r="V3" s="16"/>
      <c r="W3" s="16"/>
      <c r="X3" s="16"/>
      <c r="Y3" s="16"/>
      <c r="Z3" s="16"/>
      <c r="AA3" s="16"/>
      <c r="AB3" s="16"/>
      <c r="AC3" s="26"/>
      <c r="AD3" s="16"/>
      <c r="AE3" s="16"/>
      <c r="AF3" s="16"/>
      <c r="AG3" s="16"/>
      <c r="AH3" s="16"/>
      <c r="AK3" s="10" t="s">
        <v>23</v>
      </c>
      <c r="AL3" s="10">
        <f t="shared" ref="AL3:AL66" si="0">IF(AK3="autumn",1,0)</f>
        <v>0</v>
      </c>
      <c r="AM3" s="10">
        <f t="shared" ref="AM3:AM66" si="1">IF(AK3="winter",1,0)</f>
        <v>0</v>
      </c>
      <c r="AN3" s="10">
        <f t="shared" ref="AN3:AN66" si="2">IF(AK3="spring",1,0)</f>
        <v>0</v>
      </c>
      <c r="AO3" s="10" t="s">
        <v>24</v>
      </c>
      <c r="AP3" s="10">
        <f t="shared" ref="AP3:AP66" si="3">IF(AO3="holiday",1,0)</f>
        <v>0</v>
      </c>
      <c r="AQ3" s="10" t="s">
        <v>25</v>
      </c>
      <c r="AR3" s="10">
        <f t="shared" ref="AR3:AR66" si="4">IF(AQ3="workingday",1,0)</f>
        <v>0</v>
      </c>
      <c r="AS3" s="10" t="s">
        <v>26</v>
      </c>
      <c r="AT3" s="10">
        <f t="shared" ref="AT3:AT66" si="5">IF(AS3="cloudy",1,0)</f>
        <v>1</v>
      </c>
      <c r="AU3" s="10">
        <f t="shared" ref="AU3:AU66" si="6">IF(AS3="rain",1,0)</f>
        <v>0</v>
      </c>
      <c r="AV3" s="11">
        <v>32.700015</v>
      </c>
      <c r="AW3" s="11">
        <v>69.608699999999999</v>
      </c>
      <c r="AX3" s="11">
        <v>16.652113</v>
      </c>
      <c r="AY3" s="10">
        <v>121</v>
      </c>
      <c r="AZ3" t="s">
        <v>105</v>
      </c>
      <c r="BA3" s="17">
        <f t="shared" ref="BA3:BA66" si="7">IF(AZ3="queit",1,0)</f>
        <v>0</v>
      </c>
      <c r="BB3" s="17">
        <f t="shared" ref="BB3:BB66" si="8">IF(AZ3="Modest",1,0)</f>
        <v>0</v>
      </c>
      <c r="BC3" s="17">
        <f t="shared" ref="BC3:BC66" si="9">IF(AZ3="busy",1,0)</f>
        <v>1</v>
      </c>
      <c r="BG3" s="27">
        <v>0</v>
      </c>
      <c r="BH3" s="27">
        <v>0</v>
      </c>
      <c r="BI3" s="27">
        <v>0</v>
      </c>
      <c r="BJ3" s="27">
        <v>0</v>
      </c>
      <c r="BK3" s="27">
        <v>0</v>
      </c>
      <c r="BL3" s="27">
        <v>1</v>
      </c>
      <c r="BM3" s="27">
        <v>0</v>
      </c>
      <c r="BN3" s="27">
        <v>0</v>
      </c>
      <c r="BO3" s="27">
        <v>0</v>
      </c>
      <c r="BP3" s="27">
        <v>1</v>
      </c>
      <c r="BQ3" s="11">
        <v>32.700015</v>
      </c>
      <c r="BR3" s="11">
        <v>69.608699999999999</v>
      </c>
      <c r="BS3" s="11">
        <v>16.652113</v>
      </c>
      <c r="BT3" s="10">
        <v>121</v>
      </c>
    </row>
    <row r="4" spans="1:72" ht="20.149999999999999" customHeight="1">
      <c r="A4" s="23"/>
      <c r="B4" s="24"/>
      <c r="C4" s="28" t="s">
        <v>47</v>
      </c>
      <c r="E4" s="16"/>
      <c r="F4" s="16"/>
      <c r="G4" s="16"/>
      <c r="H4" s="16"/>
      <c r="I4" s="16"/>
      <c r="J4" s="16"/>
      <c r="K4" s="16"/>
      <c r="L4" s="16"/>
      <c r="M4" s="16"/>
      <c r="N4" s="16"/>
      <c r="O4" s="16"/>
      <c r="P4" s="16"/>
      <c r="Q4" s="16"/>
      <c r="R4" s="16"/>
      <c r="S4" s="16"/>
      <c r="T4" s="16"/>
      <c r="U4" s="16"/>
      <c r="V4" s="16"/>
      <c r="W4" s="16"/>
      <c r="X4" s="16"/>
      <c r="Y4" s="16"/>
      <c r="Z4" s="16"/>
      <c r="AA4" s="16"/>
      <c r="AB4" s="16"/>
      <c r="AC4" s="26"/>
      <c r="AD4" s="16"/>
      <c r="AE4" s="16"/>
      <c r="AF4" s="16"/>
      <c r="AG4" s="16"/>
      <c r="AH4" s="16"/>
      <c r="AK4" s="10" t="s">
        <v>23</v>
      </c>
      <c r="AL4" s="10">
        <f t="shared" si="0"/>
        <v>0</v>
      </c>
      <c r="AM4" s="10">
        <f t="shared" si="1"/>
        <v>0</v>
      </c>
      <c r="AN4" s="10">
        <f t="shared" si="2"/>
        <v>0</v>
      </c>
      <c r="AO4" s="10" t="s">
        <v>24</v>
      </c>
      <c r="AP4" s="10">
        <f t="shared" si="3"/>
        <v>0</v>
      </c>
      <c r="AQ4" s="10" t="s">
        <v>11</v>
      </c>
      <c r="AR4" s="10">
        <f t="shared" si="4"/>
        <v>1</v>
      </c>
      <c r="AS4" s="10" t="s">
        <v>27</v>
      </c>
      <c r="AT4" s="10">
        <f t="shared" si="5"/>
        <v>0</v>
      </c>
      <c r="AU4" s="10">
        <f t="shared" si="6"/>
        <v>0</v>
      </c>
      <c r="AV4" s="11">
        <v>33.600014999999999</v>
      </c>
      <c r="AW4" s="11">
        <v>43.7273</v>
      </c>
      <c r="AX4" s="11">
        <v>16.636703000000001</v>
      </c>
      <c r="AY4" s="10">
        <v>94</v>
      </c>
      <c r="AZ4" t="s">
        <v>104</v>
      </c>
      <c r="BA4" s="17">
        <f t="shared" si="7"/>
        <v>0</v>
      </c>
      <c r="BB4" s="17">
        <f t="shared" si="8"/>
        <v>0</v>
      </c>
      <c r="BC4" s="17">
        <f t="shared" si="9"/>
        <v>0</v>
      </c>
      <c r="BG4" s="14">
        <v>0</v>
      </c>
      <c r="BH4" s="14">
        <v>0</v>
      </c>
      <c r="BI4" s="14">
        <v>0</v>
      </c>
      <c r="BJ4" s="14">
        <v>0</v>
      </c>
      <c r="BK4" s="14">
        <v>1</v>
      </c>
      <c r="BL4" s="14">
        <v>0</v>
      </c>
      <c r="BM4" s="14">
        <v>0</v>
      </c>
      <c r="BN4" s="14">
        <v>0</v>
      </c>
      <c r="BO4" s="14">
        <v>0</v>
      </c>
      <c r="BP4" s="14">
        <v>0</v>
      </c>
      <c r="BQ4" s="11">
        <v>33.600014999999999</v>
      </c>
      <c r="BR4" s="11">
        <v>43.7273</v>
      </c>
      <c r="BS4" s="11">
        <v>16.636703000000001</v>
      </c>
      <c r="BT4" s="10">
        <v>94</v>
      </c>
    </row>
    <row r="5" spans="1:72" ht="20.149999999999999" customHeight="1">
      <c r="A5" s="29"/>
      <c r="B5" s="30"/>
      <c r="C5" s="284" t="s">
        <v>48</v>
      </c>
      <c r="D5" s="285"/>
      <c r="E5" s="288" t="s">
        <v>49</v>
      </c>
      <c r="F5" s="289"/>
      <c r="G5" s="290"/>
      <c r="H5" s="294" t="s">
        <v>50</v>
      </c>
      <c r="I5" s="295"/>
      <c r="J5" s="295"/>
      <c r="K5" s="295"/>
      <c r="L5" s="295"/>
      <c r="M5" s="295"/>
      <c r="N5" s="295"/>
      <c r="O5" s="296"/>
      <c r="P5" s="31"/>
      <c r="Q5" s="31"/>
      <c r="R5" s="31"/>
      <c r="S5" s="31"/>
      <c r="T5" s="31"/>
      <c r="U5" s="31"/>
      <c r="V5" s="31"/>
      <c r="W5" s="31"/>
      <c r="X5" s="31"/>
      <c r="Y5" s="31"/>
      <c r="Z5" s="31"/>
      <c r="AA5" s="31"/>
      <c r="AB5" s="31"/>
      <c r="AC5" s="32"/>
      <c r="AD5" s="33"/>
      <c r="AE5" s="33"/>
      <c r="AF5" s="33"/>
      <c r="AG5" s="33"/>
      <c r="AH5" s="33"/>
      <c r="AK5" s="10" t="s">
        <v>23</v>
      </c>
      <c r="AL5" s="10">
        <f t="shared" si="0"/>
        <v>0</v>
      </c>
      <c r="AM5" s="10">
        <f t="shared" si="1"/>
        <v>0</v>
      </c>
      <c r="AN5" s="10">
        <f t="shared" si="2"/>
        <v>0</v>
      </c>
      <c r="AO5" s="10" t="s">
        <v>24</v>
      </c>
      <c r="AP5" s="10">
        <f t="shared" si="3"/>
        <v>0</v>
      </c>
      <c r="AQ5" s="10" t="s">
        <v>11</v>
      </c>
      <c r="AR5" s="10">
        <f t="shared" si="4"/>
        <v>1</v>
      </c>
      <c r="AS5" s="10" t="s">
        <v>27</v>
      </c>
      <c r="AT5" s="10">
        <f t="shared" si="5"/>
        <v>0</v>
      </c>
      <c r="AU5" s="10">
        <f t="shared" si="6"/>
        <v>0</v>
      </c>
      <c r="AV5" s="11">
        <v>32.4</v>
      </c>
      <c r="AW5" s="11">
        <v>59.043500000000002</v>
      </c>
      <c r="AX5" s="11">
        <v>10.739832</v>
      </c>
      <c r="AY5" s="10">
        <v>93</v>
      </c>
      <c r="AZ5" t="s">
        <v>104</v>
      </c>
      <c r="BA5" s="17">
        <f t="shared" si="7"/>
        <v>0</v>
      </c>
      <c r="BB5" s="17">
        <f t="shared" si="8"/>
        <v>0</v>
      </c>
      <c r="BC5" s="17">
        <f t="shared" si="9"/>
        <v>0</v>
      </c>
      <c r="BG5" s="14">
        <v>0</v>
      </c>
      <c r="BH5" s="14">
        <v>0</v>
      </c>
      <c r="BI5" s="14">
        <v>0</v>
      </c>
      <c r="BJ5" s="14">
        <v>0</v>
      </c>
      <c r="BK5" s="14">
        <v>1</v>
      </c>
      <c r="BL5" s="14">
        <v>0</v>
      </c>
      <c r="BM5" s="14">
        <v>0</v>
      </c>
      <c r="BN5" s="14">
        <v>0</v>
      </c>
      <c r="BO5" s="14">
        <v>0</v>
      </c>
      <c r="BP5" s="14">
        <v>0</v>
      </c>
      <c r="BQ5" s="11">
        <v>32.4</v>
      </c>
      <c r="BR5" s="11">
        <v>59.043500000000002</v>
      </c>
      <c r="BS5" s="11">
        <v>10.739832</v>
      </c>
      <c r="BT5" s="10">
        <v>93</v>
      </c>
    </row>
    <row r="6" spans="1:72" ht="20.149999999999999" customHeight="1">
      <c r="A6" s="29"/>
      <c r="B6" s="30"/>
      <c r="C6" s="286"/>
      <c r="D6" s="287"/>
      <c r="E6" s="291"/>
      <c r="F6" s="292"/>
      <c r="G6" s="293"/>
      <c r="H6" s="34" t="s">
        <v>51</v>
      </c>
      <c r="I6" s="35" t="s">
        <v>52</v>
      </c>
      <c r="J6" s="35" t="s">
        <v>53</v>
      </c>
      <c r="K6" s="36" t="s">
        <v>54</v>
      </c>
      <c r="L6" s="34" t="s">
        <v>55</v>
      </c>
      <c r="M6" s="35" t="s">
        <v>56</v>
      </c>
      <c r="N6" s="35" t="s">
        <v>57</v>
      </c>
      <c r="O6" s="37" t="s">
        <v>58</v>
      </c>
      <c r="P6" s="38"/>
      <c r="Q6" s="38"/>
      <c r="R6" s="38"/>
      <c r="S6" s="38"/>
      <c r="T6" s="38"/>
      <c r="U6" s="38"/>
      <c r="V6" s="38"/>
      <c r="W6" s="38"/>
      <c r="X6" s="38"/>
      <c r="Y6" s="38"/>
      <c r="Z6" s="38"/>
      <c r="AA6" s="38"/>
      <c r="AB6" s="38"/>
      <c r="AC6" s="39"/>
      <c r="AD6" s="40"/>
      <c r="AE6" s="40"/>
      <c r="AF6" s="40"/>
      <c r="AG6" s="40"/>
      <c r="AH6" s="40"/>
      <c r="AK6" s="10" t="s">
        <v>23</v>
      </c>
      <c r="AL6" s="10">
        <f t="shared" si="0"/>
        <v>0</v>
      </c>
      <c r="AM6" s="10">
        <f t="shared" si="1"/>
        <v>0</v>
      </c>
      <c r="AN6" s="10">
        <f t="shared" si="2"/>
        <v>0</v>
      </c>
      <c r="AO6" s="10" t="s">
        <v>24</v>
      </c>
      <c r="AP6" s="10">
        <f t="shared" si="3"/>
        <v>0</v>
      </c>
      <c r="AQ6" s="10" t="s">
        <v>11</v>
      </c>
      <c r="AR6" s="10">
        <f t="shared" si="4"/>
        <v>1</v>
      </c>
      <c r="AS6" s="10" t="s">
        <v>27</v>
      </c>
      <c r="AT6" s="10">
        <f t="shared" si="5"/>
        <v>0</v>
      </c>
      <c r="AU6" s="10">
        <f t="shared" si="6"/>
        <v>0</v>
      </c>
      <c r="AV6" s="11">
        <v>33.75</v>
      </c>
      <c r="AW6" s="11">
        <v>43.695699999999995</v>
      </c>
      <c r="AX6" s="11">
        <v>12.522300000000001</v>
      </c>
      <c r="AY6" s="10">
        <v>92</v>
      </c>
      <c r="AZ6" t="s">
        <v>104</v>
      </c>
      <c r="BA6" s="17">
        <f t="shared" si="7"/>
        <v>0</v>
      </c>
      <c r="BB6" s="17">
        <f t="shared" si="8"/>
        <v>0</v>
      </c>
      <c r="BC6" s="17">
        <f t="shared" si="9"/>
        <v>0</v>
      </c>
      <c r="BG6" s="14">
        <v>0</v>
      </c>
      <c r="BH6" s="14">
        <v>0</v>
      </c>
      <c r="BI6" s="14">
        <v>0</v>
      </c>
      <c r="BJ6" s="14">
        <v>0</v>
      </c>
      <c r="BK6" s="14">
        <v>1</v>
      </c>
      <c r="BL6" s="14">
        <v>0</v>
      </c>
      <c r="BM6" s="14">
        <v>0</v>
      </c>
      <c r="BN6" s="14">
        <v>0</v>
      </c>
      <c r="BO6" s="14">
        <v>0</v>
      </c>
      <c r="BP6" s="14">
        <v>0</v>
      </c>
      <c r="BQ6" s="11">
        <v>33.75</v>
      </c>
      <c r="BR6" s="11">
        <v>43.695699999999995</v>
      </c>
      <c r="BS6" s="11">
        <v>12.522300000000001</v>
      </c>
      <c r="BT6" s="10">
        <v>92</v>
      </c>
    </row>
    <row r="7" spans="1:72" ht="20.149999999999999" customHeight="1">
      <c r="A7" s="29"/>
      <c r="B7" s="30"/>
      <c r="C7" s="297" t="s">
        <v>119</v>
      </c>
      <c r="D7" s="298"/>
      <c r="E7" s="299">
        <v>3</v>
      </c>
      <c r="F7" s="300"/>
      <c r="G7" s="301"/>
      <c r="H7" s="189" t="s">
        <v>29</v>
      </c>
      <c r="I7" s="190" t="s">
        <v>31</v>
      </c>
      <c r="J7" s="191" t="s">
        <v>30</v>
      </c>
      <c r="K7" s="42"/>
      <c r="L7" s="43"/>
      <c r="M7" s="42"/>
      <c r="N7" s="44"/>
      <c r="O7" s="45"/>
      <c r="P7" s="41"/>
      <c r="Q7" s="41"/>
      <c r="R7" s="41"/>
      <c r="S7" s="41"/>
      <c r="T7" s="41"/>
      <c r="U7" s="41"/>
      <c r="V7" s="41"/>
      <c r="W7" s="41"/>
      <c r="X7" s="41"/>
      <c r="Y7" s="41"/>
      <c r="Z7" s="41"/>
      <c r="AA7" s="41"/>
      <c r="AB7" s="41"/>
      <c r="AC7" s="46"/>
      <c r="AD7" s="41"/>
      <c r="AE7" s="41"/>
      <c r="AF7" s="41"/>
      <c r="AG7" s="41"/>
      <c r="AH7" s="41"/>
      <c r="AK7" s="10" t="s">
        <v>23</v>
      </c>
      <c r="AL7" s="10">
        <f t="shared" si="0"/>
        <v>0</v>
      </c>
      <c r="AM7" s="10">
        <f t="shared" si="1"/>
        <v>0</v>
      </c>
      <c r="AN7" s="10">
        <f t="shared" si="2"/>
        <v>0</v>
      </c>
      <c r="AO7" s="10" t="s">
        <v>24</v>
      </c>
      <c r="AP7" s="10">
        <f t="shared" si="3"/>
        <v>0</v>
      </c>
      <c r="AQ7" s="10" t="s">
        <v>11</v>
      </c>
      <c r="AR7" s="10">
        <f t="shared" si="4"/>
        <v>1</v>
      </c>
      <c r="AS7" s="10" t="s">
        <v>27</v>
      </c>
      <c r="AT7" s="10">
        <f t="shared" si="5"/>
        <v>0</v>
      </c>
      <c r="AU7" s="10">
        <f t="shared" si="6"/>
        <v>0</v>
      </c>
      <c r="AV7" s="11">
        <v>31.912514999999999</v>
      </c>
      <c r="AW7" s="11">
        <v>51.826099999999997</v>
      </c>
      <c r="AX7" s="11">
        <v>6.0008683999999999</v>
      </c>
      <c r="AY7" s="10">
        <v>81</v>
      </c>
      <c r="AZ7" t="s">
        <v>104</v>
      </c>
      <c r="BA7" s="17">
        <f t="shared" si="7"/>
        <v>0</v>
      </c>
      <c r="BB7" s="17">
        <f t="shared" si="8"/>
        <v>0</v>
      </c>
      <c r="BC7" s="17">
        <f t="shared" si="9"/>
        <v>0</v>
      </c>
      <c r="BG7" s="14">
        <v>0</v>
      </c>
      <c r="BH7" s="14">
        <v>0</v>
      </c>
      <c r="BI7" s="14">
        <v>0</v>
      </c>
      <c r="BJ7" s="14">
        <v>0</v>
      </c>
      <c r="BK7" s="14">
        <v>1</v>
      </c>
      <c r="BL7" s="14">
        <v>0</v>
      </c>
      <c r="BM7" s="14">
        <v>0</v>
      </c>
      <c r="BN7" s="14">
        <v>0</v>
      </c>
      <c r="BO7" s="14">
        <v>0</v>
      </c>
      <c r="BP7" s="14">
        <v>0</v>
      </c>
      <c r="BQ7" s="11">
        <v>31.912514999999999</v>
      </c>
      <c r="BR7" s="11">
        <v>51.826099999999997</v>
      </c>
      <c r="BS7" s="11">
        <v>6.0008683999999999</v>
      </c>
      <c r="BT7" s="10">
        <v>81</v>
      </c>
    </row>
    <row r="8" spans="1:72" ht="20.149999999999999" customHeight="1">
      <c r="A8" s="29"/>
      <c r="B8" s="30"/>
      <c r="C8" s="279" t="s">
        <v>111</v>
      </c>
      <c r="D8" s="280"/>
      <c r="E8" s="281">
        <v>1</v>
      </c>
      <c r="F8" s="282"/>
      <c r="G8" s="283"/>
      <c r="H8" s="188" t="s">
        <v>111</v>
      </c>
      <c r="I8" s="47"/>
      <c r="J8" s="48"/>
      <c r="K8" s="47"/>
      <c r="L8" s="49"/>
      <c r="M8" s="50"/>
      <c r="N8" s="51"/>
      <c r="O8" s="52"/>
      <c r="P8" s="41"/>
      <c r="Q8" s="41"/>
      <c r="R8" s="41"/>
      <c r="S8" s="41"/>
      <c r="T8" s="41"/>
      <c r="U8" s="41"/>
      <c r="V8" s="41"/>
      <c r="W8" s="41"/>
      <c r="X8" s="41"/>
      <c r="Y8" s="41"/>
      <c r="Z8" s="41"/>
      <c r="AA8" s="41"/>
      <c r="AB8" s="41"/>
      <c r="AC8" s="46"/>
      <c r="AD8" s="41"/>
      <c r="AE8" s="41"/>
      <c r="AF8" s="41"/>
      <c r="AG8" s="41"/>
      <c r="AH8" s="41"/>
      <c r="AK8" s="10" t="s">
        <v>23</v>
      </c>
      <c r="AL8" s="10">
        <f t="shared" si="0"/>
        <v>0</v>
      </c>
      <c r="AM8" s="10">
        <f t="shared" si="1"/>
        <v>0</v>
      </c>
      <c r="AN8" s="10">
        <f t="shared" si="2"/>
        <v>0</v>
      </c>
      <c r="AO8" s="10" t="s">
        <v>24</v>
      </c>
      <c r="AP8" s="10">
        <f t="shared" si="3"/>
        <v>0</v>
      </c>
      <c r="AQ8" s="10" t="s">
        <v>11</v>
      </c>
      <c r="AR8" s="10">
        <f t="shared" si="4"/>
        <v>1</v>
      </c>
      <c r="AS8" s="10" t="s">
        <v>26</v>
      </c>
      <c r="AT8" s="10">
        <f t="shared" si="5"/>
        <v>1</v>
      </c>
      <c r="AU8" s="10">
        <f t="shared" si="6"/>
        <v>0</v>
      </c>
      <c r="AV8" s="11">
        <v>32.999985000000002</v>
      </c>
      <c r="AW8" s="11">
        <v>49.869599999999998</v>
      </c>
      <c r="AX8" s="11">
        <v>11.304641999999999</v>
      </c>
      <c r="AY8" s="10">
        <v>107</v>
      </c>
      <c r="AZ8" t="s">
        <v>105</v>
      </c>
      <c r="BA8" s="17">
        <f t="shared" si="7"/>
        <v>0</v>
      </c>
      <c r="BB8" s="17">
        <f t="shared" si="8"/>
        <v>0</v>
      </c>
      <c r="BC8" s="17">
        <f t="shared" si="9"/>
        <v>1</v>
      </c>
      <c r="BG8" s="14">
        <v>0</v>
      </c>
      <c r="BH8" s="14">
        <v>0</v>
      </c>
      <c r="BI8" s="14">
        <v>0</v>
      </c>
      <c r="BJ8" s="14">
        <v>0</v>
      </c>
      <c r="BK8" s="14">
        <v>1</v>
      </c>
      <c r="BL8" s="14">
        <v>1</v>
      </c>
      <c r="BM8" s="14">
        <v>0</v>
      </c>
      <c r="BN8" s="14">
        <v>0</v>
      </c>
      <c r="BO8" s="14">
        <v>0</v>
      </c>
      <c r="BP8" s="14">
        <v>1</v>
      </c>
      <c r="BQ8" s="11">
        <v>32.999985000000002</v>
      </c>
      <c r="BR8" s="11">
        <v>49.869599999999998</v>
      </c>
      <c r="BS8" s="11">
        <v>11.304641999999999</v>
      </c>
      <c r="BT8" s="10">
        <v>107</v>
      </c>
    </row>
    <row r="9" spans="1:72" ht="20.149999999999999" customHeight="1">
      <c r="A9" s="29"/>
      <c r="B9" s="30"/>
      <c r="C9" s="302" t="s">
        <v>112</v>
      </c>
      <c r="D9" s="303"/>
      <c r="E9" s="304">
        <v>1</v>
      </c>
      <c r="F9" s="305"/>
      <c r="G9" s="306"/>
      <c r="H9" s="187" t="s">
        <v>112</v>
      </c>
      <c r="I9" s="42"/>
      <c r="J9" s="43"/>
      <c r="K9" s="42"/>
      <c r="L9" s="53"/>
      <c r="M9" s="54"/>
      <c r="N9" s="44"/>
      <c r="O9" s="45"/>
      <c r="P9" s="41"/>
      <c r="Q9" s="41"/>
      <c r="R9" s="41"/>
      <c r="S9" s="41"/>
      <c r="T9" s="41"/>
      <c r="U9" s="41"/>
      <c r="V9" s="41"/>
      <c r="W9" s="41"/>
      <c r="X9" s="41"/>
      <c r="Y9" s="41"/>
      <c r="Z9" s="41"/>
      <c r="AA9" s="41"/>
      <c r="AB9" s="41"/>
      <c r="AC9" s="46"/>
      <c r="AD9" s="41"/>
      <c r="AE9" s="41"/>
      <c r="AF9" s="41"/>
      <c r="AG9" s="41"/>
      <c r="AH9" s="41"/>
      <c r="AK9" s="10" t="s">
        <v>23</v>
      </c>
      <c r="AL9" s="10">
        <f t="shared" si="0"/>
        <v>0</v>
      </c>
      <c r="AM9" s="10">
        <f t="shared" si="1"/>
        <v>0</v>
      </c>
      <c r="AN9" s="10">
        <f t="shared" si="2"/>
        <v>0</v>
      </c>
      <c r="AO9" s="10" t="s">
        <v>24</v>
      </c>
      <c r="AP9" s="10">
        <f t="shared" si="3"/>
        <v>0</v>
      </c>
      <c r="AQ9" s="10" t="s">
        <v>25</v>
      </c>
      <c r="AR9" s="10">
        <f t="shared" si="4"/>
        <v>0</v>
      </c>
      <c r="AS9" s="10" t="s">
        <v>26</v>
      </c>
      <c r="AT9" s="10">
        <f t="shared" si="5"/>
        <v>1</v>
      </c>
      <c r="AU9" s="10">
        <f t="shared" si="6"/>
        <v>0</v>
      </c>
      <c r="AV9" s="11">
        <v>33.637500000000003</v>
      </c>
      <c r="AW9" s="11">
        <v>53.583300000000001</v>
      </c>
      <c r="AX9" s="11">
        <v>17.875868000000001</v>
      </c>
      <c r="AY9" s="10">
        <v>98</v>
      </c>
      <c r="AZ9" t="s">
        <v>104</v>
      </c>
      <c r="BA9" s="17">
        <f t="shared" si="7"/>
        <v>0</v>
      </c>
      <c r="BB9" s="17">
        <f t="shared" si="8"/>
        <v>0</v>
      </c>
      <c r="BC9" s="17">
        <f t="shared" si="9"/>
        <v>0</v>
      </c>
      <c r="BG9" s="14">
        <v>0</v>
      </c>
      <c r="BH9" s="14">
        <v>0</v>
      </c>
      <c r="BI9" s="14">
        <v>0</v>
      </c>
      <c r="BJ9" s="14">
        <v>0</v>
      </c>
      <c r="BK9" s="14">
        <v>0</v>
      </c>
      <c r="BL9" s="14">
        <v>1</v>
      </c>
      <c r="BM9" s="14">
        <v>0</v>
      </c>
      <c r="BN9" s="14">
        <v>0</v>
      </c>
      <c r="BO9" s="14">
        <v>0</v>
      </c>
      <c r="BP9" s="14">
        <v>0</v>
      </c>
      <c r="BQ9" s="11">
        <v>33.637500000000003</v>
      </c>
      <c r="BR9" s="11">
        <v>53.583300000000001</v>
      </c>
      <c r="BS9" s="11">
        <v>17.875868000000001</v>
      </c>
      <c r="BT9" s="10">
        <v>98</v>
      </c>
    </row>
    <row r="10" spans="1:72" ht="20.149999999999999" customHeight="1">
      <c r="A10" s="29"/>
      <c r="B10" s="30"/>
      <c r="C10" s="307" t="s">
        <v>120</v>
      </c>
      <c r="D10" s="308"/>
      <c r="E10" s="309">
        <v>2</v>
      </c>
      <c r="F10" s="310"/>
      <c r="G10" s="311"/>
      <c r="H10" s="185" t="s">
        <v>26</v>
      </c>
      <c r="I10" s="186" t="s">
        <v>28</v>
      </c>
      <c r="J10" s="48"/>
      <c r="K10" s="47"/>
      <c r="L10" s="49"/>
      <c r="M10" s="50"/>
      <c r="N10" s="51"/>
      <c r="O10" s="52"/>
      <c r="P10" s="41"/>
      <c r="Q10" s="41"/>
      <c r="R10" s="41"/>
      <c r="S10" s="41"/>
      <c r="T10" s="41"/>
      <c r="U10" s="41"/>
      <c r="V10" s="41"/>
      <c r="W10" s="41"/>
      <c r="X10" s="41"/>
      <c r="Y10" s="41"/>
      <c r="Z10" s="41"/>
      <c r="AA10" s="41"/>
      <c r="AB10" s="41"/>
      <c r="AC10" s="46"/>
      <c r="AD10" s="41"/>
      <c r="AE10" s="41"/>
      <c r="AF10" s="41"/>
      <c r="AG10" s="41"/>
      <c r="AH10" s="41"/>
      <c r="AK10" s="10" t="s">
        <v>23</v>
      </c>
      <c r="AL10" s="10">
        <f t="shared" si="0"/>
        <v>0</v>
      </c>
      <c r="AM10" s="10">
        <f t="shared" si="1"/>
        <v>0</v>
      </c>
      <c r="AN10" s="10">
        <f t="shared" si="2"/>
        <v>0</v>
      </c>
      <c r="AO10" s="10" t="s">
        <v>24</v>
      </c>
      <c r="AP10" s="10">
        <f t="shared" si="3"/>
        <v>0</v>
      </c>
      <c r="AQ10" s="10" t="s">
        <v>25</v>
      </c>
      <c r="AR10" s="10">
        <f t="shared" si="4"/>
        <v>0</v>
      </c>
      <c r="AS10" s="10" t="s">
        <v>27</v>
      </c>
      <c r="AT10" s="10">
        <f t="shared" si="5"/>
        <v>0</v>
      </c>
      <c r="AU10" s="10">
        <f t="shared" si="6"/>
        <v>0</v>
      </c>
      <c r="AV10" s="11">
        <v>34.3125</v>
      </c>
      <c r="AW10" s="11">
        <v>43.416700000000006</v>
      </c>
      <c r="AX10" s="11">
        <v>24.25065</v>
      </c>
      <c r="AY10" s="10">
        <v>81</v>
      </c>
      <c r="AZ10" t="s">
        <v>104</v>
      </c>
      <c r="BA10" s="17">
        <f t="shared" si="7"/>
        <v>0</v>
      </c>
      <c r="BB10" s="17">
        <f t="shared" si="8"/>
        <v>0</v>
      </c>
      <c r="BC10" s="17">
        <f t="shared" si="9"/>
        <v>0</v>
      </c>
      <c r="BG10" s="14">
        <v>0</v>
      </c>
      <c r="BH10" s="14">
        <v>0</v>
      </c>
      <c r="BI10" s="14">
        <v>0</v>
      </c>
      <c r="BJ10" s="14">
        <v>0</v>
      </c>
      <c r="BK10" s="14">
        <v>0</v>
      </c>
      <c r="BL10" s="14">
        <v>0</v>
      </c>
      <c r="BM10" s="14">
        <v>0</v>
      </c>
      <c r="BN10" s="14">
        <v>0</v>
      </c>
      <c r="BO10" s="14">
        <v>0</v>
      </c>
      <c r="BP10" s="14">
        <v>0</v>
      </c>
      <c r="BQ10" s="11">
        <v>34.3125</v>
      </c>
      <c r="BR10" s="11">
        <v>43.416700000000006</v>
      </c>
      <c r="BS10" s="11">
        <v>24.25065</v>
      </c>
      <c r="BT10" s="10">
        <v>81</v>
      </c>
    </row>
    <row r="11" spans="1:72" ht="20.149999999999999" customHeight="1">
      <c r="A11" s="29"/>
      <c r="B11" s="30"/>
      <c r="C11" s="312" t="s">
        <v>115</v>
      </c>
      <c r="D11" s="313"/>
      <c r="E11" s="314">
        <v>3</v>
      </c>
      <c r="F11" s="315"/>
      <c r="G11" s="316"/>
      <c r="H11" s="182" t="s">
        <v>121</v>
      </c>
      <c r="I11" s="183" t="s">
        <v>122</v>
      </c>
      <c r="J11" s="184" t="s">
        <v>116</v>
      </c>
      <c r="K11" s="47"/>
      <c r="L11" s="49"/>
      <c r="M11" s="50"/>
      <c r="N11" s="51"/>
      <c r="O11" s="52"/>
      <c r="P11" s="41"/>
      <c r="Q11" s="41"/>
      <c r="R11" s="41"/>
      <c r="S11" s="41"/>
      <c r="T11" s="41"/>
      <c r="U11" s="41"/>
      <c r="V11" s="41"/>
      <c r="W11" s="41"/>
      <c r="X11" s="41"/>
      <c r="Y11" s="41"/>
      <c r="Z11" s="41"/>
      <c r="AA11" s="41"/>
      <c r="AB11" s="41"/>
      <c r="AC11" s="46"/>
      <c r="AD11" s="41"/>
      <c r="AE11" s="41"/>
      <c r="AF11" s="41"/>
      <c r="AG11" s="41"/>
      <c r="AH11" s="41"/>
      <c r="AK11" s="10" t="s">
        <v>23</v>
      </c>
      <c r="AL11" s="10">
        <f t="shared" si="0"/>
        <v>0</v>
      </c>
      <c r="AM11" s="10">
        <f t="shared" si="1"/>
        <v>0</v>
      </c>
      <c r="AN11" s="10">
        <f t="shared" si="2"/>
        <v>0</v>
      </c>
      <c r="AO11" s="10" t="s">
        <v>24</v>
      </c>
      <c r="AP11" s="10">
        <f t="shared" si="3"/>
        <v>0</v>
      </c>
      <c r="AQ11" s="10" t="s">
        <v>11</v>
      </c>
      <c r="AR11" s="10">
        <f t="shared" si="4"/>
        <v>1</v>
      </c>
      <c r="AS11" s="10" t="s">
        <v>27</v>
      </c>
      <c r="AT11" s="10">
        <f t="shared" si="5"/>
        <v>0</v>
      </c>
      <c r="AU11" s="10">
        <f t="shared" si="6"/>
        <v>0</v>
      </c>
      <c r="AV11" s="11">
        <v>35.737514999999995</v>
      </c>
      <c r="AW11" s="11">
        <v>48.291699999999999</v>
      </c>
      <c r="AX11" s="11">
        <v>14.958888999999999</v>
      </c>
      <c r="AY11" s="10">
        <v>85</v>
      </c>
      <c r="AZ11" t="s">
        <v>104</v>
      </c>
      <c r="BA11" s="17">
        <f t="shared" si="7"/>
        <v>0</v>
      </c>
      <c r="BB11" s="17">
        <f t="shared" si="8"/>
        <v>0</v>
      </c>
      <c r="BC11" s="17">
        <f t="shared" si="9"/>
        <v>0</v>
      </c>
      <c r="BG11" s="14">
        <v>0</v>
      </c>
      <c r="BH11" s="14">
        <v>0</v>
      </c>
      <c r="BI11" s="14">
        <v>0</v>
      </c>
      <c r="BJ11" s="14">
        <v>0</v>
      </c>
      <c r="BK11" s="14">
        <v>1</v>
      </c>
      <c r="BL11" s="14">
        <v>0</v>
      </c>
      <c r="BM11" s="14">
        <v>0</v>
      </c>
      <c r="BN11" s="14">
        <v>0</v>
      </c>
      <c r="BO11" s="14">
        <v>0</v>
      </c>
      <c r="BP11" s="14">
        <v>0</v>
      </c>
      <c r="BQ11" s="11">
        <v>35.737514999999995</v>
      </c>
      <c r="BR11" s="11">
        <v>48.291699999999999</v>
      </c>
      <c r="BS11" s="11">
        <v>14.958888999999999</v>
      </c>
      <c r="BT11" s="10">
        <v>85</v>
      </c>
    </row>
    <row r="12" spans="1:72" ht="20.149999999999999" customHeight="1">
      <c r="A12" s="23"/>
      <c r="B12" s="24"/>
      <c r="C12" s="317"/>
      <c r="D12" s="318"/>
      <c r="E12" s="319"/>
      <c r="F12" s="320"/>
      <c r="G12" s="321"/>
      <c r="H12" s="55"/>
      <c r="I12" s="56"/>
      <c r="J12" s="57"/>
      <c r="K12" s="58"/>
      <c r="L12" s="59"/>
      <c r="M12" s="56"/>
      <c r="N12" s="60"/>
      <c r="O12" s="61"/>
      <c r="AC12" s="62"/>
      <c r="AD12" s="63"/>
      <c r="AE12" s="63"/>
      <c r="AF12" s="63"/>
      <c r="AG12" s="63"/>
      <c r="AH12" s="63"/>
      <c r="AK12" s="10" t="s">
        <v>23</v>
      </c>
      <c r="AL12" s="10">
        <f t="shared" si="0"/>
        <v>0</v>
      </c>
      <c r="AM12" s="10">
        <f t="shared" si="1"/>
        <v>0</v>
      </c>
      <c r="AN12" s="10">
        <f t="shared" si="2"/>
        <v>0</v>
      </c>
      <c r="AO12" s="10" t="s">
        <v>24</v>
      </c>
      <c r="AP12" s="10">
        <f t="shared" si="3"/>
        <v>0</v>
      </c>
      <c r="AQ12" s="10" t="s">
        <v>11</v>
      </c>
      <c r="AR12" s="10">
        <f t="shared" si="4"/>
        <v>1</v>
      </c>
      <c r="AS12" s="10" t="s">
        <v>26</v>
      </c>
      <c r="AT12" s="10">
        <f t="shared" si="5"/>
        <v>1</v>
      </c>
      <c r="AU12" s="10">
        <f t="shared" si="6"/>
        <v>0</v>
      </c>
      <c r="AV12" s="11">
        <v>33.600014999999999</v>
      </c>
      <c r="AW12" s="11">
        <v>68.636399999999995</v>
      </c>
      <c r="AX12" s="11">
        <v>8.1828440000000011</v>
      </c>
      <c r="AY12" s="10">
        <v>87</v>
      </c>
      <c r="AZ12" t="s">
        <v>104</v>
      </c>
      <c r="BA12" s="17">
        <f t="shared" si="7"/>
        <v>0</v>
      </c>
      <c r="BB12" s="17">
        <f t="shared" si="8"/>
        <v>0</v>
      </c>
      <c r="BC12" s="17">
        <f t="shared" si="9"/>
        <v>0</v>
      </c>
      <c r="BG12" s="14">
        <v>0</v>
      </c>
      <c r="BH12" s="14">
        <v>0</v>
      </c>
      <c r="BI12" s="14">
        <v>0</v>
      </c>
      <c r="BJ12" s="14">
        <v>0</v>
      </c>
      <c r="BK12" s="14">
        <v>1</v>
      </c>
      <c r="BL12" s="14">
        <v>1</v>
      </c>
      <c r="BM12" s="14">
        <v>0</v>
      </c>
      <c r="BN12" s="14">
        <v>0</v>
      </c>
      <c r="BO12" s="14">
        <v>0</v>
      </c>
      <c r="BP12" s="14">
        <v>0</v>
      </c>
      <c r="BQ12" s="11">
        <v>33.600014999999999</v>
      </c>
      <c r="BR12" s="11">
        <v>68.636399999999995</v>
      </c>
      <c r="BS12" s="11">
        <v>8.1828440000000011</v>
      </c>
      <c r="BT12" s="10">
        <v>87</v>
      </c>
    </row>
    <row r="13" spans="1:72" ht="20.149999999999999" customHeight="1">
      <c r="A13" s="23"/>
      <c r="B13" s="24"/>
      <c r="C13" s="28"/>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2"/>
      <c r="AD13" s="63"/>
      <c r="AE13" s="63"/>
      <c r="AF13" s="63"/>
      <c r="AG13" s="63"/>
      <c r="AH13" s="63"/>
      <c r="AK13" s="10" t="s">
        <v>23</v>
      </c>
      <c r="AL13" s="10">
        <f t="shared" si="0"/>
        <v>0</v>
      </c>
      <c r="AM13" s="10">
        <f t="shared" si="1"/>
        <v>0</v>
      </c>
      <c r="AN13" s="10">
        <f t="shared" si="2"/>
        <v>0</v>
      </c>
      <c r="AO13" s="10" t="s">
        <v>24</v>
      </c>
      <c r="AP13" s="10">
        <f t="shared" si="3"/>
        <v>0</v>
      </c>
      <c r="AQ13" s="10" t="s">
        <v>11</v>
      </c>
      <c r="AR13" s="10">
        <f t="shared" si="4"/>
        <v>1</v>
      </c>
      <c r="AS13" s="10" t="s">
        <v>27</v>
      </c>
      <c r="AT13" s="10">
        <f t="shared" si="5"/>
        <v>0</v>
      </c>
      <c r="AU13" s="10">
        <f t="shared" si="6"/>
        <v>0</v>
      </c>
      <c r="AV13" s="11">
        <v>30.637485000000002</v>
      </c>
      <c r="AW13" s="11">
        <v>59.954499999999996</v>
      </c>
      <c r="AX13" s="11">
        <v>20.410008999999999</v>
      </c>
      <c r="AY13" s="10">
        <v>102</v>
      </c>
      <c r="AZ13" t="s">
        <v>105</v>
      </c>
      <c r="BA13" s="17">
        <f t="shared" si="7"/>
        <v>0</v>
      </c>
      <c r="BB13" s="17">
        <f t="shared" si="8"/>
        <v>0</v>
      </c>
      <c r="BC13" s="17">
        <f t="shared" si="9"/>
        <v>1</v>
      </c>
      <c r="BG13" s="14">
        <v>0</v>
      </c>
      <c r="BH13" s="14">
        <v>0</v>
      </c>
      <c r="BI13" s="14">
        <v>0</v>
      </c>
      <c r="BJ13" s="14">
        <v>0</v>
      </c>
      <c r="BK13" s="14">
        <v>1</v>
      </c>
      <c r="BL13" s="14">
        <v>0</v>
      </c>
      <c r="BM13" s="14">
        <v>0</v>
      </c>
      <c r="BN13" s="14">
        <v>0</v>
      </c>
      <c r="BO13" s="14">
        <v>0</v>
      </c>
      <c r="BP13" s="14">
        <v>1</v>
      </c>
      <c r="BQ13" s="11">
        <v>30.637485000000002</v>
      </c>
      <c r="BR13" s="11">
        <v>59.954499999999996</v>
      </c>
      <c r="BS13" s="11">
        <v>20.410008999999999</v>
      </c>
      <c r="BT13" s="10">
        <v>102</v>
      </c>
    </row>
    <row r="14" spans="1:72" ht="20.149999999999999" customHeight="1">
      <c r="A14" s="23"/>
      <c r="B14" s="24"/>
      <c r="AC14" s="64"/>
      <c r="AK14" s="10" t="s">
        <v>23</v>
      </c>
      <c r="AL14" s="10">
        <f t="shared" si="0"/>
        <v>0</v>
      </c>
      <c r="AM14" s="10">
        <f t="shared" si="1"/>
        <v>0</v>
      </c>
      <c r="AN14" s="10">
        <f t="shared" si="2"/>
        <v>0</v>
      </c>
      <c r="AO14" s="10" t="s">
        <v>24</v>
      </c>
      <c r="AP14" s="10">
        <f t="shared" si="3"/>
        <v>0</v>
      </c>
      <c r="AQ14" s="10" t="s">
        <v>11</v>
      </c>
      <c r="AR14" s="10">
        <f t="shared" si="4"/>
        <v>1</v>
      </c>
      <c r="AS14" s="10" t="s">
        <v>27</v>
      </c>
      <c r="AT14" s="10">
        <f t="shared" si="5"/>
        <v>0</v>
      </c>
      <c r="AU14" s="10">
        <f t="shared" si="6"/>
        <v>0</v>
      </c>
      <c r="AV14" s="11">
        <v>29.849984999999997</v>
      </c>
      <c r="AW14" s="11">
        <v>47.041699999999999</v>
      </c>
      <c r="AX14" s="11">
        <v>20.166999999999998</v>
      </c>
      <c r="AY14" s="10">
        <v>110</v>
      </c>
      <c r="AZ14" t="s">
        <v>105</v>
      </c>
      <c r="BA14" s="17">
        <f t="shared" si="7"/>
        <v>0</v>
      </c>
      <c r="BB14" s="17">
        <f t="shared" si="8"/>
        <v>0</v>
      </c>
      <c r="BC14" s="17">
        <f t="shared" si="9"/>
        <v>1</v>
      </c>
      <c r="BG14" s="14">
        <v>0</v>
      </c>
      <c r="BH14" s="14">
        <v>0</v>
      </c>
      <c r="BI14" s="14">
        <v>0</v>
      </c>
      <c r="BJ14" s="14">
        <v>0</v>
      </c>
      <c r="BK14" s="14">
        <v>1</v>
      </c>
      <c r="BL14" s="14">
        <v>0</v>
      </c>
      <c r="BM14" s="14">
        <v>0</v>
      </c>
      <c r="BN14" s="14">
        <v>0</v>
      </c>
      <c r="BO14" s="14">
        <v>0</v>
      </c>
      <c r="BP14" s="14">
        <v>1</v>
      </c>
      <c r="BQ14" s="11">
        <v>29.849984999999997</v>
      </c>
      <c r="BR14" s="11">
        <v>47.041699999999999</v>
      </c>
      <c r="BS14" s="11">
        <v>20.166999999999998</v>
      </c>
      <c r="BT14" s="10">
        <v>110</v>
      </c>
    </row>
    <row r="15" spans="1:72" ht="20.149999999999999" customHeight="1">
      <c r="A15" s="23"/>
      <c r="B15" s="24"/>
      <c r="C15" s="13" t="s">
        <v>59</v>
      </c>
      <c r="AC15" s="64"/>
      <c r="AK15" s="10" t="s">
        <v>23</v>
      </c>
      <c r="AL15" s="10">
        <f t="shared" si="0"/>
        <v>0</v>
      </c>
      <c r="AM15" s="10">
        <f t="shared" si="1"/>
        <v>0</v>
      </c>
      <c r="AN15" s="10">
        <f t="shared" si="2"/>
        <v>0</v>
      </c>
      <c r="AO15" s="10" t="s">
        <v>24</v>
      </c>
      <c r="AP15" s="10">
        <f t="shared" si="3"/>
        <v>0</v>
      </c>
      <c r="AQ15" s="10" t="s">
        <v>11</v>
      </c>
      <c r="AR15" s="10">
        <f t="shared" si="4"/>
        <v>1</v>
      </c>
      <c r="AS15" s="10" t="s">
        <v>27</v>
      </c>
      <c r="AT15" s="10">
        <f t="shared" si="5"/>
        <v>0</v>
      </c>
      <c r="AU15" s="10">
        <f t="shared" si="6"/>
        <v>0</v>
      </c>
      <c r="AV15" s="11">
        <v>30.900015</v>
      </c>
      <c r="AW15" s="11">
        <v>53.782600000000002</v>
      </c>
      <c r="AX15" s="11">
        <v>8.4787160000000004</v>
      </c>
      <c r="AY15" s="10">
        <v>118</v>
      </c>
      <c r="AZ15" t="s">
        <v>105</v>
      </c>
      <c r="BA15" s="17">
        <f t="shared" si="7"/>
        <v>0</v>
      </c>
      <c r="BB15" s="17">
        <f t="shared" si="8"/>
        <v>0</v>
      </c>
      <c r="BC15" s="17">
        <f t="shared" si="9"/>
        <v>1</v>
      </c>
      <c r="BG15" s="14">
        <v>0</v>
      </c>
      <c r="BH15" s="14">
        <v>0</v>
      </c>
      <c r="BI15" s="14">
        <v>0</v>
      </c>
      <c r="BJ15" s="14">
        <v>0</v>
      </c>
      <c r="BK15" s="14">
        <v>1</v>
      </c>
      <c r="BL15" s="14">
        <v>0</v>
      </c>
      <c r="BM15" s="14">
        <v>0</v>
      </c>
      <c r="BN15" s="14">
        <v>0</v>
      </c>
      <c r="BO15" s="14">
        <v>0</v>
      </c>
      <c r="BP15" s="14">
        <v>1</v>
      </c>
      <c r="BQ15" s="11">
        <v>30.900015</v>
      </c>
      <c r="BR15" s="11">
        <v>53.782600000000002</v>
      </c>
      <c r="BS15" s="11">
        <v>8.4787160000000004</v>
      </c>
      <c r="BT15" s="10">
        <v>118</v>
      </c>
    </row>
    <row r="16" spans="1:72" s="41" customFormat="1" ht="20.149999999999999" customHeight="1">
      <c r="A16" s="23"/>
      <c r="B16" s="24"/>
      <c r="C16" s="28" t="s">
        <v>98</v>
      </c>
      <c r="AC16" s="46"/>
      <c r="AK16" s="10" t="s">
        <v>23</v>
      </c>
      <c r="AL16" s="10">
        <f t="shared" si="0"/>
        <v>0</v>
      </c>
      <c r="AM16" s="10">
        <f t="shared" si="1"/>
        <v>0</v>
      </c>
      <c r="AN16" s="10">
        <f t="shared" si="2"/>
        <v>0</v>
      </c>
      <c r="AO16" s="10" t="s">
        <v>24</v>
      </c>
      <c r="AP16" s="10">
        <f t="shared" si="3"/>
        <v>0</v>
      </c>
      <c r="AQ16" s="10" t="s">
        <v>25</v>
      </c>
      <c r="AR16" s="10">
        <f t="shared" si="4"/>
        <v>0</v>
      </c>
      <c r="AS16" s="10" t="s">
        <v>26</v>
      </c>
      <c r="AT16" s="10">
        <f t="shared" si="5"/>
        <v>1</v>
      </c>
      <c r="AU16" s="10">
        <f t="shared" si="6"/>
        <v>0</v>
      </c>
      <c r="AV16" s="11">
        <v>32.362515000000002</v>
      </c>
      <c r="AW16" s="11">
        <v>49.875</v>
      </c>
      <c r="AX16" s="11">
        <v>10.583520999999999</v>
      </c>
      <c r="AY16" s="10">
        <v>106</v>
      </c>
      <c r="AZ16" t="s">
        <v>105</v>
      </c>
      <c r="BA16" s="17">
        <f t="shared" si="7"/>
        <v>0</v>
      </c>
      <c r="BB16" s="17">
        <f t="shared" si="8"/>
        <v>0</v>
      </c>
      <c r="BC16" s="17">
        <f t="shared" si="9"/>
        <v>1</v>
      </c>
      <c r="BG16" s="41">
        <v>0</v>
      </c>
      <c r="BH16" s="41">
        <v>0</v>
      </c>
      <c r="BI16" s="41">
        <v>0</v>
      </c>
      <c r="BJ16" s="41">
        <v>0</v>
      </c>
      <c r="BK16" s="41">
        <v>0</v>
      </c>
      <c r="BL16" s="41">
        <v>1</v>
      </c>
      <c r="BM16" s="41">
        <v>0</v>
      </c>
      <c r="BN16" s="41">
        <v>0</v>
      </c>
      <c r="BO16" s="41">
        <v>0</v>
      </c>
      <c r="BP16" s="41">
        <v>1</v>
      </c>
      <c r="BQ16" s="11">
        <v>32.362515000000002</v>
      </c>
      <c r="BR16" s="11">
        <v>49.875</v>
      </c>
      <c r="BS16" s="11">
        <v>10.583520999999999</v>
      </c>
      <c r="BT16" s="10">
        <v>106</v>
      </c>
    </row>
    <row r="17" spans="1:72" s="41" customFormat="1" ht="20.149999999999999" customHeight="1">
      <c r="A17" s="23"/>
      <c r="B17" s="24"/>
      <c r="C17" s="284" t="s">
        <v>60</v>
      </c>
      <c r="D17" s="285"/>
      <c r="E17" s="322"/>
      <c r="F17" s="288" t="s">
        <v>61</v>
      </c>
      <c r="G17" s="289"/>
      <c r="H17" s="290"/>
      <c r="AC17" s="46"/>
      <c r="AK17" s="10" t="s">
        <v>23</v>
      </c>
      <c r="AL17" s="10">
        <f t="shared" si="0"/>
        <v>0</v>
      </c>
      <c r="AM17" s="10">
        <f t="shared" si="1"/>
        <v>0</v>
      </c>
      <c r="AN17" s="10">
        <f t="shared" si="2"/>
        <v>0</v>
      </c>
      <c r="AO17" s="10" t="s">
        <v>24</v>
      </c>
      <c r="AP17" s="10">
        <f t="shared" si="3"/>
        <v>0</v>
      </c>
      <c r="AQ17" s="10" t="s">
        <v>25</v>
      </c>
      <c r="AR17" s="10">
        <f t="shared" si="4"/>
        <v>0</v>
      </c>
      <c r="AS17" s="10" t="s">
        <v>27</v>
      </c>
      <c r="AT17" s="10">
        <f t="shared" si="5"/>
        <v>0</v>
      </c>
      <c r="AU17" s="10">
        <f t="shared" si="6"/>
        <v>0</v>
      </c>
      <c r="AV17" s="11">
        <v>33.600014999999999</v>
      </c>
      <c r="AW17" s="11">
        <v>48.375</v>
      </c>
      <c r="AX17" s="11">
        <v>12.625010999999999</v>
      </c>
      <c r="AY17" s="10">
        <v>89</v>
      </c>
      <c r="AZ17" t="s">
        <v>104</v>
      </c>
      <c r="BA17" s="17">
        <f t="shared" si="7"/>
        <v>0</v>
      </c>
      <c r="BB17" s="17">
        <f t="shared" si="8"/>
        <v>0</v>
      </c>
      <c r="BC17" s="17">
        <f t="shared" si="9"/>
        <v>0</v>
      </c>
      <c r="BG17" s="41">
        <v>0</v>
      </c>
      <c r="BH17" s="41">
        <v>0</v>
      </c>
      <c r="BI17" s="41">
        <v>0</v>
      </c>
      <c r="BJ17" s="41">
        <v>0</v>
      </c>
      <c r="BK17" s="41">
        <v>0</v>
      </c>
      <c r="BL17" s="41">
        <v>0</v>
      </c>
      <c r="BM17" s="41">
        <v>0</v>
      </c>
      <c r="BN17" s="41">
        <v>0</v>
      </c>
      <c r="BO17" s="41">
        <v>0</v>
      </c>
      <c r="BP17" s="41">
        <v>0</v>
      </c>
      <c r="BQ17" s="11">
        <v>33.600014999999999</v>
      </c>
      <c r="BR17" s="11">
        <v>48.375</v>
      </c>
      <c r="BS17" s="11">
        <v>12.625010999999999</v>
      </c>
      <c r="BT17" s="10">
        <v>89</v>
      </c>
    </row>
    <row r="18" spans="1:72" ht="20.149999999999999" customHeight="1">
      <c r="A18" s="23"/>
      <c r="B18" s="24"/>
      <c r="C18" s="286"/>
      <c r="D18" s="287"/>
      <c r="E18" s="323"/>
      <c r="F18" s="291"/>
      <c r="G18" s="292"/>
      <c r="H18" s="293"/>
      <c r="AC18" s="64"/>
      <c r="AK18" s="10" t="s">
        <v>23</v>
      </c>
      <c r="AL18" s="10">
        <f t="shared" si="0"/>
        <v>0</v>
      </c>
      <c r="AM18" s="10">
        <f t="shared" si="1"/>
        <v>0</v>
      </c>
      <c r="AN18" s="10">
        <f t="shared" si="2"/>
        <v>0</v>
      </c>
      <c r="AO18" s="10" t="s">
        <v>7</v>
      </c>
      <c r="AP18" s="10">
        <f t="shared" si="3"/>
        <v>1</v>
      </c>
      <c r="AQ18" s="10" t="s">
        <v>25</v>
      </c>
      <c r="AR18" s="10">
        <f t="shared" si="4"/>
        <v>0</v>
      </c>
      <c r="AS18" s="10" t="s">
        <v>26</v>
      </c>
      <c r="AT18" s="10">
        <f t="shared" si="5"/>
        <v>1</v>
      </c>
      <c r="AU18" s="10">
        <f t="shared" si="6"/>
        <v>0</v>
      </c>
      <c r="AV18" s="11">
        <v>34.950015</v>
      </c>
      <c r="AW18" s="11">
        <v>53.75</v>
      </c>
      <c r="AX18" s="11">
        <v>12.999139</v>
      </c>
      <c r="AY18" s="10">
        <v>91</v>
      </c>
      <c r="AZ18" t="s">
        <v>104</v>
      </c>
      <c r="BA18" s="17">
        <f t="shared" si="7"/>
        <v>0</v>
      </c>
      <c r="BB18" s="17">
        <f t="shared" si="8"/>
        <v>0</v>
      </c>
      <c r="BC18" s="17">
        <f t="shared" si="9"/>
        <v>0</v>
      </c>
      <c r="BG18" s="14">
        <v>0</v>
      </c>
      <c r="BH18" s="14">
        <v>0</v>
      </c>
      <c r="BI18" s="14">
        <v>0</v>
      </c>
      <c r="BJ18" s="14">
        <v>1</v>
      </c>
      <c r="BK18" s="14">
        <v>0</v>
      </c>
      <c r="BL18" s="14">
        <v>1</v>
      </c>
      <c r="BM18" s="14">
        <v>0</v>
      </c>
      <c r="BN18" s="14">
        <v>0</v>
      </c>
      <c r="BO18" s="14">
        <v>0</v>
      </c>
      <c r="BP18" s="14">
        <v>0</v>
      </c>
      <c r="BQ18" s="11">
        <v>34.950015</v>
      </c>
      <c r="BR18" s="11">
        <v>53.75</v>
      </c>
      <c r="BS18" s="11">
        <v>12.999139</v>
      </c>
      <c r="BT18" s="10">
        <v>91</v>
      </c>
    </row>
    <row r="19" spans="1:72" ht="20.149999999999999" customHeight="1">
      <c r="A19" s="23"/>
      <c r="B19" s="24"/>
      <c r="C19" s="324" t="s">
        <v>112</v>
      </c>
      <c r="D19" s="325"/>
      <c r="E19" s="326"/>
      <c r="F19" s="327">
        <v>-4.4728298517098961E-2</v>
      </c>
      <c r="G19" s="328"/>
      <c r="H19" s="329"/>
      <c r="AC19" s="64"/>
      <c r="AK19" s="10" t="s">
        <v>23</v>
      </c>
      <c r="AL19" s="10">
        <f t="shared" si="0"/>
        <v>0</v>
      </c>
      <c r="AM19" s="10">
        <f t="shared" si="1"/>
        <v>0</v>
      </c>
      <c r="AN19" s="10">
        <f t="shared" si="2"/>
        <v>0</v>
      </c>
      <c r="AO19" s="10" t="s">
        <v>24</v>
      </c>
      <c r="AP19" s="10">
        <f t="shared" si="3"/>
        <v>0</v>
      </c>
      <c r="AQ19" s="10" t="s">
        <v>11</v>
      </c>
      <c r="AR19" s="10">
        <f t="shared" si="4"/>
        <v>1</v>
      </c>
      <c r="AS19" s="10" t="s">
        <v>26</v>
      </c>
      <c r="AT19" s="10">
        <f t="shared" si="5"/>
        <v>1</v>
      </c>
      <c r="AU19" s="10">
        <f t="shared" si="6"/>
        <v>0</v>
      </c>
      <c r="AV19" s="11">
        <v>34.574985000000005</v>
      </c>
      <c r="AW19" s="11">
        <v>86.166699999999992</v>
      </c>
      <c r="AX19" s="11">
        <v>9.8339249999999989</v>
      </c>
      <c r="AY19" s="10">
        <v>87</v>
      </c>
      <c r="AZ19" t="s">
        <v>104</v>
      </c>
      <c r="BA19" s="17">
        <f t="shared" si="7"/>
        <v>0</v>
      </c>
      <c r="BB19" s="17">
        <f t="shared" si="8"/>
        <v>0</v>
      </c>
      <c r="BC19" s="17">
        <f t="shared" si="9"/>
        <v>0</v>
      </c>
      <c r="BG19" s="14">
        <v>0</v>
      </c>
      <c r="BH19" s="14">
        <v>0</v>
      </c>
      <c r="BI19" s="14">
        <v>0</v>
      </c>
      <c r="BJ19" s="14">
        <v>0</v>
      </c>
      <c r="BK19" s="14">
        <v>1</v>
      </c>
      <c r="BL19" s="14">
        <v>1</v>
      </c>
      <c r="BM19" s="14">
        <v>0</v>
      </c>
      <c r="BN19" s="14">
        <v>0</v>
      </c>
      <c r="BO19" s="14">
        <v>0</v>
      </c>
      <c r="BP19" s="14">
        <v>0</v>
      </c>
      <c r="BQ19" s="11">
        <v>34.574985000000005</v>
      </c>
      <c r="BR19" s="11">
        <v>86.166699999999992</v>
      </c>
      <c r="BS19" s="11">
        <v>9.8339249999999989</v>
      </c>
      <c r="BT19" s="10">
        <v>87</v>
      </c>
    </row>
    <row r="20" spans="1:72" ht="20.149999999999999" customHeight="1">
      <c r="A20" s="23"/>
      <c r="B20" s="24"/>
      <c r="C20" s="330"/>
      <c r="D20" s="331"/>
      <c r="E20" s="332"/>
      <c r="F20" s="333"/>
      <c r="G20" s="334"/>
      <c r="H20" s="335"/>
      <c r="AC20" s="64"/>
      <c r="AK20" s="10" t="s">
        <v>23</v>
      </c>
      <c r="AL20" s="10">
        <f t="shared" si="0"/>
        <v>0</v>
      </c>
      <c r="AM20" s="10">
        <f t="shared" si="1"/>
        <v>0</v>
      </c>
      <c r="AN20" s="10">
        <f t="shared" si="2"/>
        <v>0</v>
      </c>
      <c r="AO20" s="10" t="s">
        <v>24</v>
      </c>
      <c r="AP20" s="10">
        <f t="shared" si="3"/>
        <v>0</v>
      </c>
      <c r="AQ20" s="10" t="s">
        <v>11</v>
      </c>
      <c r="AR20" s="10">
        <f t="shared" si="4"/>
        <v>1</v>
      </c>
      <c r="AS20" s="10" t="s">
        <v>26</v>
      </c>
      <c r="AT20" s="10">
        <f t="shared" si="5"/>
        <v>1</v>
      </c>
      <c r="AU20" s="10">
        <f t="shared" si="6"/>
        <v>0</v>
      </c>
      <c r="AV20" s="11">
        <v>36.674999999999997</v>
      </c>
      <c r="AW20" s="11">
        <v>74.173900000000003</v>
      </c>
      <c r="AX20" s="11">
        <v>13.957239</v>
      </c>
      <c r="AY20" s="10">
        <v>76</v>
      </c>
      <c r="AZ20" t="s">
        <v>104</v>
      </c>
      <c r="BA20" s="17">
        <f t="shared" si="7"/>
        <v>0</v>
      </c>
      <c r="BB20" s="17">
        <f t="shared" si="8"/>
        <v>0</v>
      </c>
      <c r="BC20" s="17">
        <f t="shared" si="9"/>
        <v>0</v>
      </c>
      <c r="BG20" s="14">
        <v>0</v>
      </c>
      <c r="BH20" s="14">
        <v>0</v>
      </c>
      <c r="BI20" s="14">
        <v>0</v>
      </c>
      <c r="BJ20" s="14">
        <v>0</v>
      </c>
      <c r="BK20" s="14">
        <v>1</v>
      </c>
      <c r="BL20" s="14">
        <v>1</v>
      </c>
      <c r="BM20" s="14">
        <v>0</v>
      </c>
      <c r="BN20" s="14">
        <v>0</v>
      </c>
      <c r="BO20" s="14">
        <v>0</v>
      </c>
      <c r="BP20" s="14">
        <v>0</v>
      </c>
      <c r="BQ20" s="11">
        <v>36.674999999999997</v>
      </c>
      <c r="BR20" s="11">
        <v>74.173900000000003</v>
      </c>
      <c r="BS20" s="11">
        <v>13.957239</v>
      </c>
      <c r="BT20" s="10">
        <v>76</v>
      </c>
    </row>
    <row r="21" spans="1:72" ht="20.149999999999999" customHeight="1">
      <c r="A21" s="23"/>
      <c r="B21" s="24"/>
      <c r="C21" s="330"/>
      <c r="D21" s="331"/>
      <c r="E21" s="332"/>
      <c r="F21" s="333"/>
      <c r="G21" s="334"/>
      <c r="H21" s="335"/>
      <c r="AC21" s="64"/>
      <c r="AK21" s="10" t="s">
        <v>23</v>
      </c>
      <c r="AL21" s="10">
        <f t="shared" si="0"/>
        <v>0</v>
      </c>
      <c r="AM21" s="10">
        <f t="shared" si="1"/>
        <v>0</v>
      </c>
      <c r="AN21" s="10">
        <f t="shared" si="2"/>
        <v>0</v>
      </c>
      <c r="AO21" s="10" t="s">
        <v>24</v>
      </c>
      <c r="AP21" s="10">
        <f t="shared" si="3"/>
        <v>0</v>
      </c>
      <c r="AQ21" s="10" t="s">
        <v>11</v>
      </c>
      <c r="AR21" s="10">
        <f t="shared" si="4"/>
        <v>1</v>
      </c>
      <c r="AS21" s="10" t="s">
        <v>26</v>
      </c>
      <c r="AT21" s="10">
        <f t="shared" si="5"/>
        <v>1</v>
      </c>
      <c r="AU21" s="10">
        <f t="shared" si="6"/>
        <v>0</v>
      </c>
      <c r="AV21" s="11">
        <v>38.174985</v>
      </c>
      <c r="AW21" s="11">
        <v>53.833299999999994</v>
      </c>
      <c r="AX21" s="11">
        <v>13.125567999999999</v>
      </c>
      <c r="AY21" s="10">
        <v>68</v>
      </c>
      <c r="AZ21" t="s">
        <v>106</v>
      </c>
      <c r="BA21" s="17">
        <f t="shared" si="7"/>
        <v>0</v>
      </c>
      <c r="BB21" s="17">
        <f t="shared" si="8"/>
        <v>1</v>
      </c>
      <c r="BC21" s="17">
        <f t="shared" si="9"/>
        <v>0</v>
      </c>
      <c r="BG21" s="14">
        <v>0</v>
      </c>
      <c r="BH21" s="14">
        <v>0</v>
      </c>
      <c r="BI21" s="14">
        <v>0</v>
      </c>
      <c r="BJ21" s="14">
        <v>0</v>
      </c>
      <c r="BK21" s="14">
        <v>1</v>
      </c>
      <c r="BL21" s="14">
        <v>1</v>
      </c>
      <c r="BM21" s="14">
        <v>0</v>
      </c>
      <c r="BN21" s="14">
        <v>0</v>
      </c>
      <c r="BO21" s="14">
        <v>1</v>
      </c>
      <c r="BP21" s="14">
        <v>0</v>
      </c>
      <c r="BQ21" s="11">
        <v>38.174985</v>
      </c>
      <c r="BR21" s="11">
        <v>53.833299999999994</v>
      </c>
      <c r="BS21" s="11">
        <v>13.125567999999999</v>
      </c>
      <c r="BT21" s="10">
        <v>68</v>
      </c>
    </row>
    <row r="22" spans="1:72" s="41" customFormat="1" ht="20.149999999999999" customHeight="1">
      <c r="A22" s="23"/>
      <c r="B22" s="24"/>
      <c r="C22" s="330"/>
      <c r="D22" s="331"/>
      <c r="E22" s="332"/>
      <c r="F22" s="333"/>
      <c r="G22" s="334"/>
      <c r="H22" s="335"/>
      <c r="AC22" s="46"/>
      <c r="AK22" s="10" t="s">
        <v>23</v>
      </c>
      <c r="AL22" s="10">
        <f t="shared" si="0"/>
        <v>0</v>
      </c>
      <c r="AM22" s="10">
        <f t="shared" si="1"/>
        <v>0</v>
      </c>
      <c r="AN22" s="10">
        <f t="shared" si="2"/>
        <v>0</v>
      </c>
      <c r="AO22" s="10" t="s">
        <v>24</v>
      </c>
      <c r="AP22" s="10">
        <f t="shared" si="3"/>
        <v>0</v>
      </c>
      <c r="AQ22" s="10" t="s">
        <v>11</v>
      </c>
      <c r="AR22" s="10">
        <f t="shared" si="4"/>
        <v>1</v>
      </c>
      <c r="AS22" s="10" t="s">
        <v>27</v>
      </c>
      <c r="AT22" s="10">
        <f t="shared" si="5"/>
        <v>0</v>
      </c>
      <c r="AU22" s="10">
        <f t="shared" si="6"/>
        <v>0</v>
      </c>
      <c r="AV22" s="11">
        <v>38.212515000000003</v>
      </c>
      <c r="AW22" s="11">
        <v>45.708300000000001</v>
      </c>
      <c r="AX22" s="11">
        <v>23.667214000000001</v>
      </c>
      <c r="AY22" s="10">
        <v>66</v>
      </c>
      <c r="AZ22" t="s">
        <v>106</v>
      </c>
      <c r="BA22" s="17">
        <f t="shared" si="7"/>
        <v>0</v>
      </c>
      <c r="BB22" s="17">
        <f t="shared" si="8"/>
        <v>1</v>
      </c>
      <c r="BC22" s="17">
        <f t="shared" si="9"/>
        <v>0</v>
      </c>
      <c r="BG22" s="41">
        <v>0</v>
      </c>
      <c r="BH22" s="41">
        <v>0</v>
      </c>
      <c r="BI22" s="41">
        <v>0</v>
      </c>
      <c r="BJ22" s="41">
        <v>0</v>
      </c>
      <c r="BK22" s="41">
        <v>1</v>
      </c>
      <c r="BL22" s="41">
        <v>0</v>
      </c>
      <c r="BM22" s="41">
        <v>0</v>
      </c>
      <c r="BN22" s="41">
        <v>0</v>
      </c>
      <c r="BO22" s="41">
        <v>1</v>
      </c>
      <c r="BP22" s="41">
        <v>0</v>
      </c>
      <c r="BQ22" s="11">
        <v>38.212515000000003</v>
      </c>
      <c r="BR22" s="11">
        <v>45.708300000000001</v>
      </c>
      <c r="BS22" s="11">
        <v>23.667214000000001</v>
      </c>
      <c r="BT22" s="10">
        <v>66</v>
      </c>
    </row>
    <row r="23" spans="1:72" ht="20.149999999999999" customHeight="1">
      <c r="A23" s="23"/>
      <c r="B23" s="24"/>
      <c r="C23" s="319"/>
      <c r="D23" s="320"/>
      <c r="E23" s="321"/>
      <c r="F23" s="336"/>
      <c r="G23" s="337"/>
      <c r="H23" s="338"/>
      <c r="M23" s="65"/>
      <c r="AC23" s="64"/>
      <c r="AK23" s="10" t="s">
        <v>23</v>
      </c>
      <c r="AL23" s="10">
        <f t="shared" si="0"/>
        <v>0</v>
      </c>
      <c r="AM23" s="10">
        <f t="shared" si="1"/>
        <v>0</v>
      </c>
      <c r="AN23" s="10">
        <f t="shared" si="2"/>
        <v>0</v>
      </c>
      <c r="AO23" s="10" t="s">
        <v>24</v>
      </c>
      <c r="AP23" s="10">
        <f t="shared" si="3"/>
        <v>0</v>
      </c>
      <c r="AQ23" s="10" t="s">
        <v>25</v>
      </c>
      <c r="AR23" s="10">
        <f t="shared" si="4"/>
        <v>0</v>
      </c>
      <c r="AS23" s="10" t="s">
        <v>27</v>
      </c>
      <c r="AT23" s="10">
        <f t="shared" si="5"/>
        <v>0</v>
      </c>
      <c r="AU23" s="10">
        <f t="shared" si="6"/>
        <v>0</v>
      </c>
      <c r="AV23" s="11">
        <v>37.35</v>
      </c>
      <c r="AW23" s="11">
        <v>40</v>
      </c>
      <c r="AX23" s="11">
        <v>11.521990000000001</v>
      </c>
      <c r="AY23" s="10">
        <v>72</v>
      </c>
      <c r="AZ23" t="s">
        <v>104</v>
      </c>
      <c r="BA23" s="17">
        <f t="shared" si="7"/>
        <v>0</v>
      </c>
      <c r="BB23" s="17">
        <f t="shared" si="8"/>
        <v>0</v>
      </c>
      <c r="BC23" s="17">
        <f t="shared" si="9"/>
        <v>0</v>
      </c>
      <c r="BG23" s="14">
        <v>0</v>
      </c>
      <c r="BH23" s="14">
        <v>0</v>
      </c>
      <c r="BI23" s="14">
        <v>0</v>
      </c>
      <c r="BJ23" s="14">
        <v>0</v>
      </c>
      <c r="BK23" s="14">
        <v>0</v>
      </c>
      <c r="BL23" s="14">
        <v>0</v>
      </c>
      <c r="BM23" s="14">
        <v>0</v>
      </c>
      <c r="BN23" s="14">
        <v>0</v>
      </c>
      <c r="BO23" s="14">
        <v>0</v>
      </c>
      <c r="BP23" s="14">
        <v>0</v>
      </c>
      <c r="BQ23" s="11">
        <v>37.35</v>
      </c>
      <c r="BR23" s="11">
        <v>40</v>
      </c>
      <c r="BS23" s="11">
        <v>11.521990000000001</v>
      </c>
      <c r="BT23" s="10">
        <v>72</v>
      </c>
    </row>
    <row r="24" spans="1:72" ht="20.149999999999999" customHeight="1">
      <c r="A24" s="23"/>
      <c r="B24" s="24"/>
      <c r="M24" s="65"/>
      <c r="AC24" s="64"/>
      <c r="AK24" s="10" t="s">
        <v>23</v>
      </c>
      <c r="AL24" s="10">
        <f t="shared" si="0"/>
        <v>0</v>
      </c>
      <c r="AM24" s="10">
        <f t="shared" si="1"/>
        <v>0</v>
      </c>
      <c r="AN24" s="10">
        <f t="shared" si="2"/>
        <v>0</v>
      </c>
      <c r="AO24" s="10" t="s">
        <v>24</v>
      </c>
      <c r="AP24" s="10">
        <f t="shared" si="3"/>
        <v>0</v>
      </c>
      <c r="AQ24" s="10" t="s">
        <v>25</v>
      </c>
      <c r="AR24" s="10">
        <f t="shared" si="4"/>
        <v>0</v>
      </c>
      <c r="AS24" s="10" t="s">
        <v>27</v>
      </c>
      <c r="AT24" s="10">
        <f t="shared" si="5"/>
        <v>0</v>
      </c>
      <c r="AU24" s="10">
        <f t="shared" si="6"/>
        <v>0</v>
      </c>
      <c r="AV24" s="11">
        <v>33.449984999999998</v>
      </c>
      <c r="AW24" s="11">
        <v>43.652200000000001</v>
      </c>
      <c r="AX24" s="11">
        <v>16.522200000000002</v>
      </c>
      <c r="AY24" s="10">
        <v>76</v>
      </c>
      <c r="AZ24" t="s">
        <v>104</v>
      </c>
      <c r="BA24" s="17">
        <f t="shared" si="7"/>
        <v>0</v>
      </c>
      <c r="BB24" s="17">
        <f t="shared" si="8"/>
        <v>0</v>
      </c>
      <c r="BC24" s="17">
        <f t="shared" si="9"/>
        <v>0</v>
      </c>
      <c r="BG24" s="14">
        <v>0</v>
      </c>
      <c r="BH24" s="14">
        <v>0</v>
      </c>
      <c r="BI24" s="14">
        <v>0</v>
      </c>
      <c r="BJ24" s="14">
        <v>0</v>
      </c>
      <c r="BK24" s="14">
        <v>0</v>
      </c>
      <c r="BL24" s="14">
        <v>0</v>
      </c>
      <c r="BM24" s="14">
        <v>0</v>
      </c>
      <c r="BN24" s="14">
        <v>0</v>
      </c>
      <c r="BO24" s="14">
        <v>0</v>
      </c>
      <c r="BP24" s="14">
        <v>0</v>
      </c>
      <c r="BQ24" s="11">
        <v>33.449984999999998</v>
      </c>
      <c r="BR24" s="11">
        <v>43.652200000000001</v>
      </c>
      <c r="BS24" s="11">
        <v>16.522200000000002</v>
      </c>
      <c r="BT24" s="10">
        <v>76</v>
      </c>
    </row>
    <row r="25" spans="1:72" ht="20.149999999999999" customHeight="1">
      <c r="A25" s="23"/>
      <c r="B25" s="24"/>
      <c r="M25" s="65"/>
      <c r="AC25" s="64"/>
      <c r="AK25" s="10" t="s">
        <v>23</v>
      </c>
      <c r="AL25" s="10">
        <f t="shared" si="0"/>
        <v>0</v>
      </c>
      <c r="AM25" s="10">
        <f t="shared" si="1"/>
        <v>0</v>
      </c>
      <c r="AN25" s="10">
        <f t="shared" si="2"/>
        <v>0</v>
      </c>
      <c r="AO25" s="10" t="s">
        <v>24</v>
      </c>
      <c r="AP25" s="10">
        <f t="shared" si="3"/>
        <v>0</v>
      </c>
      <c r="AQ25" s="10" t="s">
        <v>11</v>
      </c>
      <c r="AR25" s="10">
        <f t="shared" si="4"/>
        <v>1</v>
      </c>
      <c r="AS25" s="10" t="s">
        <v>27</v>
      </c>
      <c r="AT25" s="10">
        <f t="shared" si="5"/>
        <v>0</v>
      </c>
      <c r="AU25" s="10">
        <f t="shared" si="6"/>
        <v>0</v>
      </c>
      <c r="AV25" s="11">
        <v>34.725014999999999</v>
      </c>
      <c r="AW25" s="11">
        <v>49.173899999999996</v>
      </c>
      <c r="AX25" s="11">
        <v>10.60811</v>
      </c>
      <c r="AY25" s="10">
        <v>92</v>
      </c>
      <c r="AZ25" t="s">
        <v>104</v>
      </c>
      <c r="BA25" s="17">
        <f t="shared" si="7"/>
        <v>0</v>
      </c>
      <c r="BB25" s="17">
        <f t="shared" si="8"/>
        <v>0</v>
      </c>
      <c r="BC25" s="17">
        <f t="shared" si="9"/>
        <v>0</v>
      </c>
      <c r="BG25" s="14">
        <v>0</v>
      </c>
      <c r="BH25" s="14">
        <v>0</v>
      </c>
      <c r="BI25" s="14">
        <v>0</v>
      </c>
      <c r="BJ25" s="14">
        <v>0</v>
      </c>
      <c r="BK25" s="14">
        <v>1</v>
      </c>
      <c r="BL25" s="14">
        <v>0</v>
      </c>
      <c r="BM25" s="14">
        <v>0</v>
      </c>
      <c r="BN25" s="14">
        <v>0</v>
      </c>
      <c r="BO25" s="14">
        <v>0</v>
      </c>
      <c r="BP25" s="14">
        <v>0</v>
      </c>
      <c r="BQ25" s="11">
        <v>34.725014999999999</v>
      </c>
      <c r="BR25" s="11">
        <v>49.173899999999996</v>
      </c>
      <c r="BS25" s="11">
        <v>10.60811</v>
      </c>
      <c r="BT25" s="10">
        <v>92</v>
      </c>
    </row>
    <row r="26" spans="1:72" ht="20.149999999999999" customHeight="1">
      <c r="A26" s="23"/>
      <c r="B26" s="24"/>
      <c r="C26" s="13" t="s">
        <v>62</v>
      </c>
      <c r="G26" s="41"/>
      <c r="H26" s="41"/>
      <c r="I26" s="41"/>
      <c r="J26" s="41"/>
      <c r="K26" s="41"/>
      <c r="L26" s="41"/>
      <c r="M26" s="65"/>
      <c r="N26" s="41"/>
      <c r="O26" s="41"/>
      <c r="P26" s="41"/>
      <c r="Q26" s="41"/>
      <c r="R26" s="41"/>
      <c r="S26" s="41"/>
      <c r="T26" s="41"/>
      <c r="U26" s="41"/>
      <c r="V26" s="41"/>
      <c r="W26" s="41"/>
      <c r="X26" s="41"/>
      <c r="Y26" s="41"/>
      <c r="Z26" s="41"/>
      <c r="AA26" s="41"/>
      <c r="AB26" s="41"/>
      <c r="AC26" s="46"/>
      <c r="AD26" s="41"/>
      <c r="AE26" s="41"/>
      <c r="AF26" s="41"/>
      <c r="AG26" s="41"/>
      <c r="AH26" s="41"/>
      <c r="AK26" s="10" t="s">
        <v>23</v>
      </c>
      <c r="AL26" s="10">
        <f t="shared" si="0"/>
        <v>0</v>
      </c>
      <c r="AM26" s="10">
        <f t="shared" si="1"/>
        <v>0</v>
      </c>
      <c r="AN26" s="10">
        <f t="shared" si="2"/>
        <v>0</v>
      </c>
      <c r="AO26" s="10" t="s">
        <v>24</v>
      </c>
      <c r="AP26" s="10">
        <f t="shared" si="3"/>
        <v>0</v>
      </c>
      <c r="AQ26" s="10" t="s">
        <v>11</v>
      </c>
      <c r="AR26" s="10">
        <f t="shared" si="4"/>
        <v>1</v>
      </c>
      <c r="AS26" s="10" t="s">
        <v>26</v>
      </c>
      <c r="AT26" s="10">
        <f t="shared" si="5"/>
        <v>1</v>
      </c>
      <c r="AU26" s="10">
        <f t="shared" si="6"/>
        <v>0</v>
      </c>
      <c r="AV26" s="11">
        <v>34.875</v>
      </c>
      <c r="AW26" s="11">
        <v>61.695699999999995</v>
      </c>
      <c r="AX26" s="11">
        <v>8.696332</v>
      </c>
      <c r="AY26" s="10">
        <v>93</v>
      </c>
      <c r="AZ26" t="s">
        <v>104</v>
      </c>
      <c r="BA26" s="17">
        <f t="shared" si="7"/>
        <v>0</v>
      </c>
      <c r="BB26" s="17">
        <f t="shared" si="8"/>
        <v>0</v>
      </c>
      <c r="BC26" s="17">
        <f t="shared" si="9"/>
        <v>0</v>
      </c>
      <c r="BG26" s="14">
        <v>0</v>
      </c>
      <c r="BH26" s="14">
        <v>0</v>
      </c>
      <c r="BI26" s="14">
        <v>0</v>
      </c>
      <c r="BJ26" s="14">
        <v>0</v>
      </c>
      <c r="BK26" s="14">
        <v>1</v>
      </c>
      <c r="BL26" s="14">
        <v>1</v>
      </c>
      <c r="BM26" s="14">
        <v>0</v>
      </c>
      <c r="BN26" s="14">
        <v>0</v>
      </c>
      <c r="BO26" s="14">
        <v>0</v>
      </c>
      <c r="BP26" s="14">
        <v>0</v>
      </c>
      <c r="BQ26" s="11">
        <v>34.875</v>
      </c>
      <c r="BR26" s="11">
        <v>61.695699999999995</v>
      </c>
      <c r="BS26" s="11">
        <v>8.696332</v>
      </c>
      <c r="BT26" s="10">
        <v>93</v>
      </c>
    </row>
    <row r="27" spans="1:72" ht="20.149999999999999" customHeight="1">
      <c r="A27" s="23"/>
      <c r="B27" s="24"/>
      <c r="C27" s="28" t="s">
        <v>63</v>
      </c>
      <c r="D27" s="41"/>
      <c r="E27" s="41"/>
      <c r="F27" s="41"/>
      <c r="G27" s="41"/>
      <c r="H27" s="41"/>
      <c r="I27" s="41"/>
      <c r="J27" s="41"/>
      <c r="K27" s="41"/>
      <c r="L27" s="41"/>
      <c r="M27" s="65"/>
      <c r="N27" s="41"/>
      <c r="O27" s="41"/>
      <c r="P27" s="41"/>
      <c r="Q27" s="41"/>
      <c r="R27" s="41"/>
      <c r="S27" s="41"/>
      <c r="T27" s="41"/>
      <c r="U27" s="41"/>
      <c r="V27" s="41"/>
      <c r="W27" s="41"/>
      <c r="X27" s="41"/>
      <c r="Y27" s="41"/>
      <c r="Z27" s="41"/>
      <c r="AA27" s="41"/>
      <c r="AB27" s="41"/>
      <c r="AC27" s="46"/>
      <c r="AD27" s="41"/>
      <c r="AE27" s="41"/>
      <c r="AF27" s="41"/>
      <c r="AG27" s="41"/>
      <c r="AH27" s="41"/>
      <c r="AK27" s="10" t="s">
        <v>23</v>
      </c>
      <c r="AL27" s="10">
        <f t="shared" si="0"/>
        <v>0</v>
      </c>
      <c r="AM27" s="10">
        <f t="shared" si="1"/>
        <v>0</v>
      </c>
      <c r="AN27" s="10">
        <f t="shared" si="2"/>
        <v>0</v>
      </c>
      <c r="AO27" s="10" t="s">
        <v>24</v>
      </c>
      <c r="AP27" s="10">
        <f t="shared" si="3"/>
        <v>0</v>
      </c>
      <c r="AQ27" s="10" t="s">
        <v>11</v>
      </c>
      <c r="AR27" s="10">
        <f t="shared" si="4"/>
        <v>1</v>
      </c>
      <c r="AS27" s="10" t="s">
        <v>28</v>
      </c>
      <c r="AT27" s="10">
        <f t="shared" si="5"/>
        <v>0</v>
      </c>
      <c r="AU27" s="10">
        <f t="shared" si="6"/>
        <v>1</v>
      </c>
      <c r="AV27" s="11">
        <v>35.062515000000005</v>
      </c>
      <c r="AW27" s="11">
        <v>86.25</v>
      </c>
      <c r="AX27" s="11">
        <v>19.687950000000001</v>
      </c>
      <c r="AY27" s="10">
        <v>88</v>
      </c>
      <c r="AZ27" t="s">
        <v>104</v>
      </c>
      <c r="BA27" s="17">
        <f t="shared" si="7"/>
        <v>0</v>
      </c>
      <c r="BB27" s="17">
        <f t="shared" si="8"/>
        <v>0</v>
      </c>
      <c r="BC27" s="17">
        <f t="shared" si="9"/>
        <v>0</v>
      </c>
      <c r="BG27" s="14">
        <v>0</v>
      </c>
      <c r="BH27" s="14">
        <v>0</v>
      </c>
      <c r="BI27" s="14">
        <v>0</v>
      </c>
      <c r="BJ27" s="14">
        <v>0</v>
      </c>
      <c r="BK27" s="14">
        <v>1</v>
      </c>
      <c r="BL27" s="14">
        <v>0</v>
      </c>
      <c r="BM27" s="14">
        <v>1</v>
      </c>
      <c r="BN27" s="14">
        <v>0</v>
      </c>
      <c r="BO27" s="14">
        <v>0</v>
      </c>
      <c r="BP27" s="14">
        <v>0</v>
      </c>
      <c r="BQ27" s="11">
        <v>35.062515000000005</v>
      </c>
      <c r="BR27" s="11">
        <v>86.25</v>
      </c>
      <c r="BS27" s="11">
        <v>19.687950000000001</v>
      </c>
      <c r="BT27" s="10">
        <v>88</v>
      </c>
    </row>
    <row r="28" spans="1:72" ht="20.149999999999999" customHeight="1">
      <c r="A28" s="23"/>
      <c r="B28" s="24"/>
      <c r="C28" s="28" t="s">
        <v>64</v>
      </c>
      <c r="D28" s="41"/>
      <c r="E28" s="41"/>
      <c r="F28" s="41"/>
      <c r="G28" s="41"/>
      <c r="H28" s="41"/>
      <c r="I28" s="41"/>
      <c r="J28" s="41"/>
      <c r="K28" s="41"/>
      <c r="L28" s="41"/>
      <c r="M28" s="65"/>
      <c r="N28" s="41"/>
      <c r="O28" s="41"/>
      <c r="P28" s="41"/>
      <c r="Q28" s="41"/>
      <c r="R28" s="41"/>
      <c r="S28" s="41"/>
      <c r="T28" s="41"/>
      <c r="U28" s="41"/>
      <c r="V28" s="41"/>
      <c r="W28" s="41"/>
      <c r="X28" s="41"/>
      <c r="Y28" s="41"/>
      <c r="Z28" s="41"/>
      <c r="AA28" s="41"/>
      <c r="AB28" s="41"/>
      <c r="AC28" s="46"/>
      <c r="AD28" s="41"/>
      <c r="AE28" s="41"/>
      <c r="AF28" s="41"/>
      <c r="AG28" s="41"/>
      <c r="AH28" s="41"/>
      <c r="AK28" s="10" t="s">
        <v>23</v>
      </c>
      <c r="AL28" s="10">
        <f t="shared" si="0"/>
        <v>0</v>
      </c>
      <c r="AM28" s="10">
        <f t="shared" si="1"/>
        <v>0</v>
      </c>
      <c r="AN28" s="10">
        <f t="shared" si="2"/>
        <v>0</v>
      </c>
      <c r="AO28" s="10" t="s">
        <v>24</v>
      </c>
      <c r="AP28" s="10">
        <f t="shared" si="3"/>
        <v>0</v>
      </c>
      <c r="AQ28" s="10" t="s">
        <v>11</v>
      </c>
      <c r="AR28" s="10">
        <f t="shared" si="4"/>
        <v>1</v>
      </c>
      <c r="AS28" s="10" t="s">
        <v>27</v>
      </c>
      <c r="AT28" s="10">
        <f t="shared" si="5"/>
        <v>0</v>
      </c>
      <c r="AU28" s="10">
        <f t="shared" si="6"/>
        <v>0</v>
      </c>
      <c r="AV28" s="11">
        <v>37.724984999999997</v>
      </c>
      <c r="AW28" s="11">
        <v>68.75</v>
      </c>
      <c r="AX28" s="11">
        <v>7.6270789999999993</v>
      </c>
      <c r="AY28" s="10">
        <v>77</v>
      </c>
      <c r="AZ28" t="s">
        <v>104</v>
      </c>
      <c r="BA28" s="17">
        <f t="shared" si="7"/>
        <v>0</v>
      </c>
      <c r="BB28" s="17">
        <f t="shared" si="8"/>
        <v>0</v>
      </c>
      <c r="BC28" s="17">
        <f t="shared" si="9"/>
        <v>0</v>
      </c>
      <c r="BG28" s="14">
        <v>0</v>
      </c>
      <c r="BH28" s="14">
        <v>0</v>
      </c>
      <c r="BI28" s="14">
        <v>0</v>
      </c>
      <c r="BJ28" s="14">
        <v>0</v>
      </c>
      <c r="BK28" s="14">
        <v>1</v>
      </c>
      <c r="BL28" s="14">
        <v>0</v>
      </c>
      <c r="BM28" s="14">
        <v>0</v>
      </c>
      <c r="BN28" s="14">
        <v>0</v>
      </c>
      <c r="BO28" s="14">
        <v>0</v>
      </c>
      <c r="BP28" s="14">
        <v>0</v>
      </c>
      <c r="BQ28" s="11">
        <v>37.724984999999997</v>
      </c>
      <c r="BR28" s="11">
        <v>68.75</v>
      </c>
      <c r="BS28" s="11">
        <v>7.6270789999999993</v>
      </c>
      <c r="BT28" s="10">
        <v>77</v>
      </c>
    </row>
    <row r="29" spans="1:72" ht="20.149999999999999" customHeight="1">
      <c r="A29" s="23"/>
      <c r="B29" s="24"/>
      <c r="C29" s="28" t="s">
        <v>65</v>
      </c>
      <c r="D29" s="41"/>
      <c r="E29" s="41"/>
      <c r="F29" s="41"/>
      <c r="G29" s="41"/>
      <c r="H29" s="41"/>
      <c r="I29" s="41"/>
      <c r="J29" s="41"/>
      <c r="K29" s="41"/>
      <c r="L29" s="41"/>
      <c r="M29" s="65"/>
      <c r="N29" s="41"/>
      <c r="O29" s="41"/>
      <c r="P29" s="41"/>
      <c r="Q29" s="41"/>
      <c r="R29" s="41"/>
      <c r="S29" s="41"/>
      <c r="T29" s="41"/>
      <c r="U29" s="41"/>
      <c r="V29" s="41"/>
      <c r="W29" s="41"/>
      <c r="X29" s="41"/>
      <c r="Y29" s="41"/>
      <c r="Z29" s="41"/>
      <c r="AA29" s="41"/>
      <c r="AB29" s="41"/>
      <c r="AC29" s="46"/>
      <c r="AD29" s="41"/>
      <c r="AE29" s="41"/>
      <c r="AF29" s="41"/>
      <c r="AG29" s="41"/>
      <c r="AH29" s="41"/>
      <c r="AK29" s="10" t="s">
        <v>23</v>
      </c>
      <c r="AL29" s="10">
        <f t="shared" si="0"/>
        <v>0</v>
      </c>
      <c r="AM29" s="10">
        <f t="shared" si="1"/>
        <v>0</v>
      </c>
      <c r="AN29" s="10">
        <f t="shared" si="2"/>
        <v>0</v>
      </c>
      <c r="AO29" s="10" t="s">
        <v>24</v>
      </c>
      <c r="AP29" s="10">
        <f t="shared" si="3"/>
        <v>0</v>
      </c>
      <c r="AQ29" s="10" t="s">
        <v>11</v>
      </c>
      <c r="AR29" s="10">
        <f t="shared" si="4"/>
        <v>1</v>
      </c>
      <c r="AS29" s="10" t="s">
        <v>26</v>
      </c>
      <c r="AT29" s="10">
        <f t="shared" si="5"/>
        <v>1</v>
      </c>
      <c r="AU29" s="10">
        <f t="shared" si="6"/>
        <v>0</v>
      </c>
      <c r="AV29" s="11">
        <v>36.187514999999998</v>
      </c>
      <c r="AW29" s="11">
        <v>79.304300000000012</v>
      </c>
      <c r="AX29" s="11">
        <v>8.2611000000000008</v>
      </c>
      <c r="AY29" s="10">
        <v>89</v>
      </c>
      <c r="AZ29" t="s">
        <v>104</v>
      </c>
      <c r="BA29" s="17">
        <f t="shared" si="7"/>
        <v>0</v>
      </c>
      <c r="BB29" s="17">
        <f t="shared" si="8"/>
        <v>0</v>
      </c>
      <c r="BC29" s="17">
        <f t="shared" si="9"/>
        <v>0</v>
      </c>
      <c r="BG29" s="14">
        <v>0</v>
      </c>
      <c r="BH29" s="14">
        <v>0</v>
      </c>
      <c r="BI29" s="14">
        <v>0</v>
      </c>
      <c r="BJ29" s="14">
        <v>0</v>
      </c>
      <c r="BK29" s="14">
        <v>1</v>
      </c>
      <c r="BL29" s="14">
        <v>1</v>
      </c>
      <c r="BM29" s="14">
        <v>0</v>
      </c>
      <c r="BN29" s="14">
        <v>0</v>
      </c>
      <c r="BO29" s="14">
        <v>0</v>
      </c>
      <c r="BP29" s="14">
        <v>0</v>
      </c>
      <c r="BQ29" s="11">
        <v>36.187514999999998</v>
      </c>
      <c r="BR29" s="11">
        <v>79.304300000000012</v>
      </c>
      <c r="BS29" s="11">
        <v>8.2611000000000008</v>
      </c>
      <c r="BT29" s="10">
        <v>89</v>
      </c>
    </row>
    <row r="30" spans="1:72" ht="20.149999999999999" customHeight="1">
      <c r="A30" s="23"/>
      <c r="B30" s="24"/>
      <c r="C30" s="339" t="s">
        <v>66</v>
      </c>
      <c r="D30" s="340"/>
      <c r="E30" s="340"/>
      <c r="F30" s="340"/>
      <c r="G30" s="343" t="s">
        <v>67</v>
      </c>
      <c r="H30" s="344"/>
      <c r="I30" s="344"/>
      <c r="J30" s="343" t="s">
        <v>68</v>
      </c>
      <c r="K30" s="344"/>
      <c r="L30" s="347"/>
      <c r="M30" s="284" t="s">
        <v>69</v>
      </c>
      <c r="N30" s="285"/>
      <c r="O30" s="285"/>
      <c r="P30" s="322"/>
      <c r="Q30" s="66"/>
      <c r="R30" s="66"/>
      <c r="S30" s="66"/>
      <c r="T30" s="66"/>
      <c r="U30" s="66"/>
      <c r="V30" s="66"/>
      <c r="W30" s="66"/>
      <c r="X30" s="66"/>
      <c r="Y30" s="66"/>
      <c r="Z30" s="66"/>
      <c r="AA30" s="66"/>
      <c r="AB30" s="66"/>
      <c r="AC30" s="46"/>
      <c r="AD30" s="41"/>
      <c r="AE30" s="41"/>
      <c r="AF30" s="41"/>
      <c r="AG30" s="41"/>
      <c r="AH30" s="41"/>
      <c r="AK30" s="10" t="s">
        <v>23</v>
      </c>
      <c r="AL30" s="10">
        <f t="shared" si="0"/>
        <v>0</v>
      </c>
      <c r="AM30" s="10">
        <f t="shared" si="1"/>
        <v>0</v>
      </c>
      <c r="AN30" s="10">
        <f t="shared" si="2"/>
        <v>0</v>
      </c>
      <c r="AO30" s="10" t="s">
        <v>24</v>
      </c>
      <c r="AP30" s="10">
        <f t="shared" si="3"/>
        <v>0</v>
      </c>
      <c r="AQ30" s="10" t="s">
        <v>25</v>
      </c>
      <c r="AR30" s="10">
        <f t="shared" si="4"/>
        <v>0</v>
      </c>
      <c r="AS30" s="10" t="s">
        <v>27</v>
      </c>
      <c r="AT30" s="10">
        <f t="shared" si="5"/>
        <v>0</v>
      </c>
      <c r="AU30" s="10">
        <f t="shared" si="6"/>
        <v>0</v>
      </c>
      <c r="AV30" s="11">
        <v>36.262484999999998</v>
      </c>
      <c r="AW30" s="11">
        <v>65.173899999999989</v>
      </c>
      <c r="AX30" s="11">
        <v>9.7394549999999995</v>
      </c>
      <c r="AY30" s="10">
        <v>86</v>
      </c>
      <c r="AZ30" t="s">
        <v>104</v>
      </c>
      <c r="BA30" s="17">
        <f t="shared" si="7"/>
        <v>0</v>
      </c>
      <c r="BB30" s="17">
        <f t="shared" si="8"/>
        <v>0</v>
      </c>
      <c r="BC30" s="17">
        <f t="shared" si="9"/>
        <v>0</v>
      </c>
      <c r="BG30" s="14">
        <v>0</v>
      </c>
      <c r="BH30" s="14">
        <v>0</v>
      </c>
      <c r="BI30" s="14">
        <v>0</v>
      </c>
      <c r="BJ30" s="14">
        <v>0</v>
      </c>
      <c r="BK30" s="14">
        <v>0</v>
      </c>
      <c r="BL30" s="14">
        <v>0</v>
      </c>
      <c r="BM30" s="14">
        <v>0</v>
      </c>
      <c r="BN30" s="14">
        <v>0</v>
      </c>
      <c r="BO30" s="14">
        <v>0</v>
      </c>
      <c r="BP30" s="14">
        <v>0</v>
      </c>
      <c r="BQ30" s="11">
        <v>36.262484999999998</v>
      </c>
      <c r="BR30" s="11">
        <v>65.173899999999989</v>
      </c>
      <c r="BS30" s="11">
        <v>9.7394549999999995</v>
      </c>
      <c r="BT30" s="10">
        <v>86</v>
      </c>
    </row>
    <row r="31" spans="1:72" ht="20.149999999999999" customHeight="1">
      <c r="A31" s="23"/>
      <c r="B31" s="24"/>
      <c r="C31" s="341"/>
      <c r="D31" s="342"/>
      <c r="E31" s="342"/>
      <c r="F31" s="342"/>
      <c r="G31" s="345"/>
      <c r="H31" s="346"/>
      <c r="I31" s="346"/>
      <c r="J31" s="345"/>
      <c r="K31" s="346"/>
      <c r="L31" s="348"/>
      <c r="M31" s="286"/>
      <c r="N31" s="287"/>
      <c r="O31" s="287"/>
      <c r="P31" s="323"/>
      <c r="Q31" s="66"/>
      <c r="R31" s="66"/>
      <c r="S31" s="66"/>
      <c r="T31" s="66"/>
      <c r="U31" s="66"/>
      <c r="V31" s="66"/>
      <c r="W31" s="66"/>
      <c r="X31" s="66"/>
      <c r="Y31" s="66"/>
      <c r="Z31" s="66"/>
      <c r="AA31" s="66"/>
      <c r="AB31" s="66"/>
      <c r="AC31" s="64"/>
      <c r="AK31" s="10" t="s">
        <v>23</v>
      </c>
      <c r="AL31" s="10">
        <f t="shared" si="0"/>
        <v>0</v>
      </c>
      <c r="AM31" s="10">
        <f t="shared" si="1"/>
        <v>0</v>
      </c>
      <c r="AN31" s="10">
        <f t="shared" si="2"/>
        <v>0</v>
      </c>
      <c r="AO31" s="10" t="s">
        <v>24</v>
      </c>
      <c r="AP31" s="10">
        <f t="shared" si="3"/>
        <v>0</v>
      </c>
      <c r="AQ31" s="10" t="s">
        <v>25</v>
      </c>
      <c r="AR31" s="10">
        <f t="shared" si="4"/>
        <v>0</v>
      </c>
      <c r="AS31" s="10" t="s">
        <v>27</v>
      </c>
      <c r="AT31" s="10">
        <f t="shared" si="5"/>
        <v>0</v>
      </c>
      <c r="AU31" s="10">
        <f t="shared" si="6"/>
        <v>0</v>
      </c>
      <c r="AV31" s="11">
        <v>34.725014999999999</v>
      </c>
      <c r="AW31" s="11">
        <v>72.217399999999998</v>
      </c>
      <c r="AX31" s="11">
        <v>4.9568341999999994</v>
      </c>
      <c r="AY31" s="10">
        <v>86</v>
      </c>
      <c r="AZ31" t="s">
        <v>104</v>
      </c>
      <c r="BA31" s="17">
        <f t="shared" si="7"/>
        <v>0</v>
      </c>
      <c r="BB31" s="17">
        <f t="shared" si="8"/>
        <v>0</v>
      </c>
      <c r="BC31" s="17">
        <f t="shared" si="9"/>
        <v>0</v>
      </c>
      <c r="BG31" s="14">
        <v>0</v>
      </c>
      <c r="BH31" s="14">
        <v>0</v>
      </c>
      <c r="BI31" s="14">
        <v>0</v>
      </c>
      <c r="BJ31" s="14">
        <v>0</v>
      </c>
      <c r="BK31" s="14">
        <v>0</v>
      </c>
      <c r="BL31" s="14">
        <v>0</v>
      </c>
      <c r="BM31" s="14">
        <v>0</v>
      </c>
      <c r="BN31" s="14">
        <v>0</v>
      </c>
      <c r="BO31" s="14">
        <v>0</v>
      </c>
      <c r="BP31" s="14">
        <v>0</v>
      </c>
      <c r="BQ31" s="11">
        <v>34.725014999999999</v>
      </c>
      <c r="BR31" s="11">
        <v>72.217399999999998</v>
      </c>
      <c r="BS31" s="11">
        <v>4.9568341999999994</v>
      </c>
      <c r="BT31" s="10">
        <v>86</v>
      </c>
    </row>
    <row r="32" spans="1:72" ht="20.149999999999999" customHeight="1">
      <c r="A32" s="23"/>
      <c r="B32" s="24"/>
      <c r="C32" s="349" t="s">
        <v>70</v>
      </c>
      <c r="D32" s="351" t="s">
        <v>109</v>
      </c>
      <c r="E32" s="352"/>
      <c r="F32" s="353"/>
      <c r="G32" s="354">
        <v>0.60799999999999998</v>
      </c>
      <c r="H32" s="355"/>
      <c r="I32" s="355"/>
      <c r="J32" s="358">
        <v>-0.62079036382101371</v>
      </c>
      <c r="K32" s="352"/>
      <c r="L32" s="353"/>
      <c r="M32" s="359" t="s">
        <v>109</v>
      </c>
      <c r="N32" s="360"/>
      <c r="O32" s="360"/>
      <c r="P32" s="361"/>
      <c r="Q32" s="27"/>
      <c r="R32" s="27"/>
      <c r="S32" s="27"/>
      <c r="T32" s="27"/>
      <c r="U32" s="27"/>
      <c r="V32" s="27"/>
      <c r="W32" s="27"/>
      <c r="X32" s="27"/>
      <c r="Y32" s="27"/>
      <c r="Z32" s="27"/>
      <c r="AA32" s="27"/>
      <c r="AB32" s="27"/>
      <c r="AC32" s="64"/>
      <c r="AK32" s="10" t="s">
        <v>23</v>
      </c>
      <c r="AL32" s="10">
        <f t="shared" si="0"/>
        <v>0</v>
      </c>
      <c r="AM32" s="10">
        <f t="shared" si="1"/>
        <v>0</v>
      </c>
      <c r="AN32" s="10">
        <f t="shared" si="2"/>
        <v>0</v>
      </c>
      <c r="AO32" s="10" t="s">
        <v>24</v>
      </c>
      <c r="AP32" s="10">
        <f t="shared" si="3"/>
        <v>0</v>
      </c>
      <c r="AQ32" s="10" t="s">
        <v>11</v>
      </c>
      <c r="AR32" s="10">
        <f t="shared" si="4"/>
        <v>1</v>
      </c>
      <c r="AS32" s="10" t="s">
        <v>26</v>
      </c>
      <c r="AT32" s="10">
        <f t="shared" si="5"/>
        <v>1</v>
      </c>
      <c r="AU32" s="10">
        <f t="shared" si="6"/>
        <v>0</v>
      </c>
      <c r="AV32" s="11">
        <v>35.249984999999995</v>
      </c>
      <c r="AW32" s="11">
        <v>60.375</v>
      </c>
      <c r="AX32" s="11">
        <v>12.541864</v>
      </c>
      <c r="AY32" s="10">
        <v>97</v>
      </c>
      <c r="AZ32" t="s">
        <v>104</v>
      </c>
      <c r="BA32" s="17">
        <f t="shared" si="7"/>
        <v>0</v>
      </c>
      <c r="BB32" s="17">
        <f t="shared" si="8"/>
        <v>0</v>
      </c>
      <c r="BC32" s="17">
        <f t="shared" si="9"/>
        <v>0</v>
      </c>
      <c r="BG32" s="14">
        <v>0</v>
      </c>
      <c r="BH32" s="14">
        <v>0</v>
      </c>
      <c r="BI32" s="14">
        <v>0</v>
      </c>
      <c r="BJ32" s="14">
        <v>0</v>
      </c>
      <c r="BK32" s="14">
        <v>1</v>
      </c>
      <c r="BL32" s="14">
        <v>1</v>
      </c>
      <c r="BM32" s="14">
        <v>0</v>
      </c>
      <c r="BN32" s="14">
        <v>0</v>
      </c>
      <c r="BO32" s="14">
        <v>0</v>
      </c>
      <c r="BP32" s="14">
        <v>0</v>
      </c>
      <c r="BQ32" s="11">
        <v>35.249984999999995</v>
      </c>
      <c r="BR32" s="11">
        <v>60.375</v>
      </c>
      <c r="BS32" s="11">
        <v>12.541864</v>
      </c>
      <c r="BT32" s="10">
        <v>97</v>
      </c>
    </row>
    <row r="33" spans="1:72" ht="20.149999999999999" customHeight="1">
      <c r="A33" s="23"/>
      <c r="B33" s="24"/>
      <c r="C33" s="350"/>
      <c r="D33" s="365" t="s">
        <v>121</v>
      </c>
      <c r="E33" s="366"/>
      <c r="F33" s="367"/>
      <c r="G33" s="356"/>
      <c r="H33" s="357"/>
      <c r="I33" s="357"/>
      <c r="J33" s="368">
        <v>-0.77644699380221727</v>
      </c>
      <c r="K33" s="366"/>
      <c r="L33" s="367"/>
      <c r="M33" s="362"/>
      <c r="N33" s="363"/>
      <c r="O33" s="363"/>
      <c r="P33" s="364"/>
      <c r="Q33" s="27"/>
      <c r="R33" s="27"/>
      <c r="S33" s="27"/>
      <c r="T33" s="27"/>
      <c r="U33" s="27"/>
      <c r="V33" s="27"/>
      <c r="W33" s="27"/>
      <c r="X33" s="27"/>
      <c r="Y33" s="27"/>
      <c r="Z33" s="27"/>
      <c r="AA33" s="27"/>
      <c r="AB33" s="27"/>
      <c r="AC33" s="64"/>
      <c r="AK33" s="10" t="s">
        <v>23</v>
      </c>
      <c r="AL33" s="10">
        <f t="shared" si="0"/>
        <v>0</v>
      </c>
      <c r="AM33" s="10">
        <f t="shared" si="1"/>
        <v>0</v>
      </c>
      <c r="AN33" s="10">
        <f t="shared" si="2"/>
        <v>0</v>
      </c>
      <c r="AO33" s="10" t="s">
        <v>24</v>
      </c>
      <c r="AP33" s="10">
        <f t="shared" si="3"/>
        <v>0</v>
      </c>
      <c r="AQ33" s="10" t="s">
        <v>11</v>
      </c>
      <c r="AR33" s="10">
        <f t="shared" si="4"/>
        <v>1</v>
      </c>
      <c r="AS33" s="10" t="s">
        <v>26</v>
      </c>
      <c r="AT33" s="10">
        <f t="shared" si="5"/>
        <v>1</v>
      </c>
      <c r="AU33" s="10">
        <f t="shared" si="6"/>
        <v>0</v>
      </c>
      <c r="AV33" s="11">
        <v>32.925014999999995</v>
      </c>
      <c r="AW33" s="11">
        <v>82.956500000000005</v>
      </c>
      <c r="AX33" s="11">
        <v>3.5652710000000001</v>
      </c>
      <c r="AY33" s="10">
        <v>71</v>
      </c>
      <c r="AZ33" t="s">
        <v>104</v>
      </c>
      <c r="BA33" s="17">
        <f t="shared" si="7"/>
        <v>0</v>
      </c>
      <c r="BB33" s="17">
        <f t="shared" si="8"/>
        <v>0</v>
      </c>
      <c r="BC33" s="17">
        <f t="shared" si="9"/>
        <v>0</v>
      </c>
      <c r="BG33" s="14">
        <v>0</v>
      </c>
      <c r="BH33" s="14">
        <v>0</v>
      </c>
      <c r="BI33" s="14">
        <v>0</v>
      </c>
      <c r="BJ33" s="14">
        <v>0</v>
      </c>
      <c r="BK33" s="14">
        <v>1</v>
      </c>
      <c r="BL33" s="14">
        <v>1</v>
      </c>
      <c r="BM33" s="14">
        <v>0</v>
      </c>
      <c r="BN33" s="14">
        <v>0</v>
      </c>
      <c r="BO33" s="14">
        <v>0</v>
      </c>
      <c r="BP33" s="14">
        <v>0</v>
      </c>
      <c r="BQ33" s="11">
        <v>32.925014999999995</v>
      </c>
      <c r="BR33" s="11">
        <v>82.956500000000005</v>
      </c>
      <c r="BS33" s="11">
        <v>3.5652710000000001</v>
      </c>
      <c r="BT33" s="10">
        <v>71</v>
      </c>
    </row>
    <row r="34" spans="1:72" ht="20.149999999999999" customHeight="1">
      <c r="A34" s="23"/>
      <c r="B34" s="24"/>
      <c r="C34" s="369" t="s">
        <v>71</v>
      </c>
      <c r="D34" s="371" t="s">
        <v>109</v>
      </c>
      <c r="E34" s="372"/>
      <c r="F34" s="373"/>
      <c r="G34" s="374">
        <f>D65</f>
        <v>-0.66822806971523163</v>
      </c>
      <c r="H34" s="375"/>
      <c r="I34" s="375"/>
      <c r="J34" s="378">
        <f>J32</f>
        <v>-0.62079036382101371</v>
      </c>
      <c r="K34" s="379"/>
      <c r="L34" s="380"/>
      <c r="M34" s="381" t="s">
        <v>109</v>
      </c>
      <c r="N34" s="382"/>
      <c r="O34" s="382"/>
      <c r="P34" s="383"/>
      <c r="Q34" s="27"/>
      <c r="R34" s="27"/>
      <c r="S34" s="27"/>
      <c r="T34" s="27"/>
      <c r="U34" s="27"/>
      <c r="V34" s="27"/>
      <c r="W34" s="27"/>
      <c r="X34" s="27"/>
      <c r="Y34" s="27"/>
      <c r="Z34" s="27"/>
      <c r="AA34" s="27"/>
      <c r="AB34" s="27"/>
      <c r="AC34" s="64"/>
      <c r="AK34" s="10" t="s">
        <v>23</v>
      </c>
      <c r="AL34" s="10">
        <f t="shared" si="0"/>
        <v>0</v>
      </c>
      <c r="AM34" s="10">
        <f t="shared" si="1"/>
        <v>0</v>
      </c>
      <c r="AN34" s="10">
        <f t="shared" si="2"/>
        <v>0</v>
      </c>
      <c r="AO34" s="10" t="s">
        <v>24</v>
      </c>
      <c r="AP34" s="10">
        <f t="shared" si="3"/>
        <v>0</v>
      </c>
      <c r="AQ34" s="10" t="s">
        <v>11</v>
      </c>
      <c r="AR34" s="10">
        <f t="shared" si="4"/>
        <v>1</v>
      </c>
      <c r="AS34" s="10" t="s">
        <v>26</v>
      </c>
      <c r="AT34" s="10">
        <f t="shared" si="5"/>
        <v>1</v>
      </c>
      <c r="AU34" s="10">
        <f t="shared" si="6"/>
        <v>0</v>
      </c>
      <c r="AV34" s="11">
        <v>31.95</v>
      </c>
      <c r="AW34" s="11">
        <v>77.541700000000006</v>
      </c>
      <c r="AX34" s="11">
        <v>17.708635999999998</v>
      </c>
      <c r="AY34" s="10">
        <v>92</v>
      </c>
      <c r="AZ34" t="s">
        <v>104</v>
      </c>
      <c r="BA34" s="17">
        <f t="shared" si="7"/>
        <v>0</v>
      </c>
      <c r="BB34" s="17">
        <f t="shared" si="8"/>
        <v>0</v>
      </c>
      <c r="BC34" s="17">
        <f t="shared" si="9"/>
        <v>0</v>
      </c>
      <c r="BG34" s="14">
        <v>0</v>
      </c>
      <c r="BH34" s="14">
        <v>0</v>
      </c>
      <c r="BI34" s="14">
        <v>0</v>
      </c>
      <c r="BJ34" s="14">
        <v>0</v>
      </c>
      <c r="BK34" s="14">
        <v>1</v>
      </c>
      <c r="BL34" s="14">
        <v>1</v>
      </c>
      <c r="BM34" s="14">
        <v>0</v>
      </c>
      <c r="BN34" s="14">
        <v>0</v>
      </c>
      <c r="BO34" s="14">
        <v>0</v>
      </c>
      <c r="BP34" s="14">
        <v>0</v>
      </c>
      <c r="BQ34" s="11">
        <v>31.95</v>
      </c>
      <c r="BR34" s="11">
        <v>77.541700000000006</v>
      </c>
      <c r="BS34" s="11">
        <v>17.708635999999998</v>
      </c>
      <c r="BT34" s="10">
        <v>92</v>
      </c>
    </row>
    <row r="35" spans="1:72" ht="20.149999999999999" customHeight="1">
      <c r="A35" s="23"/>
      <c r="B35" s="24"/>
      <c r="C35" s="370"/>
      <c r="D35" s="387" t="s">
        <v>123</v>
      </c>
      <c r="E35" s="388"/>
      <c r="F35" s="389"/>
      <c r="G35" s="376"/>
      <c r="H35" s="377"/>
      <c r="I35" s="377"/>
      <c r="J35" s="390">
        <f>M68</f>
        <v>0.77147061194873179</v>
      </c>
      <c r="K35" s="391"/>
      <c r="L35" s="392"/>
      <c r="M35" s="384"/>
      <c r="N35" s="385"/>
      <c r="O35" s="385"/>
      <c r="P35" s="386"/>
      <c r="Q35" s="27"/>
      <c r="R35" s="27"/>
      <c r="S35" s="27"/>
      <c r="T35" s="27"/>
      <c r="U35" s="27"/>
      <c r="V35" s="27"/>
      <c r="W35" s="27"/>
      <c r="X35" s="27"/>
      <c r="Y35" s="27"/>
      <c r="Z35" s="27"/>
      <c r="AA35" s="27"/>
      <c r="AB35" s="27"/>
      <c r="AC35" s="64"/>
      <c r="AK35" s="10" t="s">
        <v>23</v>
      </c>
      <c r="AL35" s="10">
        <f t="shared" si="0"/>
        <v>0</v>
      </c>
      <c r="AM35" s="10">
        <f t="shared" si="1"/>
        <v>0</v>
      </c>
      <c r="AN35" s="10">
        <f t="shared" si="2"/>
        <v>0</v>
      </c>
      <c r="AO35" s="10" t="s">
        <v>24</v>
      </c>
      <c r="AP35" s="10">
        <f t="shared" si="3"/>
        <v>0</v>
      </c>
      <c r="AQ35" s="10" t="s">
        <v>11</v>
      </c>
      <c r="AR35" s="10">
        <f t="shared" si="4"/>
        <v>1</v>
      </c>
      <c r="AS35" s="10" t="s">
        <v>27</v>
      </c>
      <c r="AT35" s="10">
        <f t="shared" si="5"/>
        <v>0</v>
      </c>
      <c r="AU35" s="10">
        <f t="shared" si="6"/>
        <v>0</v>
      </c>
      <c r="AV35" s="11">
        <v>31.987485000000003</v>
      </c>
      <c r="AW35" s="11">
        <v>43.782600000000002</v>
      </c>
      <c r="AX35" s="11">
        <v>18.609383999999999</v>
      </c>
      <c r="AY35" s="10">
        <v>97</v>
      </c>
      <c r="AZ35" t="s">
        <v>104</v>
      </c>
      <c r="BA35" s="17">
        <f t="shared" si="7"/>
        <v>0</v>
      </c>
      <c r="BB35" s="17">
        <f t="shared" si="8"/>
        <v>0</v>
      </c>
      <c r="BC35" s="17">
        <f t="shared" si="9"/>
        <v>0</v>
      </c>
      <c r="BG35" s="14">
        <v>0</v>
      </c>
      <c r="BH35" s="14">
        <v>0</v>
      </c>
      <c r="BI35" s="14">
        <v>0</v>
      </c>
      <c r="BJ35" s="14">
        <v>0</v>
      </c>
      <c r="BK35" s="14">
        <v>1</v>
      </c>
      <c r="BL35" s="14">
        <v>0</v>
      </c>
      <c r="BM35" s="14">
        <v>0</v>
      </c>
      <c r="BN35" s="14">
        <v>0</v>
      </c>
      <c r="BO35" s="14">
        <v>0</v>
      </c>
      <c r="BP35" s="14">
        <v>0</v>
      </c>
      <c r="BQ35" s="11">
        <v>31.987485000000003</v>
      </c>
      <c r="BR35" s="11">
        <v>43.782600000000002</v>
      </c>
      <c r="BS35" s="11">
        <v>18.609383999999999</v>
      </c>
      <c r="BT35" s="10">
        <v>97</v>
      </c>
    </row>
    <row r="36" spans="1:72" ht="20.149999999999999" customHeight="1">
      <c r="A36" s="23"/>
      <c r="B36" s="24"/>
      <c r="C36" s="393" t="s">
        <v>72</v>
      </c>
      <c r="D36" s="395" t="s">
        <v>121</v>
      </c>
      <c r="E36" s="396"/>
      <c r="F36" s="397"/>
      <c r="G36" s="398">
        <f>J65</f>
        <v>-0.61608841340308618</v>
      </c>
      <c r="H36" s="399"/>
      <c r="I36" s="399"/>
      <c r="J36" s="402">
        <f>J68</f>
        <v>-0.77644699380221727</v>
      </c>
      <c r="K36" s="396"/>
      <c r="L36" s="397"/>
      <c r="M36" s="403" t="s">
        <v>123</v>
      </c>
      <c r="N36" s="404"/>
      <c r="O36" s="404"/>
      <c r="P36" s="405"/>
      <c r="Q36" s="27"/>
      <c r="R36" s="27"/>
      <c r="S36" s="27"/>
      <c r="T36" s="27"/>
      <c r="U36" s="27"/>
      <c r="V36" s="27"/>
      <c r="W36" s="27"/>
      <c r="X36" s="27"/>
      <c r="Y36" s="27"/>
      <c r="Z36" s="27"/>
      <c r="AA36" s="27"/>
      <c r="AB36" s="27"/>
      <c r="AC36" s="64"/>
      <c r="AK36" s="10" t="s">
        <v>23</v>
      </c>
      <c r="AL36" s="10">
        <f t="shared" si="0"/>
        <v>0</v>
      </c>
      <c r="AM36" s="10">
        <f t="shared" si="1"/>
        <v>0</v>
      </c>
      <c r="AN36" s="10">
        <f t="shared" si="2"/>
        <v>0</v>
      </c>
      <c r="AO36" s="10" t="s">
        <v>24</v>
      </c>
      <c r="AP36" s="10">
        <f t="shared" si="3"/>
        <v>0</v>
      </c>
      <c r="AQ36" s="10" t="s">
        <v>11</v>
      </c>
      <c r="AR36" s="10">
        <f t="shared" si="4"/>
        <v>1</v>
      </c>
      <c r="AS36" s="10" t="s">
        <v>26</v>
      </c>
      <c r="AT36" s="10">
        <f t="shared" si="5"/>
        <v>1</v>
      </c>
      <c r="AU36" s="10">
        <f t="shared" si="6"/>
        <v>0</v>
      </c>
      <c r="AV36" s="11">
        <v>32.250015000000005</v>
      </c>
      <c r="AW36" s="11">
        <v>58.521699999999996</v>
      </c>
      <c r="AX36" s="11">
        <v>8.565213</v>
      </c>
      <c r="AY36" s="10">
        <v>85</v>
      </c>
      <c r="AZ36" t="s">
        <v>104</v>
      </c>
      <c r="BA36" s="17">
        <f t="shared" si="7"/>
        <v>0</v>
      </c>
      <c r="BB36" s="17">
        <f t="shared" si="8"/>
        <v>0</v>
      </c>
      <c r="BC36" s="17">
        <f t="shared" si="9"/>
        <v>0</v>
      </c>
      <c r="BG36" s="14">
        <v>0</v>
      </c>
      <c r="BH36" s="14">
        <v>0</v>
      </c>
      <c r="BI36" s="14">
        <v>0</v>
      </c>
      <c r="BJ36" s="14">
        <v>0</v>
      </c>
      <c r="BK36" s="14">
        <v>1</v>
      </c>
      <c r="BL36" s="14">
        <v>1</v>
      </c>
      <c r="BM36" s="14">
        <v>0</v>
      </c>
      <c r="BN36" s="14">
        <v>0</v>
      </c>
      <c r="BO36" s="14">
        <v>0</v>
      </c>
      <c r="BP36" s="14">
        <v>0</v>
      </c>
      <c r="BQ36" s="11">
        <v>32.250015000000005</v>
      </c>
      <c r="BR36" s="11">
        <v>58.521699999999996</v>
      </c>
      <c r="BS36" s="11">
        <v>8.565213</v>
      </c>
      <c r="BT36" s="10">
        <v>85</v>
      </c>
    </row>
    <row r="37" spans="1:72" ht="20.149999999999999" customHeight="1">
      <c r="A37" s="23"/>
      <c r="B37" s="24"/>
      <c r="C37" s="394"/>
      <c r="D37" s="409" t="s">
        <v>123</v>
      </c>
      <c r="E37" s="410"/>
      <c r="F37" s="411"/>
      <c r="G37" s="400"/>
      <c r="H37" s="401"/>
      <c r="I37" s="401"/>
      <c r="J37" s="412">
        <f>J35</f>
        <v>0.77147061194873179</v>
      </c>
      <c r="K37" s="413"/>
      <c r="L37" s="414"/>
      <c r="M37" s="406"/>
      <c r="N37" s="407"/>
      <c r="O37" s="407"/>
      <c r="P37" s="408"/>
      <c r="Q37" s="27"/>
      <c r="R37" s="27"/>
      <c r="S37" s="27"/>
      <c r="T37" s="27"/>
      <c r="U37" s="27"/>
      <c r="V37" s="27"/>
      <c r="W37" s="27"/>
      <c r="X37" s="27"/>
      <c r="Y37" s="27"/>
      <c r="Z37" s="27"/>
      <c r="AA37" s="27"/>
      <c r="AB37" s="27"/>
      <c r="AC37" s="64"/>
      <c r="AK37" s="10" t="s">
        <v>23</v>
      </c>
      <c r="AL37" s="10">
        <f t="shared" si="0"/>
        <v>0</v>
      </c>
      <c r="AM37" s="10">
        <f t="shared" si="1"/>
        <v>0</v>
      </c>
      <c r="AN37" s="10">
        <f t="shared" si="2"/>
        <v>0</v>
      </c>
      <c r="AO37" s="10" t="s">
        <v>24</v>
      </c>
      <c r="AP37" s="10">
        <f t="shared" si="3"/>
        <v>0</v>
      </c>
      <c r="AQ37" s="10" t="s">
        <v>25</v>
      </c>
      <c r="AR37" s="10">
        <f t="shared" si="4"/>
        <v>0</v>
      </c>
      <c r="AS37" s="10" t="s">
        <v>26</v>
      </c>
      <c r="AT37" s="10">
        <f t="shared" si="5"/>
        <v>1</v>
      </c>
      <c r="AU37" s="10">
        <f t="shared" si="6"/>
        <v>0</v>
      </c>
      <c r="AV37" s="11">
        <v>33.412500000000001</v>
      </c>
      <c r="AW37" s="11">
        <v>92.916699999999992</v>
      </c>
      <c r="AX37" s="11">
        <v>10.792293000000001</v>
      </c>
      <c r="AY37" s="10">
        <v>76</v>
      </c>
      <c r="AZ37" t="s">
        <v>104</v>
      </c>
      <c r="BA37" s="17">
        <f t="shared" si="7"/>
        <v>0</v>
      </c>
      <c r="BB37" s="17">
        <f t="shared" si="8"/>
        <v>0</v>
      </c>
      <c r="BC37" s="17">
        <f t="shared" si="9"/>
        <v>0</v>
      </c>
      <c r="BG37" s="14">
        <v>0</v>
      </c>
      <c r="BH37" s="14">
        <v>0</v>
      </c>
      <c r="BI37" s="14">
        <v>0</v>
      </c>
      <c r="BJ37" s="14">
        <v>0</v>
      </c>
      <c r="BK37" s="14">
        <v>0</v>
      </c>
      <c r="BL37" s="14">
        <v>1</v>
      </c>
      <c r="BM37" s="14">
        <v>0</v>
      </c>
      <c r="BN37" s="14">
        <v>0</v>
      </c>
      <c r="BO37" s="14">
        <v>0</v>
      </c>
      <c r="BP37" s="14">
        <v>0</v>
      </c>
      <c r="BQ37" s="11">
        <v>33.412500000000001</v>
      </c>
      <c r="BR37" s="11">
        <v>92.916699999999992</v>
      </c>
      <c r="BS37" s="11">
        <v>10.792293000000001</v>
      </c>
      <c r="BT37" s="10">
        <v>76</v>
      </c>
    </row>
    <row r="38" spans="1:72" ht="20.149999999999999" customHeight="1">
      <c r="A38" s="23"/>
      <c r="B38" s="24"/>
      <c r="C38" s="415"/>
      <c r="D38" s="417"/>
      <c r="E38" s="418"/>
      <c r="F38" s="419"/>
      <c r="G38" s="420"/>
      <c r="H38" s="421"/>
      <c r="I38" s="422"/>
      <c r="J38" s="426"/>
      <c r="K38" s="427"/>
      <c r="L38" s="428"/>
      <c r="M38" s="429"/>
      <c r="N38" s="430"/>
      <c r="O38" s="430"/>
      <c r="P38" s="431"/>
      <c r="Q38" s="27"/>
      <c r="R38" s="27"/>
      <c r="S38" s="27"/>
      <c r="T38" s="27"/>
      <c r="U38" s="27"/>
      <c r="V38" s="27"/>
      <c r="W38" s="27"/>
      <c r="X38" s="27"/>
      <c r="Y38" s="27"/>
      <c r="Z38" s="27"/>
      <c r="AA38" s="27"/>
      <c r="AB38" s="27"/>
      <c r="AC38" s="64"/>
      <c r="AK38" s="10" t="s">
        <v>23</v>
      </c>
      <c r="AL38" s="10">
        <f t="shared" si="0"/>
        <v>0</v>
      </c>
      <c r="AM38" s="10">
        <f t="shared" si="1"/>
        <v>0</v>
      </c>
      <c r="AN38" s="10">
        <f t="shared" si="2"/>
        <v>0</v>
      </c>
      <c r="AO38" s="10" t="s">
        <v>24</v>
      </c>
      <c r="AP38" s="10">
        <f t="shared" si="3"/>
        <v>0</v>
      </c>
      <c r="AQ38" s="10" t="s">
        <v>25</v>
      </c>
      <c r="AR38" s="10">
        <f t="shared" si="4"/>
        <v>0</v>
      </c>
      <c r="AS38" s="10" t="s">
        <v>27</v>
      </c>
      <c r="AT38" s="10">
        <f t="shared" si="5"/>
        <v>0</v>
      </c>
      <c r="AU38" s="10">
        <f t="shared" si="6"/>
        <v>0</v>
      </c>
      <c r="AV38" s="11">
        <v>34.424999999999997</v>
      </c>
      <c r="AW38" s="11">
        <v>56.833299999999994</v>
      </c>
      <c r="AX38" s="11">
        <v>9.5006000000000004</v>
      </c>
      <c r="AY38" s="10">
        <v>87</v>
      </c>
      <c r="AZ38" t="s">
        <v>104</v>
      </c>
      <c r="BA38" s="17">
        <f t="shared" si="7"/>
        <v>0</v>
      </c>
      <c r="BB38" s="17">
        <f t="shared" si="8"/>
        <v>0</v>
      </c>
      <c r="BC38" s="17">
        <f t="shared" si="9"/>
        <v>0</v>
      </c>
      <c r="BG38" s="14">
        <v>0</v>
      </c>
      <c r="BH38" s="14">
        <v>0</v>
      </c>
      <c r="BI38" s="14">
        <v>0</v>
      </c>
      <c r="BJ38" s="14">
        <v>0</v>
      </c>
      <c r="BK38" s="14">
        <v>0</v>
      </c>
      <c r="BL38" s="14">
        <v>0</v>
      </c>
      <c r="BM38" s="14">
        <v>0</v>
      </c>
      <c r="BN38" s="14">
        <v>0</v>
      </c>
      <c r="BO38" s="14">
        <v>0</v>
      </c>
      <c r="BP38" s="14">
        <v>0</v>
      </c>
      <c r="BQ38" s="11">
        <v>34.424999999999997</v>
      </c>
      <c r="BR38" s="11">
        <v>56.833299999999994</v>
      </c>
      <c r="BS38" s="11">
        <v>9.5006000000000004</v>
      </c>
      <c r="BT38" s="10">
        <v>87</v>
      </c>
    </row>
    <row r="39" spans="1:72" ht="20.149999999999999" customHeight="1">
      <c r="A39" s="23"/>
      <c r="B39" s="24"/>
      <c r="C39" s="416"/>
      <c r="D39" s="435"/>
      <c r="E39" s="436"/>
      <c r="F39" s="437"/>
      <c r="G39" s="423"/>
      <c r="H39" s="424"/>
      <c r="I39" s="425"/>
      <c r="J39" s="438"/>
      <c r="K39" s="439"/>
      <c r="L39" s="440"/>
      <c r="M39" s="432"/>
      <c r="N39" s="433"/>
      <c r="O39" s="433"/>
      <c r="P39" s="434"/>
      <c r="Q39" s="27"/>
      <c r="R39" s="27"/>
      <c r="S39" s="27"/>
      <c r="T39" s="27"/>
      <c r="U39" s="27"/>
      <c r="V39" s="27"/>
      <c r="W39" s="27"/>
      <c r="X39" s="27"/>
      <c r="Y39" s="27"/>
      <c r="Z39" s="27"/>
      <c r="AA39" s="27"/>
      <c r="AB39" s="27"/>
      <c r="AC39" s="64"/>
      <c r="AK39" s="10" t="s">
        <v>23</v>
      </c>
      <c r="AL39" s="10">
        <f t="shared" si="0"/>
        <v>0</v>
      </c>
      <c r="AM39" s="10">
        <f t="shared" si="1"/>
        <v>0</v>
      </c>
      <c r="AN39" s="10">
        <f t="shared" si="2"/>
        <v>0</v>
      </c>
      <c r="AO39" s="10" t="s">
        <v>24</v>
      </c>
      <c r="AP39" s="10">
        <f t="shared" si="3"/>
        <v>0</v>
      </c>
      <c r="AQ39" s="10" t="s">
        <v>11</v>
      </c>
      <c r="AR39" s="10">
        <f t="shared" si="4"/>
        <v>1</v>
      </c>
      <c r="AS39" s="10" t="s">
        <v>27</v>
      </c>
      <c r="AT39" s="10">
        <f t="shared" si="5"/>
        <v>0</v>
      </c>
      <c r="AU39" s="10">
        <f t="shared" si="6"/>
        <v>0</v>
      </c>
      <c r="AV39" s="11">
        <v>34.875</v>
      </c>
      <c r="AW39" s="11">
        <v>73.833300000000008</v>
      </c>
      <c r="AX39" s="11">
        <v>3.0423561000000001</v>
      </c>
      <c r="AY39" s="10">
        <v>92</v>
      </c>
      <c r="AZ39" t="s">
        <v>104</v>
      </c>
      <c r="BA39" s="17">
        <f t="shared" si="7"/>
        <v>0</v>
      </c>
      <c r="BB39" s="17">
        <f t="shared" si="8"/>
        <v>0</v>
      </c>
      <c r="BC39" s="17">
        <f t="shared" si="9"/>
        <v>0</v>
      </c>
      <c r="BG39" s="14">
        <v>0</v>
      </c>
      <c r="BH39" s="14">
        <v>0</v>
      </c>
      <c r="BI39" s="14">
        <v>0</v>
      </c>
      <c r="BJ39" s="14">
        <v>0</v>
      </c>
      <c r="BK39" s="14">
        <v>1</v>
      </c>
      <c r="BL39" s="14">
        <v>0</v>
      </c>
      <c r="BM39" s="14">
        <v>0</v>
      </c>
      <c r="BN39" s="14">
        <v>0</v>
      </c>
      <c r="BO39" s="14">
        <v>0</v>
      </c>
      <c r="BP39" s="14">
        <v>0</v>
      </c>
      <c r="BQ39" s="11">
        <v>34.875</v>
      </c>
      <c r="BR39" s="11">
        <v>73.833300000000008</v>
      </c>
      <c r="BS39" s="11">
        <v>3.0423561000000001</v>
      </c>
      <c r="BT39" s="10">
        <v>92</v>
      </c>
    </row>
    <row r="40" spans="1:72" ht="20.149999999999999" customHeight="1">
      <c r="A40" s="23"/>
      <c r="B40" s="24"/>
      <c r="C40" s="415"/>
      <c r="D40" s="417"/>
      <c r="E40" s="418"/>
      <c r="F40" s="419"/>
      <c r="G40" s="420"/>
      <c r="H40" s="421"/>
      <c r="I40" s="422"/>
      <c r="J40" s="441"/>
      <c r="K40" s="442"/>
      <c r="L40" s="443"/>
      <c r="M40" s="429"/>
      <c r="N40" s="430"/>
      <c r="O40" s="430"/>
      <c r="P40" s="431"/>
      <c r="Q40" s="27"/>
      <c r="R40" s="27"/>
      <c r="S40" s="27"/>
      <c r="T40" s="27"/>
      <c r="U40" s="27"/>
      <c r="V40" s="27"/>
      <c r="W40" s="27"/>
      <c r="X40" s="27"/>
      <c r="Y40" s="27"/>
      <c r="Z40" s="27"/>
      <c r="AA40" s="27"/>
      <c r="AB40" s="27"/>
      <c r="AC40" s="64"/>
      <c r="AK40" s="10" t="s">
        <v>23</v>
      </c>
      <c r="AL40" s="10">
        <f t="shared" si="0"/>
        <v>0</v>
      </c>
      <c r="AM40" s="10">
        <f t="shared" si="1"/>
        <v>0</v>
      </c>
      <c r="AN40" s="10">
        <f t="shared" si="2"/>
        <v>0</v>
      </c>
      <c r="AO40" s="10" t="s">
        <v>24</v>
      </c>
      <c r="AP40" s="10">
        <f t="shared" si="3"/>
        <v>0</v>
      </c>
      <c r="AQ40" s="10" t="s">
        <v>11</v>
      </c>
      <c r="AR40" s="10">
        <f t="shared" si="4"/>
        <v>1</v>
      </c>
      <c r="AS40" s="10" t="s">
        <v>27</v>
      </c>
      <c r="AT40" s="10">
        <f t="shared" si="5"/>
        <v>0</v>
      </c>
      <c r="AU40" s="10">
        <f t="shared" si="6"/>
        <v>0</v>
      </c>
      <c r="AV40" s="11">
        <v>34.500014999999998</v>
      </c>
      <c r="AW40" s="11">
        <v>53.791699999999999</v>
      </c>
      <c r="AX40" s="11">
        <v>24.25065</v>
      </c>
      <c r="AY40" s="10">
        <v>96</v>
      </c>
      <c r="AZ40" t="s">
        <v>104</v>
      </c>
      <c r="BA40" s="17">
        <f t="shared" si="7"/>
        <v>0</v>
      </c>
      <c r="BB40" s="17">
        <f t="shared" si="8"/>
        <v>0</v>
      </c>
      <c r="BC40" s="17">
        <f t="shared" si="9"/>
        <v>0</v>
      </c>
      <c r="BG40" s="14">
        <v>0</v>
      </c>
      <c r="BH40" s="14">
        <v>0</v>
      </c>
      <c r="BI40" s="14">
        <v>0</v>
      </c>
      <c r="BJ40" s="14">
        <v>0</v>
      </c>
      <c r="BK40" s="14">
        <v>1</v>
      </c>
      <c r="BL40" s="14">
        <v>0</v>
      </c>
      <c r="BM40" s="14">
        <v>0</v>
      </c>
      <c r="BN40" s="14">
        <v>0</v>
      </c>
      <c r="BO40" s="14">
        <v>0</v>
      </c>
      <c r="BP40" s="14">
        <v>0</v>
      </c>
      <c r="BQ40" s="11">
        <v>34.500014999999998</v>
      </c>
      <c r="BR40" s="11">
        <v>53.791699999999999</v>
      </c>
      <c r="BS40" s="11">
        <v>24.25065</v>
      </c>
      <c r="BT40" s="10">
        <v>96</v>
      </c>
    </row>
    <row r="41" spans="1:72" ht="20.149999999999999" customHeight="1">
      <c r="A41" s="23"/>
      <c r="B41" s="24"/>
      <c r="C41" s="416"/>
      <c r="D41" s="435"/>
      <c r="E41" s="436"/>
      <c r="F41" s="437"/>
      <c r="G41" s="423"/>
      <c r="H41" s="424"/>
      <c r="I41" s="425"/>
      <c r="J41" s="426"/>
      <c r="K41" s="427"/>
      <c r="L41" s="428"/>
      <c r="M41" s="432"/>
      <c r="N41" s="433"/>
      <c r="O41" s="433"/>
      <c r="P41" s="434"/>
      <c r="Q41" s="27"/>
      <c r="R41" s="27"/>
      <c r="S41" s="27"/>
      <c r="T41" s="27"/>
      <c r="U41" s="27"/>
      <c r="V41" s="27"/>
      <c r="W41" s="27"/>
      <c r="X41" s="27"/>
      <c r="Y41" s="27"/>
      <c r="Z41" s="27"/>
      <c r="AA41" s="27"/>
      <c r="AB41" s="27"/>
      <c r="AC41" s="64"/>
      <c r="AK41" s="10" t="s">
        <v>23</v>
      </c>
      <c r="AL41" s="10">
        <f t="shared" si="0"/>
        <v>0</v>
      </c>
      <c r="AM41" s="10">
        <f t="shared" si="1"/>
        <v>0</v>
      </c>
      <c r="AN41" s="10">
        <f t="shared" si="2"/>
        <v>0</v>
      </c>
      <c r="AO41" s="10" t="s">
        <v>24</v>
      </c>
      <c r="AP41" s="10">
        <f t="shared" si="3"/>
        <v>0</v>
      </c>
      <c r="AQ41" s="10" t="s">
        <v>11</v>
      </c>
      <c r="AR41" s="10">
        <f t="shared" si="4"/>
        <v>1</v>
      </c>
      <c r="AS41" s="10" t="s">
        <v>26</v>
      </c>
      <c r="AT41" s="10">
        <f t="shared" si="5"/>
        <v>1</v>
      </c>
      <c r="AU41" s="10">
        <f t="shared" si="6"/>
        <v>0</v>
      </c>
      <c r="AV41" s="11">
        <v>32.287500000000001</v>
      </c>
      <c r="AW41" s="11">
        <v>49.478299999999997</v>
      </c>
      <c r="AX41" s="11">
        <v>12.652213</v>
      </c>
      <c r="AY41" s="10">
        <v>96</v>
      </c>
      <c r="AZ41" t="s">
        <v>104</v>
      </c>
      <c r="BA41" s="17">
        <f t="shared" si="7"/>
        <v>0</v>
      </c>
      <c r="BB41" s="17">
        <f t="shared" si="8"/>
        <v>0</v>
      </c>
      <c r="BC41" s="17">
        <f t="shared" si="9"/>
        <v>0</v>
      </c>
      <c r="BG41" s="14">
        <v>0</v>
      </c>
      <c r="BH41" s="14">
        <v>0</v>
      </c>
      <c r="BI41" s="14">
        <v>0</v>
      </c>
      <c r="BJ41" s="14">
        <v>0</v>
      </c>
      <c r="BK41" s="14">
        <v>1</v>
      </c>
      <c r="BL41" s="14">
        <v>1</v>
      </c>
      <c r="BM41" s="14">
        <v>0</v>
      </c>
      <c r="BN41" s="14">
        <v>0</v>
      </c>
      <c r="BO41" s="14">
        <v>0</v>
      </c>
      <c r="BP41" s="14">
        <v>0</v>
      </c>
      <c r="BQ41" s="11">
        <v>32.287500000000001</v>
      </c>
      <c r="BR41" s="11">
        <v>49.478299999999997</v>
      </c>
      <c r="BS41" s="11">
        <v>12.652213</v>
      </c>
      <c r="BT41" s="10">
        <v>96</v>
      </c>
    </row>
    <row r="42" spans="1:72" ht="20.149999999999999" customHeight="1">
      <c r="A42" s="23"/>
      <c r="B42" s="24"/>
      <c r="C42" s="415"/>
      <c r="D42" s="417"/>
      <c r="E42" s="418"/>
      <c r="F42" s="419"/>
      <c r="G42" s="420"/>
      <c r="H42" s="421"/>
      <c r="I42" s="422"/>
      <c r="J42" s="438"/>
      <c r="K42" s="439"/>
      <c r="L42" s="440"/>
      <c r="M42" s="429"/>
      <c r="N42" s="430"/>
      <c r="O42" s="430"/>
      <c r="P42" s="431"/>
      <c r="Q42" s="27"/>
      <c r="R42" s="27"/>
      <c r="S42" s="27"/>
      <c r="T42" s="27"/>
      <c r="U42" s="27"/>
      <c r="V42" s="27"/>
      <c r="W42" s="27"/>
      <c r="X42" s="27"/>
      <c r="Y42" s="27"/>
      <c r="Z42" s="27"/>
      <c r="AA42" s="27"/>
      <c r="AB42" s="27"/>
      <c r="AC42" s="64"/>
      <c r="AK42" s="10" t="s">
        <v>23</v>
      </c>
      <c r="AL42" s="10">
        <f t="shared" si="0"/>
        <v>0</v>
      </c>
      <c r="AM42" s="10">
        <f t="shared" si="1"/>
        <v>0</v>
      </c>
      <c r="AN42" s="10">
        <f t="shared" si="2"/>
        <v>0</v>
      </c>
      <c r="AO42" s="10" t="s">
        <v>24</v>
      </c>
      <c r="AP42" s="10">
        <f t="shared" si="3"/>
        <v>0</v>
      </c>
      <c r="AQ42" s="10" t="s">
        <v>11</v>
      </c>
      <c r="AR42" s="10">
        <f t="shared" si="4"/>
        <v>1</v>
      </c>
      <c r="AS42" s="10" t="s">
        <v>27</v>
      </c>
      <c r="AT42" s="10">
        <f t="shared" si="5"/>
        <v>0</v>
      </c>
      <c r="AU42" s="10">
        <f t="shared" si="6"/>
        <v>0</v>
      </c>
      <c r="AV42" s="11">
        <v>31.874984999999999</v>
      </c>
      <c r="AW42" s="11">
        <v>43.739100000000001</v>
      </c>
      <c r="AX42" s="11">
        <v>14.869645</v>
      </c>
      <c r="AY42" s="10">
        <v>98</v>
      </c>
      <c r="AZ42" t="s">
        <v>104</v>
      </c>
      <c r="BA42" s="17">
        <f t="shared" si="7"/>
        <v>0</v>
      </c>
      <c r="BB42" s="17">
        <f t="shared" si="8"/>
        <v>0</v>
      </c>
      <c r="BC42" s="17">
        <f t="shared" si="9"/>
        <v>0</v>
      </c>
      <c r="BG42" s="14">
        <v>0</v>
      </c>
      <c r="BH42" s="14">
        <v>0</v>
      </c>
      <c r="BI42" s="14">
        <v>0</v>
      </c>
      <c r="BJ42" s="14">
        <v>0</v>
      </c>
      <c r="BK42" s="14">
        <v>1</v>
      </c>
      <c r="BL42" s="14">
        <v>0</v>
      </c>
      <c r="BM42" s="14">
        <v>0</v>
      </c>
      <c r="BN42" s="14">
        <v>0</v>
      </c>
      <c r="BO42" s="14">
        <v>0</v>
      </c>
      <c r="BP42" s="14">
        <v>0</v>
      </c>
      <c r="BQ42" s="11">
        <v>31.874984999999999</v>
      </c>
      <c r="BR42" s="11">
        <v>43.739100000000001</v>
      </c>
      <c r="BS42" s="11">
        <v>14.869645</v>
      </c>
      <c r="BT42" s="10">
        <v>98</v>
      </c>
    </row>
    <row r="43" spans="1:72" ht="20.149999999999999" customHeight="1">
      <c r="A43" s="23"/>
      <c r="B43" s="24"/>
      <c r="C43" s="416"/>
      <c r="D43" s="435"/>
      <c r="E43" s="436"/>
      <c r="F43" s="437"/>
      <c r="G43" s="423"/>
      <c r="H43" s="424"/>
      <c r="I43" s="425"/>
      <c r="J43" s="441"/>
      <c r="K43" s="442"/>
      <c r="L43" s="443"/>
      <c r="M43" s="432"/>
      <c r="N43" s="433"/>
      <c r="O43" s="433"/>
      <c r="P43" s="434"/>
      <c r="Q43" s="27"/>
      <c r="R43" s="27"/>
      <c r="S43" s="27"/>
      <c r="T43" s="27"/>
      <c r="U43" s="27"/>
      <c r="V43" s="27"/>
      <c r="W43" s="27"/>
      <c r="X43" s="27"/>
      <c r="Y43" s="27"/>
      <c r="Z43" s="27"/>
      <c r="AA43" s="27"/>
      <c r="AB43" s="27"/>
      <c r="AC43" s="64"/>
      <c r="AK43" s="10" t="s">
        <v>23</v>
      </c>
      <c r="AL43" s="10">
        <f t="shared" si="0"/>
        <v>0</v>
      </c>
      <c r="AM43" s="10">
        <f t="shared" si="1"/>
        <v>0</v>
      </c>
      <c r="AN43" s="10">
        <f t="shared" si="2"/>
        <v>0</v>
      </c>
      <c r="AO43" s="10" t="s">
        <v>24</v>
      </c>
      <c r="AP43" s="10">
        <f t="shared" si="3"/>
        <v>0</v>
      </c>
      <c r="AQ43" s="10" t="s">
        <v>11</v>
      </c>
      <c r="AR43" s="10">
        <f t="shared" si="4"/>
        <v>1</v>
      </c>
      <c r="AS43" s="10" t="s">
        <v>27</v>
      </c>
      <c r="AT43" s="10">
        <f t="shared" si="5"/>
        <v>0</v>
      </c>
      <c r="AU43" s="10">
        <f t="shared" si="6"/>
        <v>0</v>
      </c>
      <c r="AV43" s="11">
        <v>30.862485</v>
      </c>
      <c r="AW43" s="11">
        <v>50.636400000000002</v>
      </c>
      <c r="AX43" s="11">
        <v>7.2728499999999991</v>
      </c>
      <c r="AY43" s="10">
        <v>83</v>
      </c>
      <c r="AZ43" t="s">
        <v>104</v>
      </c>
      <c r="BA43" s="17">
        <f t="shared" si="7"/>
        <v>0</v>
      </c>
      <c r="BB43" s="17">
        <f t="shared" si="8"/>
        <v>0</v>
      </c>
      <c r="BC43" s="17">
        <f t="shared" si="9"/>
        <v>0</v>
      </c>
      <c r="BG43" s="14">
        <v>0</v>
      </c>
      <c r="BH43" s="14">
        <v>0</v>
      </c>
      <c r="BI43" s="14">
        <v>0</v>
      </c>
      <c r="BJ43" s="14">
        <v>0</v>
      </c>
      <c r="BK43" s="14">
        <v>1</v>
      </c>
      <c r="BL43" s="14">
        <v>0</v>
      </c>
      <c r="BM43" s="14">
        <v>0</v>
      </c>
      <c r="BN43" s="14">
        <v>0</v>
      </c>
      <c r="BO43" s="14">
        <v>0</v>
      </c>
      <c r="BP43" s="14">
        <v>0</v>
      </c>
      <c r="BQ43" s="11">
        <v>30.862485</v>
      </c>
      <c r="BR43" s="11">
        <v>50.636400000000002</v>
      </c>
      <c r="BS43" s="11">
        <v>7.2728499999999991</v>
      </c>
      <c r="BT43" s="10">
        <v>83</v>
      </c>
    </row>
    <row r="44" spans="1:72" ht="20.149999999999999" customHeight="1">
      <c r="A44" s="23"/>
      <c r="B44" s="24"/>
      <c r="C44" s="415"/>
      <c r="D44" s="417"/>
      <c r="E44" s="418"/>
      <c r="F44" s="419"/>
      <c r="G44" s="444"/>
      <c r="H44" s="445"/>
      <c r="I44" s="446"/>
      <c r="J44" s="450"/>
      <c r="K44" s="451"/>
      <c r="L44" s="452"/>
      <c r="M44" s="453"/>
      <c r="N44" s="454"/>
      <c r="O44" s="454"/>
      <c r="P44" s="455"/>
      <c r="Q44" s="27"/>
      <c r="R44" s="27"/>
      <c r="S44" s="27"/>
      <c r="T44" s="27"/>
      <c r="U44" s="27"/>
      <c r="V44" s="27"/>
      <c r="W44" s="27"/>
      <c r="X44" s="27"/>
      <c r="Y44" s="27"/>
      <c r="Z44" s="27"/>
      <c r="AA44" s="27"/>
      <c r="AB44" s="27"/>
      <c r="AC44" s="64"/>
      <c r="AK44" s="10" t="s">
        <v>23</v>
      </c>
      <c r="AL44" s="10">
        <f t="shared" si="0"/>
        <v>0</v>
      </c>
      <c r="AM44" s="10">
        <f t="shared" si="1"/>
        <v>0</v>
      </c>
      <c r="AN44" s="10">
        <f t="shared" si="2"/>
        <v>0</v>
      </c>
      <c r="AO44" s="10" t="s">
        <v>24</v>
      </c>
      <c r="AP44" s="10">
        <f t="shared" si="3"/>
        <v>0</v>
      </c>
      <c r="AQ44" s="10" t="s">
        <v>25</v>
      </c>
      <c r="AR44" s="10">
        <f t="shared" si="4"/>
        <v>0</v>
      </c>
      <c r="AS44" s="10" t="s">
        <v>27</v>
      </c>
      <c r="AT44" s="10">
        <f t="shared" si="5"/>
        <v>0</v>
      </c>
      <c r="AU44" s="10">
        <f t="shared" si="6"/>
        <v>0</v>
      </c>
      <c r="AV44" s="11">
        <v>30.450015</v>
      </c>
      <c r="AW44" s="11">
        <v>54.416699999999999</v>
      </c>
      <c r="AX44" s="11">
        <v>13.625589</v>
      </c>
      <c r="AY44" s="10">
        <v>77</v>
      </c>
      <c r="AZ44" t="s">
        <v>104</v>
      </c>
      <c r="BA44" s="17">
        <f t="shared" si="7"/>
        <v>0</v>
      </c>
      <c r="BB44" s="17">
        <f t="shared" si="8"/>
        <v>0</v>
      </c>
      <c r="BC44" s="17">
        <f t="shared" si="9"/>
        <v>0</v>
      </c>
      <c r="BG44" s="14">
        <v>0</v>
      </c>
      <c r="BH44" s="14">
        <v>0</v>
      </c>
      <c r="BI44" s="14">
        <v>0</v>
      </c>
      <c r="BJ44" s="14">
        <v>0</v>
      </c>
      <c r="BK44" s="14">
        <v>0</v>
      </c>
      <c r="BL44" s="14">
        <v>0</v>
      </c>
      <c r="BM44" s="14">
        <v>0</v>
      </c>
      <c r="BN44" s="14">
        <v>0</v>
      </c>
      <c r="BO44" s="14">
        <v>0</v>
      </c>
      <c r="BP44" s="14">
        <v>0</v>
      </c>
      <c r="BQ44" s="11">
        <v>30.450015</v>
      </c>
      <c r="BR44" s="11">
        <v>54.416699999999999</v>
      </c>
      <c r="BS44" s="11">
        <v>13.625589</v>
      </c>
      <c r="BT44" s="10">
        <v>77</v>
      </c>
    </row>
    <row r="45" spans="1:72" ht="20.149999999999999" customHeight="1">
      <c r="A45" s="23"/>
      <c r="B45" s="24"/>
      <c r="C45" s="416"/>
      <c r="D45" s="435"/>
      <c r="E45" s="436"/>
      <c r="F45" s="437"/>
      <c r="G45" s="447"/>
      <c r="H45" s="448"/>
      <c r="I45" s="449"/>
      <c r="J45" s="459"/>
      <c r="K45" s="460"/>
      <c r="L45" s="461"/>
      <c r="M45" s="456"/>
      <c r="N45" s="457"/>
      <c r="O45" s="457"/>
      <c r="P45" s="458"/>
      <c r="Q45" s="27"/>
      <c r="R45" s="27"/>
      <c r="S45" s="27"/>
      <c r="T45" s="27"/>
      <c r="U45" s="27"/>
      <c r="V45" s="27"/>
      <c r="W45" s="27"/>
      <c r="X45" s="27"/>
      <c r="Y45" s="27"/>
      <c r="Z45" s="27"/>
      <c r="AA45" s="27"/>
      <c r="AB45" s="27"/>
      <c r="AC45" s="64"/>
      <c r="AK45" s="10" t="s">
        <v>23</v>
      </c>
      <c r="AL45" s="10">
        <f t="shared" si="0"/>
        <v>0</v>
      </c>
      <c r="AM45" s="10">
        <f t="shared" si="1"/>
        <v>0</v>
      </c>
      <c r="AN45" s="10">
        <f t="shared" si="2"/>
        <v>0</v>
      </c>
      <c r="AO45" s="10" t="s">
        <v>24</v>
      </c>
      <c r="AP45" s="10">
        <f t="shared" si="3"/>
        <v>0</v>
      </c>
      <c r="AQ45" s="10" t="s">
        <v>25</v>
      </c>
      <c r="AR45" s="10">
        <f t="shared" si="4"/>
        <v>0</v>
      </c>
      <c r="AS45" s="10" t="s">
        <v>27</v>
      </c>
      <c r="AT45" s="10">
        <f t="shared" si="5"/>
        <v>0</v>
      </c>
      <c r="AU45" s="10">
        <f t="shared" si="6"/>
        <v>0</v>
      </c>
      <c r="AV45" s="11">
        <v>29.962485000000001</v>
      </c>
      <c r="AW45" s="11">
        <v>45.739100000000001</v>
      </c>
      <c r="AX45" s="11">
        <v>17.479160999999998</v>
      </c>
      <c r="AY45" s="10">
        <v>87</v>
      </c>
      <c r="AZ45" t="s">
        <v>104</v>
      </c>
      <c r="BA45" s="17">
        <f t="shared" si="7"/>
        <v>0</v>
      </c>
      <c r="BB45" s="17">
        <f t="shared" si="8"/>
        <v>0</v>
      </c>
      <c r="BC45" s="17">
        <f t="shared" si="9"/>
        <v>0</v>
      </c>
      <c r="BG45" s="14">
        <v>0</v>
      </c>
      <c r="BH45" s="14">
        <v>0</v>
      </c>
      <c r="BI45" s="14">
        <v>0</v>
      </c>
      <c r="BJ45" s="14">
        <v>0</v>
      </c>
      <c r="BK45" s="14">
        <v>0</v>
      </c>
      <c r="BL45" s="14">
        <v>0</v>
      </c>
      <c r="BM45" s="14">
        <v>0</v>
      </c>
      <c r="BN45" s="14">
        <v>0</v>
      </c>
      <c r="BO45" s="14">
        <v>0</v>
      </c>
      <c r="BP45" s="14">
        <v>0</v>
      </c>
      <c r="BQ45" s="11">
        <v>29.962485000000001</v>
      </c>
      <c r="BR45" s="11">
        <v>45.739100000000001</v>
      </c>
      <c r="BS45" s="11">
        <v>17.479160999999998</v>
      </c>
      <c r="BT45" s="10">
        <v>87</v>
      </c>
    </row>
    <row r="46" spans="1:72" ht="20.149999999999999" customHeight="1">
      <c r="A46" s="23"/>
      <c r="B46" s="2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67"/>
      <c r="AD46" s="44"/>
      <c r="AE46" s="44"/>
      <c r="AF46" s="44"/>
      <c r="AG46" s="44"/>
      <c r="AH46" s="44"/>
      <c r="AK46" s="10" t="s">
        <v>23</v>
      </c>
      <c r="AL46" s="10">
        <f t="shared" si="0"/>
        <v>0</v>
      </c>
      <c r="AM46" s="10">
        <f t="shared" si="1"/>
        <v>0</v>
      </c>
      <c r="AN46" s="10">
        <f t="shared" si="2"/>
        <v>0</v>
      </c>
      <c r="AO46" s="10" t="s">
        <v>24</v>
      </c>
      <c r="AP46" s="10">
        <f t="shared" si="3"/>
        <v>0</v>
      </c>
      <c r="AQ46" s="10" t="s">
        <v>11</v>
      </c>
      <c r="AR46" s="10">
        <f t="shared" si="4"/>
        <v>1</v>
      </c>
      <c r="AS46" s="10" t="s">
        <v>27</v>
      </c>
      <c r="AT46" s="10">
        <f t="shared" si="5"/>
        <v>0</v>
      </c>
      <c r="AU46" s="10">
        <f t="shared" si="6"/>
        <v>0</v>
      </c>
      <c r="AV46" s="11">
        <v>31.537485</v>
      </c>
      <c r="AW46" s="11">
        <v>37.583299999999994</v>
      </c>
      <c r="AX46" s="11">
        <v>27.999835999999998</v>
      </c>
      <c r="AY46" s="10">
        <v>94</v>
      </c>
      <c r="AZ46" t="s">
        <v>104</v>
      </c>
      <c r="BA46" s="17">
        <f t="shared" si="7"/>
        <v>0</v>
      </c>
      <c r="BB46" s="17">
        <f t="shared" si="8"/>
        <v>0</v>
      </c>
      <c r="BC46" s="17">
        <f t="shared" si="9"/>
        <v>0</v>
      </c>
      <c r="BG46" s="14">
        <v>0</v>
      </c>
      <c r="BH46" s="14">
        <v>0</v>
      </c>
      <c r="BI46" s="14">
        <v>0</v>
      </c>
      <c r="BJ46" s="14">
        <v>0</v>
      </c>
      <c r="BK46" s="14">
        <v>1</v>
      </c>
      <c r="BL46" s="14">
        <v>0</v>
      </c>
      <c r="BM46" s="14">
        <v>0</v>
      </c>
      <c r="BN46" s="14">
        <v>0</v>
      </c>
      <c r="BO46" s="14">
        <v>0</v>
      </c>
      <c r="BP46" s="14">
        <v>0</v>
      </c>
      <c r="BQ46" s="11">
        <v>31.537485</v>
      </c>
      <c r="BR46" s="11">
        <v>37.583299999999994</v>
      </c>
      <c r="BS46" s="11">
        <v>27.999835999999998</v>
      </c>
      <c r="BT46" s="10">
        <v>94</v>
      </c>
    </row>
    <row r="47" spans="1:72" ht="20.149999999999999" customHeight="1" thickBot="1">
      <c r="A47" s="68"/>
      <c r="B47" s="69"/>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1"/>
      <c r="AD47" s="68"/>
      <c r="AE47" s="68"/>
      <c r="AF47" s="68"/>
      <c r="AG47" s="68"/>
      <c r="AH47" s="68"/>
      <c r="AK47" s="10" t="s">
        <v>23</v>
      </c>
      <c r="AL47" s="10">
        <f t="shared" si="0"/>
        <v>0</v>
      </c>
      <c r="AM47" s="10">
        <f t="shared" si="1"/>
        <v>0</v>
      </c>
      <c r="AN47" s="10">
        <f t="shared" si="2"/>
        <v>0</v>
      </c>
      <c r="AO47" s="10" t="s">
        <v>24</v>
      </c>
      <c r="AP47" s="10">
        <f t="shared" si="3"/>
        <v>0</v>
      </c>
      <c r="AQ47" s="10" t="s">
        <v>11</v>
      </c>
      <c r="AR47" s="10">
        <f t="shared" si="4"/>
        <v>1</v>
      </c>
      <c r="AS47" s="10" t="s">
        <v>27</v>
      </c>
      <c r="AT47" s="10">
        <f t="shared" si="5"/>
        <v>0</v>
      </c>
      <c r="AU47" s="10">
        <f t="shared" si="6"/>
        <v>0</v>
      </c>
      <c r="AV47" s="11">
        <v>32.549985</v>
      </c>
      <c r="AW47" s="11">
        <v>31.434800000000003</v>
      </c>
      <c r="AX47" s="11">
        <v>19.522058000000001</v>
      </c>
      <c r="AY47" s="10">
        <v>94</v>
      </c>
      <c r="AZ47" t="s">
        <v>104</v>
      </c>
      <c r="BA47" s="17">
        <f t="shared" si="7"/>
        <v>0</v>
      </c>
      <c r="BB47" s="17">
        <f t="shared" si="8"/>
        <v>0</v>
      </c>
      <c r="BC47" s="17">
        <f t="shared" si="9"/>
        <v>0</v>
      </c>
      <c r="BG47" s="14">
        <v>0</v>
      </c>
      <c r="BH47" s="14">
        <v>0</v>
      </c>
      <c r="BI47" s="14">
        <v>0</v>
      </c>
      <c r="BJ47" s="14">
        <v>0</v>
      </c>
      <c r="BK47" s="14">
        <v>1</v>
      </c>
      <c r="BL47" s="14">
        <v>0</v>
      </c>
      <c r="BM47" s="14">
        <v>0</v>
      </c>
      <c r="BN47" s="14">
        <v>0</v>
      </c>
      <c r="BO47" s="14">
        <v>0</v>
      </c>
      <c r="BP47" s="14">
        <v>0</v>
      </c>
      <c r="BQ47" s="11">
        <v>32.549985</v>
      </c>
      <c r="BR47" s="11">
        <v>31.434800000000003</v>
      </c>
      <c r="BS47" s="11">
        <v>19.522058000000001</v>
      </c>
      <c r="BT47" s="10">
        <v>94</v>
      </c>
    </row>
    <row r="48" spans="1:72" ht="20.149999999999999" customHeight="1">
      <c r="AK48" s="10" t="s">
        <v>23</v>
      </c>
      <c r="AL48" s="10">
        <f t="shared" si="0"/>
        <v>0</v>
      </c>
      <c r="AM48" s="10">
        <f t="shared" si="1"/>
        <v>0</v>
      </c>
      <c r="AN48" s="10">
        <f t="shared" si="2"/>
        <v>0</v>
      </c>
      <c r="AO48" s="10" t="s">
        <v>24</v>
      </c>
      <c r="AP48" s="10">
        <f t="shared" si="3"/>
        <v>0</v>
      </c>
      <c r="AQ48" s="10" t="s">
        <v>11</v>
      </c>
      <c r="AR48" s="10">
        <f t="shared" si="4"/>
        <v>1</v>
      </c>
      <c r="AS48" s="10" t="s">
        <v>27</v>
      </c>
      <c r="AT48" s="10">
        <f t="shared" si="5"/>
        <v>0</v>
      </c>
      <c r="AU48" s="10">
        <f t="shared" si="6"/>
        <v>0</v>
      </c>
      <c r="AV48" s="11">
        <v>32.025015000000003</v>
      </c>
      <c r="AW48" s="11">
        <v>42.347799999999999</v>
      </c>
      <c r="AX48" s="11">
        <v>16.869996999999998</v>
      </c>
      <c r="AY48" s="10">
        <v>76</v>
      </c>
      <c r="AZ48" t="s">
        <v>104</v>
      </c>
      <c r="BA48" s="17">
        <f t="shared" si="7"/>
        <v>0</v>
      </c>
      <c r="BB48" s="17">
        <f t="shared" si="8"/>
        <v>0</v>
      </c>
      <c r="BC48" s="17">
        <f t="shared" si="9"/>
        <v>0</v>
      </c>
      <c r="BG48" s="14">
        <v>0</v>
      </c>
      <c r="BH48" s="14">
        <v>0</v>
      </c>
      <c r="BI48" s="14">
        <v>0</v>
      </c>
      <c r="BJ48" s="14">
        <v>0</v>
      </c>
      <c r="BK48" s="14">
        <v>1</v>
      </c>
      <c r="BL48" s="14">
        <v>0</v>
      </c>
      <c r="BM48" s="14">
        <v>0</v>
      </c>
      <c r="BN48" s="14">
        <v>0</v>
      </c>
      <c r="BO48" s="14">
        <v>0</v>
      </c>
      <c r="BP48" s="14">
        <v>0</v>
      </c>
      <c r="BQ48" s="11">
        <v>32.025015000000003</v>
      </c>
      <c r="BR48" s="11">
        <v>42.347799999999999</v>
      </c>
      <c r="BS48" s="11">
        <v>16.869996999999998</v>
      </c>
      <c r="BT48" s="10">
        <v>76</v>
      </c>
    </row>
    <row r="49" spans="1:72" ht="20.149999999999999" customHeight="1">
      <c r="A49" s="13" t="s">
        <v>73</v>
      </c>
      <c r="B49" s="13"/>
      <c r="E49" s="15" t="s">
        <v>45</v>
      </c>
      <c r="AK49" s="10" t="s">
        <v>23</v>
      </c>
      <c r="AL49" s="10">
        <f t="shared" si="0"/>
        <v>0</v>
      </c>
      <c r="AM49" s="10">
        <f t="shared" si="1"/>
        <v>0</v>
      </c>
      <c r="AN49" s="10">
        <f t="shared" si="2"/>
        <v>0</v>
      </c>
      <c r="AO49" s="10" t="s">
        <v>24</v>
      </c>
      <c r="AP49" s="10">
        <f t="shared" si="3"/>
        <v>0</v>
      </c>
      <c r="AQ49" s="10" t="s">
        <v>11</v>
      </c>
      <c r="AR49" s="10">
        <f t="shared" si="4"/>
        <v>1</v>
      </c>
      <c r="AS49" s="10" t="s">
        <v>27</v>
      </c>
      <c r="AT49" s="10">
        <f t="shared" si="5"/>
        <v>0</v>
      </c>
      <c r="AU49" s="10">
        <f t="shared" si="6"/>
        <v>0</v>
      </c>
      <c r="AV49" s="11">
        <v>30.825000000000003</v>
      </c>
      <c r="AW49" s="11">
        <v>50.5</v>
      </c>
      <c r="AX49" s="11">
        <v>15.416968000000001</v>
      </c>
      <c r="AY49" s="10">
        <v>83</v>
      </c>
      <c r="AZ49" t="s">
        <v>104</v>
      </c>
      <c r="BA49" s="17">
        <f t="shared" si="7"/>
        <v>0</v>
      </c>
      <c r="BB49" s="17">
        <f t="shared" si="8"/>
        <v>0</v>
      </c>
      <c r="BC49" s="17">
        <f t="shared" si="9"/>
        <v>0</v>
      </c>
      <c r="BG49" s="14">
        <v>0</v>
      </c>
      <c r="BH49" s="14">
        <v>0</v>
      </c>
      <c r="BI49" s="14">
        <v>0</v>
      </c>
      <c r="BJ49" s="14">
        <v>0</v>
      </c>
      <c r="BK49" s="14">
        <v>1</v>
      </c>
      <c r="BL49" s="14">
        <v>0</v>
      </c>
      <c r="BM49" s="14">
        <v>0</v>
      </c>
      <c r="BN49" s="14">
        <v>0</v>
      </c>
      <c r="BO49" s="14">
        <v>0</v>
      </c>
      <c r="BP49" s="14">
        <v>0</v>
      </c>
      <c r="BQ49" s="11">
        <v>30.825000000000003</v>
      </c>
      <c r="BR49" s="11">
        <v>50.5</v>
      </c>
      <c r="BS49" s="11">
        <v>15.416968000000001</v>
      </c>
      <c r="BT49" s="10">
        <v>83</v>
      </c>
    </row>
    <row r="50" spans="1:72" ht="20.149999999999999" customHeight="1" thickBot="1">
      <c r="B50" s="72" t="s">
        <v>74</v>
      </c>
      <c r="C50" s="17"/>
      <c r="D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K50" s="10" t="s">
        <v>23</v>
      </c>
      <c r="AL50" s="10">
        <f t="shared" si="0"/>
        <v>0</v>
      </c>
      <c r="AM50" s="10">
        <f t="shared" si="1"/>
        <v>0</v>
      </c>
      <c r="AN50" s="10">
        <f t="shared" si="2"/>
        <v>0</v>
      </c>
      <c r="AO50" s="10" t="s">
        <v>24</v>
      </c>
      <c r="AP50" s="10">
        <f t="shared" si="3"/>
        <v>0</v>
      </c>
      <c r="AQ50" s="10" t="s">
        <v>11</v>
      </c>
      <c r="AR50" s="10">
        <f t="shared" si="4"/>
        <v>1</v>
      </c>
      <c r="AS50" s="10" t="s">
        <v>27</v>
      </c>
      <c r="AT50" s="10">
        <f t="shared" si="5"/>
        <v>0</v>
      </c>
      <c r="AU50" s="10">
        <f t="shared" si="6"/>
        <v>0</v>
      </c>
      <c r="AV50" s="11">
        <v>31.387499999999999</v>
      </c>
      <c r="AW50" s="11">
        <v>51.666699999999999</v>
      </c>
      <c r="AX50" s="11">
        <v>17.749975000000003</v>
      </c>
      <c r="AY50" s="10">
        <v>104</v>
      </c>
      <c r="AZ50" t="s">
        <v>105</v>
      </c>
      <c r="BA50" s="17">
        <f t="shared" si="7"/>
        <v>0</v>
      </c>
      <c r="BB50" s="17">
        <f t="shared" si="8"/>
        <v>0</v>
      </c>
      <c r="BC50" s="17">
        <f t="shared" si="9"/>
        <v>1</v>
      </c>
      <c r="BG50" s="14">
        <v>0</v>
      </c>
      <c r="BH50" s="14">
        <v>0</v>
      </c>
      <c r="BI50" s="14">
        <v>0</v>
      </c>
      <c r="BJ50" s="14">
        <v>0</v>
      </c>
      <c r="BK50" s="14">
        <v>1</v>
      </c>
      <c r="BL50" s="14">
        <v>0</v>
      </c>
      <c r="BM50" s="14">
        <v>0</v>
      </c>
      <c r="BN50" s="14">
        <v>0</v>
      </c>
      <c r="BO50" s="14">
        <v>0</v>
      </c>
      <c r="BP50" s="14">
        <v>1</v>
      </c>
      <c r="BQ50" s="11">
        <v>31.387499999999999</v>
      </c>
      <c r="BR50" s="11">
        <v>51.666699999999999</v>
      </c>
      <c r="BS50" s="11">
        <v>17.749975000000003</v>
      </c>
      <c r="BT50" s="10">
        <v>104</v>
      </c>
    </row>
    <row r="51" spans="1:72" ht="38.15" customHeight="1">
      <c r="B51" s="73"/>
      <c r="C51" s="275" t="s">
        <v>73</v>
      </c>
      <c r="D51" s="276"/>
      <c r="E51" s="276"/>
      <c r="F51" s="276"/>
      <c r="G51" s="276"/>
      <c r="H51" s="276"/>
      <c r="I51" s="276"/>
      <c r="J51" s="74"/>
      <c r="K51" s="74"/>
      <c r="L51" s="74"/>
      <c r="M51" s="74"/>
      <c r="N51" s="74"/>
      <c r="O51" s="74"/>
      <c r="P51" s="75"/>
      <c r="Q51" s="75"/>
      <c r="R51" s="74"/>
      <c r="S51" s="74"/>
      <c r="T51" s="74"/>
      <c r="U51" s="74"/>
      <c r="V51" s="277" t="s">
        <v>241</v>
      </c>
      <c r="W51" s="278"/>
      <c r="X51" s="278"/>
      <c r="Y51" s="278"/>
      <c r="Z51" s="278"/>
      <c r="AA51" s="74"/>
      <c r="AB51" s="75"/>
      <c r="AC51" s="74"/>
      <c r="AD51" s="74"/>
      <c r="AE51" s="74"/>
      <c r="AF51" s="74"/>
      <c r="AG51" s="76"/>
      <c r="AH51" s="77"/>
      <c r="AK51" s="10" t="s">
        <v>23</v>
      </c>
      <c r="AL51" s="10">
        <f t="shared" si="0"/>
        <v>0</v>
      </c>
      <c r="AM51" s="10">
        <f t="shared" si="1"/>
        <v>0</v>
      </c>
      <c r="AN51" s="10">
        <f t="shared" si="2"/>
        <v>0</v>
      </c>
      <c r="AO51" s="10" t="s">
        <v>24</v>
      </c>
      <c r="AP51" s="10">
        <f t="shared" si="3"/>
        <v>0</v>
      </c>
      <c r="AQ51" s="10" t="s">
        <v>25</v>
      </c>
      <c r="AR51" s="10">
        <f t="shared" si="4"/>
        <v>0</v>
      </c>
      <c r="AS51" s="10" t="s">
        <v>27</v>
      </c>
      <c r="AT51" s="10">
        <f t="shared" si="5"/>
        <v>0</v>
      </c>
      <c r="AU51" s="10">
        <f t="shared" si="6"/>
        <v>0</v>
      </c>
      <c r="AV51" s="11">
        <v>31.987485000000003</v>
      </c>
      <c r="AW51" s="11">
        <v>18.791699999999999</v>
      </c>
      <c r="AX51" s="11">
        <v>34.000020999999997</v>
      </c>
      <c r="AY51" s="10">
        <v>77</v>
      </c>
      <c r="AZ51" t="s">
        <v>104</v>
      </c>
      <c r="BA51" s="17">
        <f t="shared" si="7"/>
        <v>0</v>
      </c>
      <c r="BB51" s="17">
        <f t="shared" si="8"/>
        <v>0</v>
      </c>
      <c r="BC51" s="17">
        <f t="shared" si="9"/>
        <v>0</v>
      </c>
      <c r="BG51" s="14">
        <v>0</v>
      </c>
      <c r="BH51" s="14">
        <v>0</v>
      </c>
      <c r="BI51" s="14">
        <v>0</v>
      </c>
      <c r="BJ51" s="14">
        <v>0</v>
      </c>
      <c r="BK51" s="14">
        <v>0</v>
      </c>
      <c r="BL51" s="14">
        <v>0</v>
      </c>
      <c r="BM51" s="14">
        <v>0</v>
      </c>
      <c r="BN51" s="14">
        <v>0</v>
      </c>
      <c r="BO51" s="14">
        <v>0</v>
      </c>
      <c r="BP51" s="14">
        <v>0</v>
      </c>
      <c r="BQ51" s="11">
        <v>31.987485000000003</v>
      </c>
      <c r="BR51" s="11">
        <v>18.791699999999999</v>
      </c>
      <c r="BS51" s="11">
        <v>34.000020999999997</v>
      </c>
      <c r="BT51" s="10">
        <v>77</v>
      </c>
    </row>
    <row r="52" spans="1:72" ht="17.149999999999999" customHeight="1">
      <c r="B52" s="78"/>
      <c r="C52" s="276"/>
      <c r="D52" s="276"/>
      <c r="E52" s="276"/>
      <c r="F52" s="276"/>
      <c r="G52" s="276"/>
      <c r="H52" s="276"/>
      <c r="I52" s="276"/>
      <c r="R52" s="79"/>
      <c r="S52" s="79"/>
      <c r="T52" s="81"/>
      <c r="U52" s="79"/>
      <c r="V52" s="278"/>
      <c r="W52" s="278"/>
      <c r="X52" s="278"/>
      <c r="Y52" s="278"/>
      <c r="Z52" s="278"/>
      <c r="AA52" s="79"/>
      <c r="AB52" s="80"/>
      <c r="AC52" s="79"/>
      <c r="AD52" s="79"/>
      <c r="AE52" s="79"/>
      <c r="AF52" s="79"/>
      <c r="AG52" s="82"/>
      <c r="AH52" s="83"/>
      <c r="AK52" s="10" t="s">
        <v>23</v>
      </c>
      <c r="AL52" s="10">
        <f t="shared" si="0"/>
        <v>0</v>
      </c>
      <c r="AM52" s="10">
        <f t="shared" si="1"/>
        <v>0</v>
      </c>
      <c r="AN52" s="10">
        <f t="shared" si="2"/>
        <v>0</v>
      </c>
      <c r="AO52" s="10" t="s">
        <v>24</v>
      </c>
      <c r="AP52" s="10">
        <f t="shared" si="3"/>
        <v>0</v>
      </c>
      <c r="AQ52" s="10" t="s">
        <v>25</v>
      </c>
      <c r="AR52" s="10">
        <f t="shared" si="4"/>
        <v>0</v>
      </c>
      <c r="AS52" s="10" t="s">
        <v>27</v>
      </c>
      <c r="AT52" s="10">
        <f t="shared" si="5"/>
        <v>0</v>
      </c>
      <c r="AU52" s="10">
        <f t="shared" si="6"/>
        <v>0</v>
      </c>
      <c r="AV52" s="11">
        <v>31.125015000000001</v>
      </c>
      <c r="AW52" s="11">
        <v>40.782600000000002</v>
      </c>
      <c r="AX52" s="11">
        <v>14.956745</v>
      </c>
      <c r="AY52" s="10">
        <v>96</v>
      </c>
      <c r="AZ52" t="s">
        <v>104</v>
      </c>
      <c r="BA52" s="17">
        <f t="shared" si="7"/>
        <v>0</v>
      </c>
      <c r="BB52" s="17">
        <f t="shared" si="8"/>
        <v>0</v>
      </c>
      <c r="BC52" s="17">
        <f t="shared" si="9"/>
        <v>0</v>
      </c>
      <c r="BG52" s="14">
        <v>0</v>
      </c>
      <c r="BH52" s="14">
        <v>0</v>
      </c>
      <c r="BI52" s="14">
        <v>0</v>
      </c>
      <c r="BJ52" s="14">
        <v>0</v>
      </c>
      <c r="BK52" s="14">
        <v>0</v>
      </c>
      <c r="BL52" s="14">
        <v>0</v>
      </c>
      <c r="BM52" s="14">
        <v>0</v>
      </c>
      <c r="BN52" s="14">
        <v>0</v>
      </c>
      <c r="BO52" s="14">
        <v>0</v>
      </c>
      <c r="BP52" s="14">
        <v>0</v>
      </c>
      <c r="BQ52" s="11">
        <v>31.125015000000001</v>
      </c>
      <c r="BR52" s="11">
        <v>40.782600000000002</v>
      </c>
      <c r="BS52" s="11">
        <v>14.956745</v>
      </c>
      <c r="BT52" s="10">
        <v>96</v>
      </c>
    </row>
    <row r="53" spans="1:72" ht="20.149999999999999" customHeight="1">
      <c r="B53" s="78"/>
      <c r="R53" s="79"/>
      <c r="S53" s="79"/>
      <c r="T53" s="81"/>
      <c r="U53" s="79"/>
      <c r="V53" s="79"/>
      <c r="W53" s="79"/>
      <c r="X53" s="79"/>
      <c r="Y53" s="79"/>
      <c r="Z53" s="79"/>
      <c r="AA53" s="79"/>
      <c r="AB53" s="271" t="s">
        <v>275</v>
      </c>
      <c r="AC53" s="79"/>
      <c r="AD53" s="79"/>
      <c r="AE53" s="79"/>
      <c r="AF53" s="79"/>
      <c r="AG53" s="84"/>
      <c r="AH53" s="85"/>
      <c r="AK53" s="10" t="s">
        <v>23</v>
      </c>
      <c r="AL53" s="10">
        <f t="shared" si="0"/>
        <v>0</v>
      </c>
      <c r="AM53" s="10">
        <f t="shared" si="1"/>
        <v>0</v>
      </c>
      <c r="AN53" s="10">
        <f t="shared" si="2"/>
        <v>0</v>
      </c>
      <c r="AO53" s="10" t="s">
        <v>7</v>
      </c>
      <c r="AP53" s="10">
        <f t="shared" si="3"/>
        <v>1</v>
      </c>
      <c r="AQ53" s="10" t="s">
        <v>25</v>
      </c>
      <c r="AR53" s="10">
        <f t="shared" si="4"/>
        <v>0</v>
      </c>
      <c r="AS53" s="10" t="s">
        <v>26</v>
      </c>
      <c r="AT53" s="10">
        <f t="shared" si="5"/>
        <v>1</v>
      </c>
      <c r="AU53" s="10">
        <f t="shared" si="6"/>
        <v>0</v>
      </c>
      <c r="AV53" s="11">
        <v>28.837485000000001</v>
      </c>
      <c r="AW53" s="11">
        <v>60.5</v>
      </c>
      <c r="AX53" s="11">
        <v>20.625682000000001</v>
      </c>
      <c r="AY53" s="10">
        <v>118</v>
      </c>
      <c r="AZ53" t="s">
        <v>105</v>
      </c>
      <c r="BA53" s="17">
        <f t="shared" si="7"/>
        <v>0</v>
      </c>
      <c r="BB53" s="17">
        <f t="shared" si="8"/>
        <v>0</v>
      </c>
      <c r="BC53" s="17">
        <f t="shared" si="9"/>
        <v>1</v>
      </c>
      <c r="BG53" s="14">
        <v>0</v>
      </c>
      <c r="BH53" s="14">
        <v>0</v>
      </c>
      <c r="BI53" s="14">
        <v>0</v>
      </c>
      <c r="BJ53" s="14">
        <v>1</v>
      </c>
      <c r="BK53" s="14">
        <v>0</v>
      </c>
      <c r="BL53" s="14">
        <v>1</v>
      </c>
      <c r="BM53" s="14">
        <v>0</v>
      </c>
      <c r="BN53" s="14">
        <v>0</v>
      </c>
      <c r="BO53" s="14">
        <v>0</v>
      </c>
      <c r="BP53" s="14">
        <v>1</v>
      </c>
      <c r="BQ53" s="11">
        <v>28.837485000000001</v>
      </c>
      <c r="BR53" s="11">
        <v>60.5</v>
      </c>
      <c r="BS53" s="11">
        <v>20.625682000000001</v>
      </c>
      <c r="BT53" s="10">
        <v>118</v>
      </c>
    </row>
    <row r="54" spans="1:72" ht="20.149999999999999" customHeight="1">
      <c r="B54" s="264"/>
      <c r="C54" s="264" t="s">
        <v>108</v>
      </c>
      <c r="D54" s="264" t="s">
        <v>109</v>
      </c>
      <c r="E54" s="264" t="s">
        <v>110</v>
      </c>
      <c r="F54" s="264" t="s">
        <v>111</v>
      </c>
      <c r="G54" s="264" t="s">
        <v>112</v>
      </c>
      <c r="H54" s="264" t="s">
        <v>113</v>
      </c>
      <c r="I54" s="264" t="s">
        <v>114</v>
      </c>
      <c r="J54" s="264" t="s">
        <v>117</v>
      </c>
      <c r="K54" s="264" t="s">
        <v>118</v>
      </c>
      <c r="L54" s="264" t="s">
        <v>116</v>
      </c>
      <c r="M54" s="264" t="s">
        <v>15</v>
      </c>
      <c r="N54" s="264" t="s">
        <v>0</v>
      </c>
      <c r="O54" s="264" t="s">
        <v>18</v>
      </c>
      <c r="P54" s="264" t="s">
        <v>39</v>
      </c>
      <c r="R54" s="79"/>
      <c r="S54" s="251"/>
      <c r="T54" s="149" t="s">
        <v>108</v>
      </c>
      <c r="U54" s="149" t="s">
        <v>109</v>
      </c>
      <c r="V54" s="149" t="s">
        <v>110</v>
      </c>
      <c r="W54" s="149" t="s">
        <v>111</v>
      </c>
      <c r="X54" s="149" t="s">
        <v>112</v>
      </c>
      <c r="Y54" s="149" t="s">
        <v>113</v>
      </c>
      <c r="Z54" s="149" t="s">
        <v>114</v>
      </c>
      <c r="AA54" s="149" t="s">
        <v>117</v>
      </c>
      <c r="AB54" s="149" t="s">
        <v>118</v>
      </c>
      <c r="AC54" s="149" t="s">
        <v>116</v>
      </c>
      <c r="AD54" s="149" t="s">
        <v>15</v>
      </c>
      <c r="AE54" s="149" t="s">
        <v>0</v>
      </c>
      <c r="AF54" s="149" t="s">
        <v>18</v>
      </c>
      <c r="AG54" s="149" t="s">
        <v>39</v>
      </c>
      <c r="AH54" s="85"/>
      <c r="AK54" s="10" t="s">
        <v>23</v>
      </c>
      <c r="AL54" s="10">
        <f t="shared" si="0"/>
        <v>0</v>
      </c>
      <c r="AM54" s="10">
        <f t="shared" si="1"/>
        <v>0</v>
      </c>
      <c r="AN54" s="10">
        <f t="shared" si="2"/>
        <v>0</v>
      </c>
      <c r="AO54" s="10" t="s">
        <v>24</v>
      </c>
      <c r="AP54" s="10">
        <f t="shared" si="3"/>
        <v>0</v>
      </c>
      <c r="AQ54" s="10" t="s">
        <v>11</v>
      </c>
      <c r="AR54" s="10">
        <f t="shared" si="4"/>
        <v>1</v>
      </c>
      <c r="AS54" s="10" t="s">
        <v>27</v>
      </c>
      <c r="AT54" s="10">
        <f t="shared" si="5"/>
        <v>0</v>
      </c>
      <c r="AU54" s="10">
        <f t="shared" si="6"/>
        <v>0</v>
      </c>
      <c r="AV54" s="11">
        <v>30.299985</v>
      </c>
      <c r="AW54" s="11">
        <v>57.777799999999999</v>
      </c>
      <c r="AX54" s="11">
        <v>13.110761</v>
      </c>
      <c r="AY54" s="10">
        <v>103</v>
      </c>
      <c r="AZ54" t="s">
        <v>105</v>
      </c>
      <c r="BA54" s="17">
        <f t="shared" si="7"/>
        <v>0</v>
      </c>
      <c r="BB54" s="17">
        <f t="shared" si="8"/>
        <v>0</v>
      </c>
      <c r="BC54" s="17">
        <f t="shared" si="9"/>
        <v>1</v>
      </c>
      <c r="BG54" s="14">
        <v>0</v>
      </c>
      <c r="BH54" s="14">
        <v>0</v>
      </c>
      <c r="BI54" s="14">
        <v>0</v>
      </c>
      <c r="BJ54" s="14">
        <v>0</v>
      </c>
      <c r="BK54" s="14">
        <v>1</v>
      </c>
      <c r="BL54" s="14">
        <v>0</v>
      </c>
      <c r="BM54" s="14">
        <v>0</v>
      </c>
      <c r="BN54" s="14">
        <v>0</v>
      </c>
      <c r="BO54" s="14">
        <v>0</v>
      </c>
      <c r="BP54" s="14">
        <v>1</v>
      </c>
      <c r="BQ54" s="11">
        <v>30.299985</v>
      </c>
      <c r="BR54" s="11">
        <v>57.777799999999999</v>
      </c>
      <c r="BS54" s="11">
        <v>13.110761</v>
      </c>
      <c r="BT54" s="10">
        <v>103</v>
      </c>
    </row>
    <row r="55" spans="1:72" ht="20.149999999999999" customHeight="1">
      <c r="B55" s="265" t="s">
        <v>108</v>
      </c>
      <c r="C55" s="151">
        <v>1</v>
      </c>
      <c r="D55" s="151"/>
      <c r="E55" s="151"/>
      <c r="F55" s="151"/>
      <c r="G55" s="151"/>
      <c r="H55" s="151"/>
      <c r="I55" s="151"/>
      <c r="J55" s="151"/>
      <c r="K55" s="151"/>
      <c r="L55" s="151"/>
      <c r="M55" s="151"/>
      <c r="N55" s="151"/>
      <c r="O55" s="151"/>
      <c r="P55" s="151"/>
      <c r="R55" s="79"/>
      <c r="S55" s="251"/>
      <c r="T55" s="252"/>
      <c r="U55" s="252"/>
      <c r="V55" s="252"/>
      <c r="W55" s="252"/>
      <c r="X55" s="252"/>
      <c r="Y55" s="252"/>
      <c r="Z55" s="252"/>
      <c r="AA55" s="252"/>
      <c r="AB55" s="252"/>
      <c r="AC55" s="252"/>
      <c r="AD55" s="252"/>
      <c r="AE55" s="252"/>
      <c r="AF55" s="252"/>
      <c r="AG55" s="251"/>
      <c r="AH55" s="213"/>
      <c r="AK55" s="10" t="s">
        <v>23</v>
      </c>
      <c r="AL55" s="10">
        <f t="shared" si="0"/>
        <v>0</v>
      </c>
      <c r="AM55" s="10">
        <f t="shared" si="1"/>
        <v>0</v>
      </c>
      <c r="AN55" s="10">
        <f t="shared" si="2"/>
        <v>0</v>
      </c>
      <c r="AO55" s="10" t="s">
        <v>24</v>
      </c>
      <c r="AP55" s="10">
        <f t="shared" si="3"/>
        <v>0</v>
      </c>
      <c r="AQ55" s="10" t="s">
        <v>11</v>
      </c>
      <c r="AR55" s="10">
        <f t="shared" si="4"/>
        <v>1</v>
      </c>
      <c r="AS55" s="10" t="s">
        <v>27</v>
      </c>
      <c r="AT55" s="10">
        <f t="shared" si="5"/>
        <v>0</v>
      </c>
      <c r="AU55" s="10">
        <f t="shared" si="6"/>
        <v>0</v>
      </c>
      <c r="AV55" s="11">
        <v>30.787514999999999</v>
      </c>
      <c r="AW55" s="11">
        <v>42.304299999999998</v>
      </c>
      <c r="AX55" s="11">
        <v>6.3055710000000005</v>
      </c>
      <c r="AY55" s="10">
        <v>71</v>
      </c>
      <c r="AZ55" t="s">
        <v>104</v>
      </c>
      <c r="BA55" s="17">
        <f t="shared" si="7"/>
        <v>0</v>
      </c>
      <c r="BB55" s="17">
        <f t="shared" si="8"/>
        <v>0</v>
      </c>
      <c r="BC55" s="17">
        <f t="shared" si="9"/>
        <v>0</v>
      </c>
      <c r="BG55" s="14">
        <v>0</v>
      </c>
      <c r="BH55" s="14">
        <v>0</v>
      </c>
      <c r="BI55" s="14">
        <v>0</v>
      </c>
      <c r="BJ55" s="14">
        <v>0</v>
      </c>
      <c r="BK55" s="14">
        <v>1</v>
      </c>
      <c r="BL55" s="14">
        <v>0</v>
      </c>
      <c r="BM55" s="14">
        <v>0</v>
      </c>
      <c r="BN55" s="14">
        <v>0</v>
      </c>
      <c r="BO55" s="14">
        <v>0</v>
      </c>
      <c r="BP55" s="14">
        <v>0</v>
      </c>
      <c r="BQ55" s="11">
        <v>30.787514999999999</v>
      </c>
      <c r="BR55" s="11">
        <v>42.304299999999998</v>
      </c>
      <c r="BS55" s="11">
        <v>6.3055710000000005</v>
      </c>
      <c r="BT55" s="10">
        <v>71</v>
      </c>
    </row>
    <row r="56" spans="1:72" ht="20.149999999999999" customHeight="1">
      <c r="B56" s="265" t="s">
        <v>109</v>
      </c>
      <c r="C56" s="151">
        <v>-0.33699633699633741</v>
      </c>
      <c r="D56" s="151">
        <v>1</v>
      </c>
      <c r="E56" s="151"/>
      <c r="F56" s="151"/>
      <c r="G56" s="151"/>
      <c r="H56" s="151"/>
      <c r="I56" s="151"/>
      <c r="J56" s="151"/>
      <c r="K56" s="151"/>
      <c r="L56" s="151"/>
      <c r="M56" s="151"/>
      <c r="N56" s="151"/>
      <c r="O56" s="151"/>
      <c r="P56" s="151"/>
      <c r="R56" s="79"/>
      <c r="S56" s="252" t="s">
        <v>185</v>
      </c>
      <c r="T56" s="253">
        <v>0.25205479452054796</v>
      </c>
      <c r="U56" s="253">
        <v>0.25205479452054796</v>
      </c>
      <c r="V56" s="253">
        <v>0.24931506849315069</v>
      </c>
      <c r="W56" s="253">
        <v>2.7397260273972601E-2</v>
      </c>
      <c r="X56" s="253">
        <v>0.68493150684931503</v>
      </c>
      <c r="Y56" s="253">
        <v>0.33972602739726027</v>
      </c>
      <c r="Z56" s="253">
        <v>4.1095890410958902E-2</v>
      </c>
      <c r="AA56" s="253">
        <v>0.21917808219178081</v>
      </c>
      <c r="AB56" s="253">
        <v>0.22191780821917809</v>
      </c>
      <c r="AC56" s="253">
        <v>0.10684931506849316</v>
      </c>
      <c r="AD56" s="253">
        <v>21.899922706849306</v>
      </c>
      <c r="AE56" s="253">
        <v>64.366476712328762</v>
      </c>
      <c r="AF56" s="253">
        <v>12.823976531232869</v>
      </c>
      <c r="AG56" s="253">
        <v>68.104109589041101</v>
      </c>
      <c r="AH56" s="213"/>
      <c r="AK56" s="10" t="s">
        <v>23</v>
      </c>
      <c r="AL56" s="10">
        <f t="shared" si="0"/>
        <v>0</v>
      </c>
      <c r="AM56" s="10">
        <f t="shared" si="1"/>
        <v>0</v>
      </c>
      <c r="AN56" s="10">
        <f t="shared" si="2"/>
        <v>0</v>
      </c>
      <c r="AO56" s="10" t="s">
        <v>24</v>
      </c>
      <c r="AP56" s="10">
        <f t="shared" si="3"/>
        <v>0</v>
      </c>
      <c r="AQ56" s="10" t="s">
        <v>11</v>
      </c>
      <c r="AR56" s="10">
        <f t="shared" si="4"/>
        <v>1</v>
      </c>
      <c r="AS56" s="10" t="s">
        <v>26</v>
      </c>
      <c r="AT56" s="10">
        <f t="shared" si="5"/>
        <v>1</v>
      </c>
      <c r="AU56" s="10">
        <f t="shared" si="6"/>
        <v>0</v>
      </c>
      <c r="AV56" s="11">
        <v>31.499999999999996</v>
      </c>
      <c r="AW56" s="11">
        <v>69.739099999999993</v>
      </c>
      <c r="AX56" s="11">
        <v>16.783231999999998</v>
      </c>
      <c r="AY56" s="10">
        <v>93</v>
      </c>
      <c r="AZ56" t="s">
        <v>104</v>
      </c>
      <c r="BA56" s="17">
        <f t="shared" si="7"/>
        <v>0</v>
      </c>
      <c r="BB56" s="17">
        <f t="shared" si="8"/>
        <v>0</v>
      </c>
      <c r="BC56" s="17">
        <f t="shared" si="9"/>
        <v>0</v>
      </c>
      <c r="BG56" s="14">
        <v>0</v>
      </c>
      <c r="BH56" s="14">
        <v>0</v>
      </c>
      <c r="BI56" s="14">
        <v>0</v>
      </c>
      <c r="BJ56" s="14">
        <v>0</v>
      </c>
      <c r="BK56" s="14">
        <v>1</v>
      </c>
      <c r="BL56" s="14">
        <v>1</v>
      </c>
      <c r="BM56" s="14">
        <v>0</v>
      </c>
      <c r="BN56" s="14">
        <v>0</v>
      </c>
      <c r="BO56" s="14">
        <v>0</v>
      </c>
      <c r="BP56" s="14">
        <v>0</v>
      </c>
      <c r="BQ56" s="11">
        <v>31.499999999999996</v>
      </c>
      <c r="BR56" s="11">
        <v>69.739099999999993</v>
      </c>
      <c r="BS56" s="11">
        <v>16.783231999999998</v>
      </c>
      <c r="BT56" s="10">
        <v>93</v>
      </c>
    </row>
    <row r="57" spans="1:72" ht="20.149999999999999" customHeight="1">
      <c r="B57" s="265" t="s">
        <v>110</v>
      </c>
      <c r="C57" s="151">
        <v>-0.33454766643816536</v>
      </c>
      <c r="D57" s="151">
        <v>-0.3345476664381643</v>
      </c>
      <c r="E57" s="151">
        <v>1</v>
      </c>
      <c r="F57" s="151"/>
      <c r="G57" s="151"/>
      <c r="H57" s="151"/>
      <c r="I57" s="151"/>
      <c r="J57" s="151"/>
      <c r="K57" s="151"/>
      <c r="L57" s="151"/>
      <c r="M57" s="151"/>
      <c r="N57" s="151"/>
      <c r="O57" s="151"/>
      <c r="P57" s="151"/>
      <c r="R57" s="79"/>
      <c r="S57" s="252" t="s">
        <v>130</v>
      </c>
      <c r="T57" s="253">
        <v>2.2757873597035821E-2</v>
      </c>
      <c r="U57" s="253">
        <v>2.2757873597035821E-2</v>
      </c>
      <c r="V57" s="253">
        <v>2.267526761266692E-2</v>
      </c>
      <c r="W57" s="253">
        <v>8.5559969334946147E-3</v>
      </c>
      <c r="X57" s="253">
        <v>2.4348676982721383E-2</v>
      </c>
      <c r="Y57" s="253">
        <v>2.4824231211391785E-2</v>
      </c>
      <c r="Z57" s="253">
        <v>1.0404856511133561E-2</v>
      </c>
      <c r="AA57" s="253">
        <v>2.1683224543165246E-2</v>
      </c>
      <c r="AB57" s="253">
        <v>2.1780012425347255E-2</v>
      </c>
      <c r="AC57" s="253">
        <v>1.6191890092710454E-2</v>
      </c>
      <c r="AD57" s="253">
        <v>0.44657481086395906</v>
      </c>
      <c r="AE57" s="253">
        <v>0.77856159909578293</v>
      </c>
      <c r="AF57" s="253">
        <v>0.26964901631067345</v>
      </c>
      <c r="AG57" s="253">
        <v>1.4446120023694451</v>
      </c>
      <c r="AH57" s="213"/>
      <c r="AK57" s="10" t="s">
        <v>23</v>
      </c>
      <c r="AL57" s="10">
        <f t="shared" si="0"/>
        <v>0</v>
      </c>
      <c r="AM57" s="10">
        <f t="shared" si="1"/>
        <v>0</v>
      </c>
      <c r="AN57" s="10">
        <f t="shared" si="2"/>
        <v>0</v>
      </c>
      <c r="AO57" s="10" t="s">
        <v>24</v>
      </c>
      <c r="AP57" s="10">
        <f t="shared" si="3"/>
        <v>0</v>
      </c>
      <c r="AQ57" s="10" t="s">
        <v>11</v>
      </c>
      <c r="AR57" s="10">
        <f t="shared" si="4"/>
        <v>1</v>
      </c>
      <c r="AS57" s="10" t="s">
        <v>26</v>
      </c>
      <c r="AT57" s="10">
        <f t="shared" si="5"/>
        <v>1</v>
      </c>
      <c r="AU57" s="10">
        <f t="shared" si="6"/>
        <v>0</v>
      </c>
      <c r="AV57" s="11">
        <v>30.6</v>
      </c>
      <c r="AW57" s="11">
        <v>71.217399999999998</v>
      </c>
      <c r="AX57" s="11">
        <v>23.218112999999999</v>
      </c>
      <c r="AY57" s="10">
        <v>23</v>
      </c>
      <c r="AZ57" t="s">
        <v>107</v>
      </c>
      <c r="BA57" s="17">
        <f t="shared" si="7"/>
        <v>1</v>
      </c>
      <c r="BB57" s="17">
        <f t="shared" si="8"/>
        <v>0</v>
      </c>
      <c r="BC57" s="17">
        <f t="shared" si="9"/>
        <v>0</v>
      </c>
      <c r="BG57" s="14">
        <v>0</v>
      </c>
      <c r="BH57" s="14">
        <v>0</v>
      </c>
      <c r="BI57" s="14">
        <v>0</v>
      </c>
      <c r="BJ57" s="14">
        <v>0</v>
      </c>
      <c r="BK57" s="14">
        <v>1</v>
      </c>
      <c r="BL57" s="14">
        <v>1</v>
      </c>
      <c r="BM57" s="14">
        <v>0</v>
      </c>
      <c r="BN57" s="14">
        <v>1</v>
      </c>
      <c r="BO57" s="14">
        <v>0</v>
      </c>
      <c r="BP57" s="14">
        <v>0</v>
      </c>
      <c r="BQ57" s="11">
        <v>30.6</v>
      </c>
      <c r="BR57" s="11">
        <v>71.217399999999998</v>
      </c>
      <c r="BS57" s="11">
        <v>23.218112999999999</v>
      </c>
      <c r="BT57" s="10">
        <v>23</v>
      </c>
    </row>
    <row r="58" spans="1:72" ht="20.149999999999999" customHeight="1">
      <c r="B58" s="265" t="s">
        <v>111</v>
      </c>
      <c r="C58" s="151">
        <v>-2.012167764655301E-2</v>
      </c>
      <c r="D58" s="151">
        <v>-5.8776479441247177E-2</v>
      </c>
      <c r="E58" s="151">
        <v>5.8459155249654136E-2</v>
      </c>
      <c r="F58" s="151">
        <v>1</v>
      </c>
      <c r="G58" s="151"/>
      <c r="H58" s="151"/>
      <c r="I58" s="151"/>
      <c r="J58" s="151"/>
      <c r="K58" s="151"/>
      <c r="L58" s="151"/>
      <c r="M58" s="151"/>
      <c r="N58" s="151"/>
      <c r="O58" s="151"/>
      <c r="P58" s="151"/>
      <c r="R58" s="79"/>
      <c r="S58" s="252" t="s">
        <v>186</v>
      </c>
      <c r="T58" s="253">
        <v>0</v>
      </c>
      <c r="U58" s="253">
        <v>0</v>
      </c>
      <c r="V58" s="253">
        <v>0</v>
      </c>
      <c r="W58" s="253">
        <v>0</v>
      </c>
      <c r="X58" s="253">
        <v>1</v>
      </c>
      <c r="Y58" s="253">
        <v>0</v>
      </c>
      <c r="Z58" s="253">
        <v>0</v>
      </c>
      <c r="AA58" s="253">
        <v>0</v>
      </c>
      <c r="AB58" s="253">
        <v>0</v>
      </c>
      <c r="AC58" s="253">
        <v>0</v>
      </c>
      <c r="AD58" s="253">
        <v>21.562515000000001</v>
      </c>
      <c r="AE58" s="253">
        <v>64.75</v>
      </c>
      <c r="AF58" s="253">
        <v>12.522300000000001</v>
      </c>
      <c r="AG58" s="253">
        <v>75</v>
      </c>
      <c r="AH58" s="213"/>
      <c r="AK58" s="10" t="s">
        <v>23</v>
      </c>
      <c r="AL58" s="10">
        <f t="shared" si="0"/>
        <v>0</v>
      </c>
      <c r="AM58" s="10">
        <f t="shared" si="1"/>
        <v>0</v>
      </c>
      <c r="AN58" s="10">
        <f t="shared" si="2"/>
        <v>0</v>
      </c>
      <c r="AO58" s="10" t="s">
        <v>24</v>
      </c>
      <c r="AP58" s="10">
        <f t="shared" si="3"/>
        <v>0</v>
      </c>
      <c r="AQ58" s="10" t="s">
        <v>25</v>
      </c>
      <c r="AR58" s="10">
        <f t="shared" si="4"/>
        <v>0</v>
      </c>
      <c r="AS58" s="10" t="s">
        <v>27</v>
      </c>
      <c r="AT58" s="10">
        <f t="shared" si="5"/>
        <v>0</v>
      </c>
      <c r="AU58" s="10">
        <f t="shared" si="6"/>
        <v>0</v>
      </c>
      <c r="AV58" s="11">
        <v>31.817654999999998</v>
      </c>
      <c r="AW58" s="11">
        <v>53.791699999999999</v>
      </c>
      <c r="AX58" s="11">
        <v>12.500257</v>
      </c>
      <c r="AY58" s="10">
        <v>86</v>
      </c>
      <c r="AZ58" t="s">
        <v>104</v>
      </c>
      <c r="BA58" s="17">
        <f t="shared" si="7"/>
        <v>0</v>
      </c>
      <c r="BB58" s="17">
        <f t="shared" si="8"/>
        <v>0</v>
      </c>
      <c r="BC58" s="17">
        <f t="shared" si="9"/>
        <v>0</v>
      </c>
      <c r="BG58" s="14">
        <v>0</v>
      </c>
      <c r="BH58" s="14">
        <v>0</v>
      </c>
      <c r="BI58" s="14">
        <v>0</v>
      </c>
      <c r="BJ58" s="14">
        <v>0</v>
      </c>
      <c r="BK58" s="14">
        <v>0</v>
      </c>
      <c r="BL58" s="14">
        <v>0</v>
      </c>
      <c r="BM58" s="14">
        <v>0</v>
      </c>
      <c r="BN58" s="14">
        <v>0</v>
      </c>
      <c r="BO58" s="14">
        <v>0</v>
      </c>
      <c r="BP58" s="14">
        <v>0</v>
      </c>
      <c r="BQ58" s="11">
        <v>31.817654999999998</v>
      </c>
      <c r="BR58" s="11">
        <v>53.791699999999999</v>
      </c>
      <c r="BS58" s="11">
        <v>12.500257</v>
      </c>
      <c r="BT58" s="10">
        <v>86</v>
      </c>
    </row>
    <row r="59" spans="1:72" ht="20.149999999999999" customHeight="1">
      <c r="B59" s="265" t="s">
        <v>112</v>
      </c>
      <c r="C59" s="151">
        <v>1.3397024113385093E-2</v>
      </c>
      <c r="D59" s="151">
        <v>2.698011800612285E-2</v>
      </c>
      <c r="E59" s="151">
        <v>-1.811452024882643E-2</v>
      </c>
      <c r="F59" s="151">
        <v>-0.24746108207197509</v>
      </c>
      <c r="G59" s="151">
        <v>1</v>
      </c>
      <c r="H59" s="151"/>
      <c r="I59" s="151"/>
      <c r="J59" s="151"/>
      <c r="K59" s="151"/>
      <c r="L59" s="151"/>
      <c r="M59" s="151"/>
      <c r="N59" s="151"/>
      <c r="O59" s="151"/>
      <c r="P59" s="151"/>
      <c r="R59" s="79"/>
      <c r="S59" s="252" t="s">
        <v>187</v>
      </c>
      <c r="T59" s="253">
        <v>0</v>
      </c>
      <c r="U59" s="253">
        <v>0</v>
      </c>
      <c r="V59" s="253">
        <v>0</v>
      </c>
      <c r="W59" s="253">
        <v>0</v>
      </c>
      <c r="X59" s="253">
        <v>1</v>
      </c>
      <c r="Y59" s="253">
        <v>0</v>
      </c>
      <c r="Z59" s="253">
        <v>0</v>
      </c>
      <c r="AA59" s="253">
        <v>0</v>
      </c>
      <c r="AB59" s="253">
        <v>0</v>
      </c>
      <c r="AC59" s="253">
        <v>0</v>
      </c>
      <c r="AD59" s="253">
        <v>28.574999999999999</v>
      </c>
      <c r="AE59" s="253">
        <v>60.5</v>
      </c>
      <c r="AF59" s="253">
        <v>24.25065</v>
      </c>
      <c r="AG59" s="253">
        <v>96</v>
      </c>
      <c r="AH59" s="213"/>
      <c r="AK59" s="10" t="s">
        <v>23</v>
      </c>
      <c r="AL59" s="10">
        <f t="shared" si="0"/>
        <v>0</v>
      </c>
      <c r="AM59" s="10">
        <f t="shared" si="1"/>
        <v>0</v>
      </c>
      <c r="AN59" s="10">
        <f t="shared" si="2"/>
        <v>0</v>
      </c>
      <c r="AO59" s="10" t="s">
        <v>24</v>
      </c>
      <c r="AP59" s="10">
        <f t="shared" si="3"/>
        <v>0</v>
      </c>
      <c r="AQ59" s="10" t="s">
        <v>25</v>
      </c>
      <c r="AR59" s="10">
        <f t="shared" si="4"/>
        <v>0</v>
      </c>
      <c r="AS59" s="10" t="s">
        <v>27</v>
      </c>
      <c r="AT59" s="10">
        <f t="shared" si="5"/>
        <v>0</v>
      </c>
      <c r="AU59" s="10">
        <f t="shared" si="6"/>
        <v>0</v>
      </c>
      <c r="AV59" s="11">
        <v>28.650015</v>
      </c>
      <c r="AW59" s="11">
        <v>68</v>
      </c>
      <c r="AX59" s="11">
        <v>8.3916159999999991</v>
      </c>
      <c r="AY59" s="10">
        <v>93</v>
      </c>
      <c r="AZ59" t="s">
        <v>104</v>
      </c>
      <c r="BA59" s="17">
        <f t="shared" si="7"/>
        <v>0</v>
      </c>
      <c r="BB59" s="17">
        <f t="shared" si="8"/>
        <v>0</v>
      </c>
      <c r="BC59" s="17">
        <f t="shared" si="9"/>
        <v>0</v>
      </c>
      <c r="BG59" s="14">
        <v>0</v>
      </c>
      <c r="BH59" s="14">
        <v>0</v>
      </c>
      <c r="BI59" s="14">
        <v>0</v>
      </c>
      <c r="BJ59" s="14">
        <v>0</v>
      </c>
      <c r="BK59" s="14">
        <v>0</v>
      </c>
      <c r="BL59" s="14">
        <v>0</v>
      </c>
      <c r="BM59" s="14">
        <v>0</v>
      </c>
      <c r="BN59" s="14">
        <v>0</v>
      </c>
      <c r="BO59" s="14">
        <v>0</v>
      </c>
      <c r="BP59" s="14">
        <v>0</v>
      </c>
      <c r="BQ59" s="11">
        <v>28.650015</v>
      </c>
      <c r="BR59" s="11">
        <v>68</v>
      </c>
      <c r="BS59" s="11">
        <v>8.3916159999999991</v>
      </c>
      <c r="BT59" s="10">
        <v>93</v>
      </c>
    </row>
    <row r="60" spans="1:72" ht="20.149999999999999" customHeight="1">
      <c r="B60" s="265" t="s">
        <v>113</v>
      </c>
      <c r="C60" s="151">
        <v>0.10318847815305489</v>
      </c>
      <c r="D60" s="151">
        <v>-0.13662344312942629</v>
      </c>
      <c r="E60" s="151">
        <v>2.7878494379894963E-2</v>
      </c>
      <c r="F60" s="151">
        <v>2.1359404501325032E-2</v>
      </c>
      <c r="G60" s="151">
        <v>6.3115124033031031E-2</v>
      </c>
      <c r="H60" s="151">
        <v>1</v>
      </c>
      <c r="I60" s="151"/>
      <c r="J60" s="151"/>
      <c r="K60" s="151"/>
      <c r="L60" s="151"/>
      <c r="M60" s="151"/>
      <c r="N60" s="151"/>
      <c r="O60" s="151"/>
      <c r="P60" s="151"/>
      <c r="R60" s="79"/>
      <c r="S60" s="252" t="s">
        <v>188</v>
      </c>
      <c r="T60" s="253">
        <v>0.43478856458100518</v>
      </c>
      <c r="U60" s="253">
        <v>0.43478856458100518</v>
      </c>
      <c r="V60" s="253">
        <v>0.43321037946558061</v>
      </c>
      <c r="W60" s="253">
        <v>0.16346209189588506</v>
      </c>
      <c r="X60" s="253">
        <v>0.4651808205904997</v>
      </c>
      <c r="Y60" s="253">
        <v>0.47426627137228816</v>
      </c>
      <c r="Z60" s="253">
        <v>0.19878450453017366</v>
      </c>
      <c r="AA60" s="253">
        <v>0.41425742323476006</v>
      </c>
      <c r="AB60" s="253">
        <v>0.41610655312746814</v>
      </c>
      <c r="AC60" s="253">
        <v>0.30934562586637854</v>
      </c>
      <c r="AD60" s="253">
        <v>8.5317997819824622</v>
      </c>
      <c r="AE60" s="253">
        <v>14.874398465454078</v>
      </c>
      <c r="AF60" s="253">
        <v>5.1516372231572696</v>
      </c>
      <c r="AG60" s="253">
        <v>27.599273552890807</v>
      </c>
      <c r="AH60" s="213"/>
      <c r="AK60" s="10" t="s">
        <v>23</v>
      </c>
      <c r="AL60" s="10">
        <f t="shared" si="0"/>
        <v>0</v>
      </c>
      <c r="AM60" s="10">
        <f t="shared" si="1"/>
        <v>0</v>
      </c>
      <c r="AN60" s="10">
        <f t="shared" si="2"/>
        <v>0</v>
      </c>
      <c r="AO60" s="10" t="s">
        <v>24</v>
      </c>
      <c r="AP60" s="10">
        <f t="shared" si="3"/>
        <v>0</v>
      </c>
      <c r="AQ60" s="10" t="s">
        <v>11</v>
      </c>
      <c r="AR60" s="10">
        <f t="shared" si="4"/>
        <v>1</v>
      </c>
      <c r="AS60" s="10" t="s">
        <v>26</v>
      </c>
      <c r="AT60" s="10">
        <f t="shared" si="5"/>
        <v>1</v>
      </c>
      <c r="AU60" s="10">
        <f t="shared" si="6"/>
        <v>0</v>
      </c>
      <c r="AV60" s="11">
        <v>28.762515</v>
      </c>
      <c r="AW60" s="11">
        <v>87.636400000000009</v>
      </c>
      <c r="AX60" s="11">
        <v>19.408961999999999</v>
      </c>
      <c r="AY60" s="10">
        <v>105</v>
      </c>
      <c r="AZ60" t="s">
        <v>105</v>
      </c>
      <c r="BA60" s="17">
        <f t="shared" si="7"/>
        <v>0</v>
      </c>
      <c r="BB60" s="17">
        <f t="shared" si="8"/>
        <v>0</v>
      </c>
      <c r="BC60" s="17">
        <f t="shared" si="9"/>
        <v>1</v>
      </c>
      <c r="BG60" s="14">
        <v>0</v>
      </c>
      <c r="BH60" s="14">
        <v>0</v>
      </c>
      <c r="BI60" s="14">
        <v>0</v>
      </c>
      <c r="BJ60" s="14">
        <v>0</v>
      </c>
      <c r="BK60" s="14">
        <v>1</v>
      </c>
      <c r="BL60" s="14">
        <v>1</v>
      </c>
      <c r="BM60" s="14">
        <v>0</v>
      </c>
      <c r="BN60" s="14">
        <v>0</v>
      </c>
      <c r="BO60" s="14">
        <v>0</v>
      </c>
      <c r="BP60" s="14">
        <v>1</v>
      </c>
      <c r="BQ60" s="11">
        <v>28.762515</v>
      </c>
      <c r="BR60" s="11">
        <v>87.636400000000009</v>
      </c>
      <c r="BS60" s="11">
        <v>19.408961999999999</v>
      </c>
      <c r="BT60" s="10">
        <v>105</v>
      </c>
    </row>
    <row r="61" spans="1:72" ht="20.149999999999999" customHeight="1">
      <c r="B61" s="265" t="s">
        <v>114</v>
      </c>
      <c r="C61" s="151">
        <v>-2.481932529148154E-2</v>
      </c>
      <c r="D61" s="151">
        <v>-0.12017778562191019</v>
      </c>
      <c r="E61" s="151">
        <v>0.1678129992522415</v>
      </c>
      <c r="F61" s="151">
        <v>-3.4745409204160971E-2</v>
      </c>
      <c r="G61" s="151">
        <v>8.0988714291870129E-2</v>
      </c>
      <c r="H61" s="151">
        <v>-0.14849571733748937</v>
      </c>
      <c r="I61" s="151">
        <v>1</v>
      </c>
      <c r="J61" s="151"/>
      <c r="K61" s="151"/>
      <c r="L61" s="151"/>
      <c r="M61" s="151"/>
      <c r="N61" s="151"/>
      <c r="O61" s="151"/>
      <c r="P61" s="151"/>
      <c r="R61" s="79"/>
      <c r="S61" s="252" t="s">
        <v>189</v>
      </c>
      <c r="T61" s="253">
        <v>0.18904109589041093</v>
      </c>
      <c r="U61" s="253">
        <v>0.18904109589041093</v>
      </c>
      <c r="V61" s="253">
        <v>0.18767123287671234</v>
      </c>
      <c r="W61" s="253">
        <v>2.6719855486978777E-2</v>
      </c>
      <c r="X61" s="253">
        <v>0.21639319584525066</v>
      </c>
      <c r="Y61" s="253">
        <v>0.22492849616137287</v>
      </c>
      <c r="Z61" s="253">
        <v>3.9515279241306635E-2</v>
      </c>
      <c r="AA61" s="253">
        <v>0.17160921270510313</v>
      </c>
      <c r="AB61" s="253">
        <v>0.17314466355562244</v>
      </c>
      <c r="AC61" s="253">
        <v>9.5694716242661459E-2</v>
      </c>
      <c r="AD61" s="253">
        <v>72.791607519835992</v>
      </c>
      <c r="AE61" s="253">
        <v>221.24772970910263</v>
      </c>
      <c r="AF61" s="253">
        <v>26.53936607901954</v>
      </c>
      <c r="AG61" s="253">
        <v>761.71990064729789</v>
      </c>
      <c r="AH61" s="213"/>
      <c r="AK61" s="10" t="s">
        <v>29</v>
      </c>
      <c r="AL61" s="10">
        <f t="shared" si="0"/>
        <v>1</v>
      </c>
      <c r="AM61" s="10">
        <f t="shared" si="1"/>
        <v>0</v>
      </c>
      <c r="AN61" s="10">
        <f t="shared" si="2"/>
        <v>0</v>
      </c>
      <c r="AO61" s="10" t="s">
        <v>24</v>
      </c>
      <c r="AP61" s="10">
        <f t="shared" si="3"/>
        <v>0</v>
      </c>
      <c r="AQ61" s="10" t="s">
        <v>11</v>
      </c>
      <c r="AR61" s="10">
        <f t="shared" si="4"/>
        <v>1</v>
      </c>
      <c r="AS61" s="10" t="s">
        <v>27</v>
      </c>
      <c r="AT61" s="10">
        <f t="shared" si="5"/>
        <v>0</v>
      </c>
      <c r="AU61" s="10">
        <f t="shared" si="6"/>
        <v>0</v>
      </c>
      <c r="AV61" s="11">
        <v>29.550014999999998</v>
      </c>
      <c r="AW61" s="11">
        <v>53.5</v>
      </c>
      <c r="AX61" s="11">
        <v>14.500475</v>
      </c>
      <c r="AY61" s="10">
        <v>101</v>
      </c>
      <c r="AZ61" t="s">
        <v>105</v>
      </c>
      <c r="BA61" s="17">
        <f t="shared" si="7"/>
        <v>0</v>
      </c>
      <c r="BB61" s="17">
        <f t="shared" si="8"/>
        <v>0</v>
      </c>
      <c r="BC61" s="17">
        <f t="shared" si="9"/>
        <v>1</v>
      </c>
      <c r="BG61" s="14">
        <v>1</v>
      </c>
      <c r="BH61" s="14">
        <v>0</v>
      </c>
      <c r="BI61" s="14">
        <v>0</v>
      </c>
      <c r="BJ61" s="14">
        <v>0</v>
      </c>
      <c r="BK61" s="14">
        <v>1</v>
      </c>
      <c r="BL61" s="14">
        <v>0</v>
      </c>
      <c r="BM61" s="14">
        <v>0</v>
      </c>
      <c r="BN61" s="14">
        <v>0</v>
      </c>
      <c r="BO61" s="14">
        <v>0</v>
      </c>
      <c r="BP61" s="14">
        <v>1</v>
      </c>
      <c r="BQ61" s="11">
        <v>29.550014999999998</v>
      </c>
      <c r="BR61" s="11">
        <v>53.5</v>
      </c>
      <c r="BS61" s="11">
        <v>14.500475</v>
      </c>
      <c r="BT61" s="10">
        <v>101</v>
      </c>
    </row>
    <row r="62" spans="1:72" ht="20.149999999999999" customHeight="1">
      <c r="B62" s="265" t="s">
        <v>117</v>
      </c>
      <c r="C62" s="151">
        <v>-0.23129964409878495</v>
      </c>
      <c r="D62" s="151">
        <v>0.60760556914115293</v>
      </c>
      <c r="E62" s="151">
        <v>-9.1011512690113788E-2</v>
      </c>
      <c r="F62" s="151">
        <v>-7.7806600375683443E-3</v>
      </c>
      <c r="G62" s="151">
        <v>1.7185664471019234E-2</v>
      </c>
      <c r="H62" s="151">
        <v>-8.6389260982411342E-2</v>
      </c>
      <c r="I62" s="151">
        <v>-4.2958665606721409E-2</v>
      </c>
      <c r="J62" s="151">
        <v>1</v>
      </c>
      <c r="K62" s="151"/>
      <c r="L62" s="151"/>
      <c r="M62" s="151"/>
      <c r="N62" s="151"/>
      <c r="O62" s="151"/>
      <c r="P62" s="151"/>
      <c r="R62" s="79"/>
      <c r="S62" s="252" t="s">
        <v>190</v>
      </c>
      <c r="T62" s="253">
        <v>-0.68861589934678635</v>
      </c>
      <c r="U62" s="253">
        <v>-0.68861589934679168</v>
      </c>
      <c r="V62" s="253">
        <v>-0.64936207625757714</v>
      </c>
      <c r="W62" s="253">
        <v>31.980980995787075</v>
      </c>
      <c r="X62" s="253">
        <v>-1.3683665030185017</v>
      </c>
      <c r="Y62" s="253">
        <v>-1.5466411069180905</v>
      </c>
      <c r="Z62" s="253">
        <v>19.660880020699189</v>
      </c>
      <c r="AA62" s="253">
        <v>-0.14234730129278983</v>
      </c>
      <c r="AB62" s="253">
        <v>-0.19488184492442739</v>
      </c>
      <c r="AC62" s="253">
        <v>4.5571879555789394</v>
      </c>
      <c r="AD62" s="253">
        <v>-1.148247952523793</v>
      </c>
      <c r="AE62" s="253">
        <v>0.32126302627311354</v>
      </c>
      <c r="AF62" s="253">
        <v>0.43675332416521195</v>
      </c>
      <c r="AG62" s="253">
        <v>-1.0830316996600871</v>
      </c>
      <c r="AH62" s="213"/>
      <c r="AK62" s="10" t="s">
        <v>29</v>
      </c>
      <c r="AL62" s="10">
        <f t="shared" si="0"/>
        <v>1</v>
      </c>
      <c r="AM62" s="10">
        <f t="shared" si="1"/>
        <v>0</v>
      </c>
      <c r="AN62" s="10">
        <f t="shared" si="2"/>
        <v>0</v>
      </c>
      <c r="AO62" s="10" t="s">
        <v>24</v>
      </c>
      <c r="AP62" s="10">
        <f t="shared" si="3"/>
        <v>0</v>
      </c>
      <c r="AQ62" s="10" t="s">
        <v>11</v>
      </c>
      <c r="AR62" s="10">
        <f t="shared" si="4"/>
        <v>1</v>
      </c>
      <c r="AS62" s="10" t="s">
        <v>27</v>
      </c>
      <c r="AT62" s="10">
        <f t="shared" si="5"/>
        <v>0</v>
      </c>
      <c r="AU62" s="10">
        <f t="shared" si="6"/>
        <v>0</v>
      </c>
      <c r="AV62" s="11">
        <v>29.475000000000001</v>
      </c>
      <c r="AW62" s="11">
        <v>44.958300000000001</v>
      </c>
      <c r="AX62" s="11">
        <v>20.624811000000001</v>
      </c>
      <c r="AY62" s="10">
        <v>103</v>
      </c>
      <c r="AZ62" t="s">
        <v>105</v>
      </c>
      <c r="BA62" s="17">
        <f t="shared" si="7"/>
        <v>0</v>
      </c>
      <c r="BB62" s="17">
        <f t="shared" si="8"/>
        <v>0</v>
      </c>
      <c r="BC62" s="17">
        <f t="shared" si="9"/>
        <v>1</v>
      </c>
      <c r="BG62" s="14">
        <v>1</v>
      </c>
      <c r="BH62" s="14">
        <v>0</v>
      </c>
      <c r="BI62" s="14">
        <v>0</v>
      </c>
      <c r="BJ62" s="14">
        <v>0</v>
      </c>
      <c r="BK62" s="14">
        <v>1</v>
      </c>
      <c r="BL62" s="14">
        <v>0</v>
      </c>
      <c r="BM62" s="14">
        <v>0</v>
      </c>
      <c r="BN62" s="14">
        <v>0</v>
      </c>
      <c r="BO62" s="14">
        <v>0</v>
      </c>
      <c r="BP62" s="14">
        <v>1</v>
      </c>
      <c r="BQ62" s="11">
        <v>29.475000000000001</v>
      </c>
      <c r="BR62" s="11">
        <v>44.958300000000001</v>
      </c>
      <c r="BS62" s="11">
        <v>20.624811000000001</v>
      </c>
      <c r="BT62" s="10">
        <v>103</v>
      </c>
    </row>
    <row r="63" spans="1:72" ht="20.149999999999999" customHeight="1">
      <c r="B63" s="265" t="s">
        <v>118</v>
      </c>
      <c r="C63" s="151">
        <v>8.8614070579265004E-3</v>
      </c>
      <c r="D63" s="151">
        <v>8.8614070579265611E-3</v>
      </c>
      <c r="E63" s="151">
        <v>0.25612154597993275</v>
      </c>
      <c r="F63" s="151">
        <v>-8.8526670571085261E-3</v>
      </c>
      <c r="G63" s="151">
        <v>2.1581040469585408E-2</v>
      </c>
      <c r="H63" s="151">
        <v>9.0238880111046527E-2</v>
      </c>
      <c r="I63" s="151">
        <v>-4.4132690795301299E-2</v>
      </c>
      <c r="J63" s="151">
        <v>-0.28294752726883238</v>
      </c>
      <c r="K63" s="151">
        <v>1</v>
      </c>
      <c r="L63" s="151"/>
      <c r="M63" s="151"/>
      <c r="N63" s="151"/>
      <c r="O63" s="151"/>
      <c r="P63" s="151"/>
      <c r="R63" s="79"/>
      <c r="S63" s="252" t="s">
        <v>191</v>
      </c>
      <c r="T63" s="253">
        <v>1.1468162462188682</v>
      </c>
      <c r="U63" s="253">
        <v>1.1468162462188698</v>
      </c>
      <c r="V63" s="253">
        <v>1.1637122638355668</v>
      </c>
      <c r="W63" s="253">
        <v>5.8142729737354255</v>
      </c>
      <c r="X63" s="253">
        <v>-0.79947583817878309</v>
      </c>
      <c r="Y63" s="253">
        <v>0.6796056752131262</v>
      </c>
      <c r="Z63" s="253">
        <v>4.6425400005664086</v>
      </c>
      <c r="AA63" s="253">
        <v>1.3632544894457632</v>
      </c>
      <c r="AB63" s="253">
        <v>1.343955402611575</v>
      </c>
      <c r="AC63" s="253">
        <v>2.5558260492648603</v>
      </c>
      <c r="AD63" s="253">
        <v>-5.7613621843112701E-2</v>
      </c>
      <c r="AE63" s="253">
        <v>-0.21818614244285289</v>
      </c>
      <c r="AF63" s="253">
        <v>0.5212740241172471</v>
      </c>
      <c r="AG63" s="253">
        <v>-0.36188671845723069</v>
      </c>
      <c r="AH63" s="213"/>
      <c r="AK63" s="10" t="s">
        <v>29</v>
      </c>
      <c r="AL63" s="10">
        <f t="shared" si="0"/>
        <v>1</v>
      </c>
      <c r="AM63" s="10">
        <f t="shared" si="1"/>
        <v>0</v>
      </c>
      <c r="AN63" s="10">
        <f t="shared" si="2"/>
        <v>0</v>
      </c>
      <c r="AO63" s="10" t="s">
        <v>24</v>
      </c>
      <c r="AP63" s="10">
        <f t="shared" si="3"/>
        <v>0</v>
      </c>
      <c r="AQ63" s="10" t="s">
        <v>11</v>
      </c>
      <c r="AR63" s="10">
        <f t="shared" si="4"/>
        <v>1</v>
      </c>
      <c r="AS63" s="10" t="s">
        <v>27</v>
      </c>
      <c r="AT63" s="10">
        <f t="shared" si="5"/>
        <v>0</v>
      </c>
      <c r="AU63" s="10">
        <f t="shared" si="6"/>
        <v>0</v>
      </c>
      <c r="AV63" s="11">
        <v>28.949985000000002</v>
      </c>
      <c r="AW63" s="11">
        <v>31.833299999999998</v>
      </c>
      <c r="AX63" s="11">
        <v>15.125518000000001</v>
      </c>
      <c r="AY63" s="10">
        <v>95</v>
      </c>
      <c r="AZ63" t="s">
        <v>104</v>
      </c>
      <c r="BA63" s="17">
        <f t="shared" si="7"/>
        <v>0</v>
      </c>
      <c r="BB63" s="17">
        <f t="shared" si="8"/>
        <v>0</v>
      </c>
      <c r="BC63" s="17">
        <f t="shared" si="9"/>
        <v>0</v>
      </c>
      <c r="BG63" s="14">
        <v>1</v>
      </c>
      <c r="BH63" s="14">
        <v>0</v>
      </c>
      <c r="BI63" s="14">
        <v>0</v>
      </c>
      <c r="BJ63" s="14">
        <v>0</v>
      </c>
      <c r="BK63" s="14">
        <v>1</v>
      </c>
      <c r="BL63" s="14">
        <v>0</v>
      </c>
      <c r="BM63" s="14">
        <v>0</v>
      </c>
      <c r="BN63" s="14">
        <v>0</v>
      </c>
      <c r="BO63" s="14">
        <v>0</v>
      </c>
      <c r="BP63" s="14">
        <v>0</v>
      </c>
      <c r="BQ63" s="11">
        <v>28.949985000000002</v>
      </c>
      <c r="BR63" s="11">
        <v>31.833299999999998</v>
      </c>
      <c r="BS63" s="11">
        <v>15.125518000000001</v>
      </c>
      <c r="BT63" s="10">
        <v>95</v>
      </c>
    </row>
    <row r="64" spans="1:72" ht="20.149999999999999" customHeight="1">
      <c r="B64" s="265" t="s">
        <v>116</v>
      </c>
      <c r="C64" s="151">
        <v>6.4746607559954719E-2</v>
      </c>
      <c r="D64" s="151">
        <v>-0.20078723243311888</v>
      </c>
      <c r="E64" s="151">
        <v>-0.13782800731595507</v>
      </c>
      <c r="F64" s="151">
        <v>5.0608520002206968E-2</v>
      </c>
      <c r="G64" s="151">
        <v>-8.9963929973829806E-2</v>
      </c>
      <c r="H64" s="151">
        <v>-2.3393994057269388E-2</v>
      </c>
      <c r="I64" s="151">
        <v>6.2423687652623384E-2</v>
      </c>
      <c r="J64" s="151">
        <v>-0.18325087919886057</v>
      </c>
      <c r="K64" s="151">
        <v>-0.18471698993324709</v>
      </c>
      <c r="L64" s="151">
        <v>1</v>
      </c>
      <c r="M64" s="151"/>
      <c r="N64" s="151"/>
      <c r="O64" s="151"/>
      <c r="P64" s="151"/>
      <c r="R64" s="79"/>
      <c r="S64" s="252" t="s">
        <v>192</v>
      </c>
      <c r="T64" s="253">
        <v>1</v>
      </c>
      <c r="U64" s="253">
        <v>1</v>
      </c>
      <c r="V64" s="253">
        <v>1</v>
      </c>
      <c r="W64" s="253">
        <v>1</v>
      </c>
      <c r="X64" s="253">
        <v>1</v>
      </c>
      <c r="Y64" s="253">
        <v>1</v>
      </c>
      <c r="Z64" s="253">
        <v>1</v>
      </c>
      <c r="AA64" s="253">
        <v>1</v>
      </c>
      <c r="AB64" s="253">
        <v>1</v>
      </c>
      <c r="AC64" s="253">
        <v>1</v>
      </c>
      <c r="AD64" s="253">
        <v>35.551647000000003</v>
      </c>
      <c r="AE64" s="253">
        <v>97.25</v>
      </c>
      <c r="AF64" s="253">
        <v>32.499777099999996</v>
      </c>
      <c r="AG64" s="253">
        <v>113</v>
      </c>
      <c r="AH64" s="213"/>
      <c r="AK64" s="10" t="s">
        <v>29</v>
      </c>
      <c r="AL64" s="10">
        <f t="shared" si="0"/>
        <v>1</v>
      </c>
      <c r="AM64" s="10">
        <f t="shared" si="1"/>
        <v>0</v>
      </c>
      <c r="AN64" s="10">
        <f t="shared" si="2"/>
        <v>0</v>
      </c>
      <c r="AO64" s="10" t="s">
        <v>24</v>
      </c>
      <c r="AP64" s="10">
        <f t="shared" si="3"/>
        <v>0</v>
      </c>
      <c r="AQ64" s="10" t="s">
        <v>11</v>
      </c>
      <c r="AR64" s="10">
        <f t="shared" si="4"/>
        <v>1</v>
      </c>
      <c r="AS64" s="10" t="s">
        <v>26</v>
      </c>
      <c r="AT64" s="10">
        <f t="shared" si="5"/>
        <v>1</v>
      </c>
      <c r="AU64" s="10">
        <f t="shared" si="6"/>
        <v>0</v>
      </c>
      <c r="AV64" s="11">
        <v>30.112514999999998</v>
      </c>
      <c r="AW64" s="11">
        <v>61.041699999999999</v>
      </c>
      <c r="AX64" s="11">
        <v>13.624181999999999</v>
      </c>
      <c r="AY64" s="10">
        <v>90</v>
      </c>
      <c r="AZ64" t="s">
        <v>104</v>
      </c>
      <c r="BA64" s="17">
        <f t="shared" si="7"/>
        <v>0</v>
      </c>
      <c r="BB64" s="17">
        <f t="shared" si="8"/>
        <v>0</v>
      </c>
      <c r="BC64" s="17">
        <f t="shared" si="9"/>
        <v>0</v>
      </c>
      <c r="BG64" s="14">
        <v>1</v>
      </c>
      <c r="BH64" s="14">
        <v>0</v>
      </c>
      <c r="BI64" s="14">
        <v>0</v>
      </c>
      <c r="BJ64" s="14">
        <v>0</v>
      </c>
      <c r="BK64" s="14">
        <v>1</v>
      </c>
      <c r="BL64" s="14">
        <v>1</v>
      </c>
      <c r="BM64" s="14">
        <v>0</v>
      </c>
      <c r="BN64" s="14">
        <v>0</v>
      </c>
      <c r="BO64" s="14">
        <v>0</v>
      </c>
      <c r="BP64" s="14">
        <v>0</v>
      </c>
      <c r="BQ64" s="11">
        <v>30.112514999999998</v>
      </c>
      <c r="BR64" s="11">
        <v>61.041699999999999</v>
      </c>
      <c r="BS64" s="11">
        <v>13.624181999999999</v>
      </c>
      <c r="BT64" s="10">
        <v>90</v>
      </c>
    </row>
    <row r="65" spans="2:72" ht="20.149999999999999" customHeight="1">
      <c r="B65" s="265" t="s">
        <v>15</v>
      </c>
      <c r="C65" s="151">
        <v>3.030976023483303E-2</v>
      </c>
      <c r="D65" s="151">
        <v>-0.66822806971523163</v>
      </c>
      <c r="E65" s="151">
        <v>-6.0625553101468256E-2</v>
      </c>
      <c r="F65" s="151">
        <v>4.1923554843044789E-2</v>
      </c>
      <c r="G65" s="151">
        <v>-8.5919489083010857E-3</v>
      </c>
      <c r="H65" s="151">
        <v>8.5147215382293417E-2</v>
      </c>
      <c r="I65" s="151">
        <v>7.1978600388529698E-2</v>
      </c>
      <c r="J65" s="151">
        <v>-0.61608841340308618</v>
      </c>
      <c r="K65" s="151">
        <v>-0.22641395493994254</v>
      </c>
      <c r="L65" s="151">
        <v>0.28682644839520627</v>
      </c>
      <c r="M65" s="151">
        <v>1</v>
      </c>
      <c r="N65" s="151"/>
      <c r="O65" s="151"/>
      <c r="P65" s="151"/>
      <c r="R65" s="79"/>
      <c r="S65" s="252" t="s">
        <v>193</v>
      </c>
      <c r="T65" s="253">
        <v>0</v>
      </c>
      <c r="U65" s="253">
        <v>0</v>
      </c>
      <c r="V65" s="253">
        <v>0</v>
      </c>
      <c r="W65" s="253">
        <v>0</v>
      </c>
      <c r="X65" s="253">
        <v>0</v>
      </c>
      <c r="Y65" s="253">
        <v>0</v>
      </c>
      <c r="Z65" s="253">
        <v>0</v>
      </c>
      <c r="AA65" s="253">
        <v>0</v>
      </c>
      <c r="AB65" s="253">
        <v>0</v>
      </c>
      <c r="AC65" s="253">
        <v>0</v>
      </c>
      <c r="AD65" s="253">
        <v>2.6608679999999998</v>
      </c>
      <c r="AE65" s="253">
        <v>0</v>
      </c>
      <c r="AF65" s="253">
        <v>1.5002439000000001</v>
      </c>
      <c r="AG65" s="253">
        <v>8</v>
      </c>
      <c r="AH65" s="213"/>
      <c r="AK65" s="10" t="s">
        <v>29</v>
      </c>
      <c r="AL65" s="10">
        <f t="shared" si="0"/>
        <v>1</v>
      </c>
      <c r="AM65" s="10">
        <f t="shared" si="1"/>
        <v>0</v>
      </c>
      <c r="AN65" s="10">
        <f t="shared" si="2"/>
        <v>0</v>
      </c>
      <c r="AO65" s="10" t="s">
        <v>24</v>
      </c>
      <c r="AP65" s="10">
        <f t="shared" si="3"/>
        <v>0</v>
      </c>
      <c r="AQ65" s="10" t="s">
        <v>25</v>
      </c>
      <c r="AR65" s="10">
        <f t="shared" si="4"/>
        <v>0</v>
      </c>
      <c r="AS65" s="10" t="s">
        <v>26</v>
      </c>
      <c r="AT65" s="10">
        <f t="shared" si="5"/>
        <v>1</v>
      </c>
      <c r="AU65" s="10">
        <f t="shared" si="6"/>
        <v>0</v>
      </c>
      <c r="AV65" s="11">
        <v>31.912514999999999</v>
      </c>
      <c r="AW65" s="11">
        <v>78.916699999999992</v>
      </c>
      <c r="AX65" s="11">
        <v>16.875357000000001</v>
      </c>
      <c r="AY65" s="10">
        <v>98</v>
      </c>
      <c r="AZ65" t="s">
        <v>104</v>
      </c>
      <c r="BA65" s="17">
        <f t="shared" si="7"/>
        <v>0</v>
      </c>
      <c r="BB65" s="17">
        <f t="shared" si="8"/>
        <v>0</v>
      </c>
      <c r="BC65" s="17">
        <f t="shared" si="9"/>
        <v>0</v>
      </c>
      <c r="BG65" s="14">
        <v>1</v>
      </c>
      <c r="BH65" s="14">
        <v>0</v>
      </c>
      <c r="BI65" s="14">
        <v>0</v>
      </c>
      <c r="BJ65" s="14">
        <v>0</v>
      </c>
      <c r="BK65" s="14">
        <v>0</v>
      </c>
      <c r="BL65" s="14">
        <v>1</v>
      </c>
      <c r="BM65" s="14">
        <v>0</v>
      </c>
      <c r="BN65" s="14">
        <v>0</v>
      </c>
      <c r="BO65" s="14">
        <v>0</v>
      </c>
      <c r="BP65" s="14">
        <v>0</v>
      </c>
      <c r="BQ65" s="11">
        <v>31.912514999999999</v>
      </c>
      <c r="BR65" s="11">
        <v>78.916699999999992</v>
      </c>
      <c r="BS65" s="11">
        <v>16.875357000000001</v>
      </c>
      <c r="BT65" s="10">
        <v>98</v>
      </c>
    </row>
    <row r="66" spans="2:72" ht="20.149999999999999" customHeight="1">
      <c r="B66" s="265" t="s">
        <v>0</v>
      </c>
      <c r="C66" s="151">
        <v>2.5379834230120277E-2</v>
      </c>
      <c r="D66" s="151">
        <v>-0.15752783653486163</v>
      </c>
      <c r="E66" s="151">
        <v>0.30347372279824913</v>
      </c>
      <c r="F66" s="151">
        <v>-3.0896100960646239E-2</v>
      </c>
      <c r="G66" s="151">
        <v>3.4249681281617768E-2</v>
      </c>
      <c r="H66" s="151">
        <v>0.4546391231538654</v>
      </c>
      <c r="I66" s="151">
        <v>0.29400162421126386</v>
      </c>
      <c r="J66" s="151">
        <v>-9.5572600489658641E-3</v>
      </c>
      <c r="K66" s="151">
        <v>0.20493196948047895</v>
      </c>
      <c r="L66" s="151">
        <v>-3.5386442411438429E-2</v>
      </c>
      <c r="M66" s="151">
        <v>-7.6140044747733018E-2</v>
      </c>
      <c r="N66" s="151">
        <v>1</v>
      </c>
      <c r="O66" s="151"/>
      <c r="P66" s="151"/>
      <c r="R66" s="79"/>
      <c r="S66" s="252" t="s">
        <v>194</v>
      </c>
      <c r="T66" s="253">
        <v>1</v>
      </c>
      <c r="U66" s="253">
        <v>1</v>
      </c>
      <c r="V66" s="253">
        <v>1</v>
      </c>
      <c r="W66" s="253">
        <v>1</v>
      </c>
      <c r="X66" s="253">
        <v>1</v>
      </c>
      <c r="Y66" s="253">
        <v>1</v>
      </c>
      <c r="Z66" s="253">
        <v>1</v>
      </c>
      <c r="AA66" s="253">
        <v>1</v>
      </c>
      <c r="AB66" s="253">
        <v>1</v>
      </c>
      <c r="AC66" s="253">
        <v>1</v>
      </c>
      <c r="AD66" s="253">
        <v>38.212515000000003</v>
      </c>
      <c r="AE66" s="253">
        <v>97.25</v>
      </c>
      <c r="AF66" s="253">
        <v>34.000020999999997</v>
      </c>
      <c r="AG66" s="253">
        <v>121</v>
      </c>
      <c r="AH66" s="213"/>
      <c r="AK66" s="10" t="s">
        <v>29</v>
      </c>
      <c r="AL66" s="10">
        <f t="shared" si="0"/>
        <v>1</v>
      </c>
      <c r="AM66" s="10">
        <f t="shared" si="1"/>
        <v>0</v>
      </c>
      <c r="AN66" s="10">
        <f t="shared" si="2"/>
        <v>0</v>
      </c>
      <c r="AO66" s="10" t="s">
        <v>24</v>
      </c>
      <c r="AP66" s="10">
        <f t="shared" si="3"/>
        <v>0</v>
      </c>
      <c r="AQ66" s="10" t="s">
        <v>25</v>
      </c>
      <c r="AR66" s="10">
        <f t="shared" si="4"/>
        <v>0</v>
      </c>
      <c r="AS66" s="10" t="s">
        <v>26</v>
      </c>
      <c r="AT66" s="10">
        <f t="shared" si="5"/>
        <v>1</v>
      </c>
      <c r="AU66" s="10">
        <f t="shared" si="6"/>
        <v>0</v>
      </c>
      <c r="AV66" s="11">
        <v>30.299985</v>
      </c>
      <c r="AW66" s="11">
        <v>94.826099999999997</v>
      </c>
      <c r="AX66" s="11">
        <v>23.000229000000001</v>
      </c>
      <c r="AY66" s="10">
        <v>67</v>
      </c>
      <c r="AZ66" t="s">
        <v>106</v>
      </c>
      <c r="BA66" s="17">
        <f t="shared" si="7"/>
        <v>0</v>
      </c>
      <c r="BB66" s="17">
        <f t="shared" si="8"/>
        <v>1</v>
      </c>
      <c r="BC66" s="17">
        <f t="shared" si="9"/>
        <v>0</v>
      </c>
      <c r="BG66" s="14">
        <v>1</v>
      </c>
      <c r="BH66" s="14">
        <v>0</v>
      </c>
      <c r="BI66" s="14">
        <v>0</v>
      </c>
      <c r="BJ66" s="14">
        <v>0</v>
      </c>
      <c r="BK66" s="14">
        <v>0</v>
      </c>
      <c r="BL66" s="14">
        <v>1</v>
      </c>
      <c r="BM66" s="14">
        <v>0</v>
      </c>
      <c r="BN66" s="14">
        <v>0</v>
      </c>
      <c r="BO66" s="14">
        <v>1</v>
      </c>
      <c r="BP66" s="14">
        <v>0</v>
      </c>
      <c r="BQ66" s="11">
        <v>30.299985</v>
      </c>
      <c r="BR66" s="11">
        <v>94.826099999999997</v>
      </c>
      <c r="BS66" s="11">
        <v>23.000229000000001</v>
      </c>
      <c r="BT66" s="10">
        <v>67</v>
      </c>
    </row>
    <row r="67" spans="2:72" ht="20.149999999999999" customHeight="1">
      <c r="B67" s="265" t="s">
        <v>18</v>
      </c>
      <c r="C67" s="151">
        <v>0.20886045840257642</v>
      </c>
      <c r="D67" s="151">
        <v>-8.4572805554113631E-2</v>
      </c>
      <c r="E67" s="151">
        <v>-0.16110353178452005</v>
      </c>
      <c r="F67" s="151">
        <v>7.3444131527142286E-4</v>
      </c>
      <c r="G67" s="151">
        <v>1.1954931835995409E-2</v>
      </c>
      <c r="H67" s="151">
        <v>3.9562936612954902E-2</v>
      </c>
      <c r="I67" s="151">
        <v>0.11002739535146759</v>
      </c>
      <c r="J67" s="151">
        <v>-6.8406555890714607E-2</v>
      </c>
      <c r="K67" s="151">
        <v>-0.1121629874564854</v>
      </c>
      <c r="L67" s="151">
        <v>9.4198212813985799E-2</v>
      </c>
      <c r="M67" s="151">
        <v>0.12612719318636412</v>
      </c>
      <c r="N67" s="151">
        <v>-0.21571802302764689</v>
      </c>
      <c r="O67" s="151">
        <v>1</v>
      </c>
      <c r="P67" s="151"/>
      <c r="R67" s="79"/>
      <c r="S67" s="252" t="s">
        <v>195</v>
      </c>
      <c r="T67" s="253">
        <v>92</v>
      </c>
      <c r="U67" s="253">
        <v>92</v>
      </c>
      <c r="V67" s="253">
        <v>91</v>
      </c>
      <c r="W67" s="253">
        <v>10</v>
      </c>
      <c r="X67" s="253">
        <v>250</v>
      </c>
      <c r="Y67" s="253">
        <v>124</v>
      </c>
      <c r="Z67" s="253">
        <v>15</v>
      </c>
      <c r="AA67" s="253">
        <v>80</v>
      </c>
      <c r="AB67" s="253">
        <v>81</v>
      </c>
      <c r="AC67" s="253">
        <v>39</v>
      </c>
      <c r="AD67" s="253">
        <v>7993.4717879999971</v>
      </c>
      <c r="AE67" s="253">
        <v>23493.763999999996</v>
      </c>
      <c r="AF67" s="253">
        <v>4680.7514338999972</v>
      </c>
      <c r="AG67" s="253">
        <v>24858</v>
      </c>
      <c r="AH67" s="213"/>
      <c r="AK67" s="10" t="s">
        <v>29</v>
      </c>
      <c r="AL67" s="10">
        <f t="shared" ref="AL67:AL130" si="10">IF(AK67="autumn",1,0)</f>
        <v>1</v>
      </c>
      <c r="AM67" s="10">
        <f t="shared" ref="AM67:AM130" si="11">IF(AK67="winter",1,0)</f>
        <v>0</v>
      </c>
      <c r="AN67" s="10">
        <f t="shared" ref="AN67:AN130" si="12">IF(AK67="spring",1,0)</f>
        <v>0</v>
      </c>
      <c r="AO67" s="10" t="s">
        <v>24</v>
      </c>
      <c r="AP67" s="10">
        <f t="shared" ref="AP67:AP130" si="13">IF(AO67="holiday",1,0)</f>
        <v>0</v>
      </c>
      <c r="AQ67" s="10" t="s">
        <v>11</v>
      </c>
      <c r="AR67" s="10">
        <f t="shared" ref="AR67:AR130" si="14">IF(AQ67="workingday",1,0)</f>
        <v>1</v>
      </c>
      <c r="AS67" s="10" t="s">
        <v>27</v>
      </c>
      <c r="AT67" s="10">
        <f t="shared" ref="AT67:AT130" si="15">IF(AS67="cloudy",1,0)</f>
        <v>0</v>
      </c>
      <c r="AU67" s="10">
        <f t="shared" ref="AU67:AU130" si="16">IF(AS67="rain",1,0)</f>
        <v>0</v>
      </c>
      <c r="AV67" s="11">
        <v>24.3</v>
      </c>
      <c r="AW67" s="11">
        <v>55.130400000000002</v>
      </c>
      <c r="AX67" s="11">
        <v>22.870584000000001</v>
      </c>
      <c r="AY67" s="10">
        <v>54</v>
      </c>
      <c r="AZ67" t="s">
        <v>106</v>
      </c>
      <c r="BA67" s="17">
        <f t="shared" ref="BA67:BA130" si="17">IF(AZ67="queit",1,0)</f>
        <v>0</v>
      </c>
      <c r="BB67" s="17">
        <f t="shared" ref="BB67:BB130" si="18">IF(AZ67="Modest",1,0)</f>
        <v>1</v>
      </c>
      <c r="BC67" s="17">
        <f t="shared" ref="BC67:BC130" si="19">IF(AZ67="busy",1,0)</f>
        <v>0</v>
      </c>
      <c r="BG67" s="14">
        <v>1</v>
      </c>
      <c r="BH67" s="14">
        <v>0</v>
      </c>
      <c r="BI67" s="14">
        <v>0</v>
      </c>
      <c r="BJ67" s="14">
        <v>0</v>
      </c>
      <c r="BK67" s="14">
        <v>1</v>
      </c>
      <c r="BL67" s="14">
        <v>0</v>
      </c>
      <c r="BM67" s="14">
        <v>0</v>
      </c>
      <c r="BN67" s="14">
        <v>0</v>
      </c>
      <c r="BO67" s="14">
        <v>1</v>
      </c>
      <c r="BP67" s="14">
        <v>0</v>
      </c>
      <c r="BQ67" s="11">
        <v>24.3</v>
      </c>
      <c r="BR67" s="11">
        <v>55.130400000000002</v>
      </c>
      <c r="BS67" s="11">
        <v>22.870584000000001</v>
      </c>
      <c r="BT67" s="10">
        <v>54</v>
      </c>
    </row>
    <row r="68" spans="2:72" ht="20.149999999999999" customHeight="1">
      <c r="B68" s="265" t="s">
        <v>39</v>
      </c>
      <c r="C68" s="151">
        <v>0.20568526972681572</v>
      </c>
      <c r="D68" s="151">
        <v>-0.62079036382101371</v>
      </c>
      <c r="E68" s="151">
        <v>-7.0879498850865336E-2</v>
      </c>
      <c r="F68" s="151">
        <v>5.5389715194662195E-2</v>
      </c>
      <c r="G68" s="167">
        <v>-4.4728298517098961E-2</v>
      </c>
      <c r="H68" s="151">
        <v>5.6687576587851327E-2</v>
      </c>
      <c r="I68" s="151">
        <v>5.0794962073566777E-2</v>
      </c>
      <c r="J68" s="151">
        <v>-0.77644699380221727</v>
      </c>
      <c r="K68" s="151">
        <v>-0.27377055438193881</v>
      </c>
      <c r="L68" s="151">
        <v>0.47042073201293766</v>
      </c>
      <c r="M68" s="151">
        <v>0.77147061194873179</v>
      </c>
      <c r="N68" s="151">
        <v>-8.0936497499485893E-2</v>
      </c>
      <c r="O68" s="151">
        <v>0.13701667243930643</v>
      </c>
      <c r="P68" s="151">
        <v>1</v>
      </c>
      <c r="R68" s="80"/>
      <c r="S68" s="252" t="s">
        <v>196</v>
      </c>
      <c r="T68" s="253">
        <v>365</v>
      </c>
      <c r="U68" s="253">
        <v>365</v>
      </c>
      <c r="V68" s="253">
        <v>365</v>
      </c>
      <c r="W68" s="253">
        <v>365</v>
      </c>
      <c r="X68" s="253">
        <v>365</v>
      </c>
      <c r="Y68" s="253">
        <v>365</v>
      </c>
      <c r="Z68" s="253">
        <v>365</v>
      </c>
      <c r="AA68" s="253">
        <v>365</v>
      </c>
      <c r="AB68" s="253">
        <v>365</v>
      </c>
      <c r="AC68" s="253">
        <v>365</v>
      </c>
      <c r="AD68" s="253">
        <v>365</v>
      </c>
      <c r="AE68" s="253">
        <v>365</v>
      </c>
      <c r="AF68" s="253">
        <v>365</v>
      </c>
      <c r="AG68" s="253">
        <v>365</v>
      </c>
      <c r="AH68" s="213"/>
      <c r="AK68" s="10" t="s">
        <v>29</v>
      </c>
      <c r="AL68" s="10">
        <f t="shared" si="10"/>
        <v>1</v>
      </c>
      <c r="AM68" s="10">
        <f t="shared" si="11"/>
        <v>0</v>
      </c>
      <c r="AN68" s="10">
        <f t="shared" si="12"/>
        <v>0</v>
      </c>
      <c r="AO68" s="10" t="s">
        <v>24</v>
      </c>
      <c r="AP68" s="10">
        <f t="shared" si="13"/>
        <v>0</v>
      </c>
      <c r="AQ68" s="10" t="s">
        <v>11</v>
      </c>
      <c r="AR68" s="10">
        <f t="shared" si="14"/>
        <v>1</v>
      </c>
      <c r="AS68" s="10" t="s">
        <v>27</v>
      </c>
      <c r="AT68" s="10">
        <f t="shared" si="15"/>
        <v>0</v>
      </c>
      <c r="AU68" s="10">
        <f t="shared" si="16"/>
        <v>0</v>
      </c>
      <c r="AV68" s="11">
        <v>26.962515</v>
      </c>
      <c r="AW68" s="11">
        <v>42.083300000000001</v>
      </c>
      <c r="AX68" s="11">
        <v>8.0835499999999989</v>
      </c>
      <c r="AY68" s="10">
        <v>40</v>
      </c>
      <c r="AZ68" t="s">
        <v>106</v>
      </c>
      <c r="BA68" s="17">
        <f t="shared" si="17"/>
        <v>0</v>
      </c>
      <c r="BB68" s="17">
        <f t="shared" si="18"/>
        <v>1</v>
      </c>
      <c r="BC68" s="17">
        <f t="shared" si="19"/>
        <v>0</v>
      </c>
      <c r="BG68" s="14">
        <v>1</v>
      </c>
      <c r="BH68" s="14">
        <v>0</v>
      </c>
      <c r="BI68" s="14">
        <v>0</v>
      </c>
      <c r="BJ68" s="14">
        <v>0</v>
      </c>
      <c r="BK68" s="14">
        <v>1</v>
      </c>
      <c r="BL68" s="14">
        <v>0</v>
      </c>
      <c r="BM68" s="14">
        <v>0</v>
      </c>
      <c r="BN68" s="14">
        <v>0</v>
      </c>
      <c r="BO68" s="14">
        <v>1</v>
      </c>
      <c r="BP68" s="14">
        <v>0</v>
      </c>
      <c r="BQ68" s="11">
        <v>26.962515</v>
      </c>
      <c r="BR68" s="11">
        <v>42.083300000000001</v>
      </c>
      <c r="BS68" s="11">
        <v>8.0835499999999989</v>
      </c>
      <c r="BT68" s="10">
        <v>40</v>
      </c>
    </row>
    <row r="69" spans="2:72" ht="20.149999999999999" customHeight="1">
      <c r="B69" s="78"/>
      <c r="R69" s="80"/>
      <c r="AH69" s="213"/>
      <c r="AK69" s="10" t="s">
        <v>29</v>
      </c>
      <c r="AL69" s="10">
        <f t="shared" si="10"/>
        <v>1</v>
      </c>
      <c r="AM69" s="10">
        <f t="shared" si="11"/>
        <v>0</v>
      </c>
      <c r="AN69" s="10">
        <f t="shared" si="12"/>
        <v>0</v>
      </c>
      <c r="AO69" s="10" t="s">
        <v>24</v>
      </c>
      <c r="AP69" s="10">
        <f t="shared" si="13"/>
        <v>0</v>
      </c>
      <c r="AQ69" s="10" t="s">
        <v>11</v>
      </c>
      <c r="AR69" s="10">
        <f t="shared" si="14"/>
        <v>1</v>
      </c>
      <c r="AS69" s="10" t="s">
        <v>26</v>
      </c>
      <c r="AT69" s="10">
        <f t="shared" si="15"/>
        <v>1</v>
      </c>
      <c r="AU69" s="10">
        <f t="shared" si="16"/>
        <v>0</v>
      </c>
      <c r="AV69" s="11">
        <v>28.526084999999998</v>
      </c>
      <c r="AW69" s="11">
        <v>77.541700000000006</v>
      </c>
      <c r="AX69" s="11">
        <v>14.750050000000002</v>
      </c>
      <c r="AY69" s="10">
        <v>37</v>
      </c>
      <c r="AZ69" t="s">
        <v>107</v>
      </c>
      <c r="BA69" s="17">
        <f t="shared" si="17"/>
        <v>1</v>
      </c>
      <c r="BB69" s="17">
        <f t="shared" si="18"/>
        <v>0</v>
      </c>
      <c r="BC69" s="17">
        <f t="shared" si="19"/>
        <v>0</v>
      </c>
      <c r="BG69" s="14">
        <v>1</v>
      </c>
      <c r="BH69" s="14">
        <v>0</v>
      </c>
      <c r="BI69" s="14">
        <v>0</v>
      </c>
      <c r="BJ69" s="14">
        <v>0</v>
      </c>
      <c r="BK69" s="14">
        <v>1</v>
      </c>
      <c r="BL69" s="14">
        <v>1</v>
      </c>
      <c r="BM69" s="14">
        <v>0</v>
      </c>
      <c r="BN69" s="14">
        <v>1</v>
      </c>
      <c r="BO69" s="14">
        <v>0</v>
      </c>
      <c r="BP69" s="14">
        <v>0</v>
      </c>
      <c r="BQ69" s="11">
        <v>28.526084999999998</v>
      </c>
      <c r="BR69" s="11">
        <v>77.541700000000006</v>
      </c>
      <c r="BS69" s="11">
        <v>14.750050000000002</v>
      </c>
      <c r="BT69" s="10">
        <v>37</v>
      </c>
    </row>
    <row r="70" spans="2:72" ht="20.149999999999999" customHeight="1">
      <c r="B70" s="266" t="s">
        <v>248</v>
      </c>
      <c r="R70" s="80"/>
      <c r="S70" s="254" t="s">
        <v>242</v>
      </c>
      <c r="AH70" s="213"/>
      <c r="AK70" s="10" t="s">
        <v>29</v>
      </c>
      <c r="AL70" s="10">
        <f t="shared" si="10"/>
        <v>1</v>
      </c>
      <c r="AM70" s="10">
        <f t="shared" si="11"/>
        <v>0</v>
      </c>
      <c r="AN70" s="10">
        <f t="shared" si="12"/>
        <v>0</v>
      </c>
      <c r="AO70" s="10" t="s">
        <v>24</v>
      </c>
      <c r="AP70" s="10">
        <f t="shared" si="13"/>
        <v>0</v>
      </c>
      <c r="AQ70" s="10" t="s">
        <v>11</v>
      </c>
      <c r="AR70" s="10">
        <f t="shared" si="14"/>
        <v>1</v>
      </c>
      <c r="AS70" s="10" t="s">
        <v>28</v>
      </c>
      <c r="AT70" s="10">
        <f t="shared" si="15"/>
        <v>0</v>
      </c>
      <c r="AU70" s="10">
        <f t="shared" si="16"/>
        <v>1</v>
      </c>
      <c r="AV70" s="11">
        <v>29.25</v>
      </c>
      <c r="AW70" s="11">
        <v>0</v>
      </c>
      <c r="AX70" s="11">
        <v>17.545759</v>
      </c>
      <c r="AY70" s="10">
        <v>71</v>
      </c>
      <c r="AZ70" t="s">
        <v>104</v>
      </c>
      <c r="BA70" s="17">
        <f t="shared" si="17"/>
        <v>0</v>
      </c>
      <c r="BB70" s="17">
        <f t="shared" si="18"/>
        <v>0</v>
      </c>
      <c r="BC70" s="17">
        <f t="shared" si="19"/>
        <v>0</v>
      </c>
      <c r="BG70" s="14">
        <v>1</v>
      </c>
      <c r="BH70" s="14">
        <v>0</v>
      </c>
      <c r="BI70" s="14">
        <v>0</v>
      </c>
      <c r="BJ70" s="14">
        <v>0</v>
      </c>
      <c r="BK70" s="14">
        <v>1</v>
      </c>
      <c r="BL70" s="14">
        <v>0</v>
      </c>
      <c r="BM70" s="14">
        <v>1</v>
      </c>
      <c r="BN70" s="14">
        <v>0</v>
      </c>
      <c r="BO70" s="14">
        <v>0</v>
      </c>
      <c r="BP70" s="14">
        <v>0</v>
      </c>
      <c r="BQ70" s="11">
        <v>29.25</v>
      </c>
      <c r="BR70" s="11">
        <v>0</v>
      </c>
      <c r="BS70" s="11">
        <v>17.545759</v>
      </c>
      <c r="BT70" s="10">
        <v>71</v>
      </c>
    </row>
    <row r="71" spans="2:72" ht="20.149999999999999" customHeight="1">
      <c r="B71" s="267" t="s">
        <v>249</v>
      </c>
      <c r="R71" s="80"/>
      <c r="S71" s="254" t="s">
        <v>243</v>
      </c>
      <c r="AH71" s="64"/>
      <c r="AK71" s="10" t="s">
        <v>29</v>
      </c>
      <c r="AL71" s="10">
        <f t="shared" si="10"/>
        <v>1</v>
      </c>
      <c r="AM71" s="10">
        <f t="shared" si="11"/>
        <v>0</v>
      </c>
      <c r="AN71" s="10">
        <f t="shared" si="12"/>
        <v>0</v>
      </c>
      <c r="AO71" s="10" t="s">
        <v>24</v>
      </c>
      <c r="AP71" s="10">
        <f t="shared" si="13"/>
        <v>0</v>
      </c>
      <c r="AQ71" s="10" t="s">
        <v>11</v>
      </c>
      <c r="AR71" s="10">
        <f t="shared" si="14"/>
        <v>1</v>
      </c>
      <c r="AS71" s="10" t="s">
        <v>26</v>
      </c>
      <c r="AT71" s="10">
        <f t="shared" si="15"/>
        <v>1</v>
      </c>
      <c r="AU71" s="10">
        <f t="shared" si="16"/>
        <v>0</v>
      </c>
      <c r="AV71" s="11">
        <v>29.700000000000003</v>
      </c>
      <c r="AW71" s="11">
        <v>64.956499999999991</v>
      </c>
      <c r="AX71" s="11">
        <v>15.60899</v>
      </c>
      <c r="AY71" s="10">
        <v>107</v>
      </c>
      <c r="AZ71" t="s">
        <v>105</v>
      </c>
      <c r="BA71" s="17">
        <f t="shared" si="17"/>
        <v>0</v>
      </c>
      <c r="BB71" s="17">
        <f t="shared" si="18"/>
        <v>0</v>
      </c>
      <c r="BC71" s="17">
        <f t="shared" si="19"/>
        <v>1</v>
      </c>
      <c r="BG71" s="14">
        <v>1</v>
      </c>
      <c r="BH71" s="14">
        <v>0</v>
      </c>
      <c r="BI71" s="14">
        <v>0</v>
      </c>
      <c r="BJ71" s="14">
        <v>0</v>
      </c>
      <c r="BK71" s="14">
        <v>1</v>
      </c>
      <c r="BL71" s="14">
        <v>1</v>
      </c>
      <c r="BM71" s="14">
        <v>0</v>
      </c>
      <c r="BN71" s="14">
        <v>0</v>
      </c>
      <c r="BO71" s="14">
        <v>0</v>
      </c>
      <c r="BP71" s="14">
        <v>1</v>
      </c>
      <c r="BQ71" s="11">
        <v>29.700000000000003</v>
      </c>
      <c r="BR71" s="11">
        <v>64.956499999999991</v>
      </c>
      <c r="BS71" s="11">
        <v>15.60899</v>
      </c>
      <c r="BT71" s="10">
        <v>107</v>
      </c>
    </row>
    <row r="72" spans="2:72" ht="20.149999999999999" customHeight="1">
      <c r="B72" s="267" t="s">
        <v>250</v>
      </c>
      <c r="R72" s="80"/>
      <c r="S72" s="254" t="s">
        <v>244</v>
      </c>
      <c r="AH72" s="64"/>
      <c r="AK72" s="10" t="s">
        <v>29</v>
      </c>
      <c r="AL72" s="10">
        <f t="shared" si="10"/>
        <v>1</v>
      </c>
      <c r="AM72" s="10">
        <f t="shared" si="11"/>
        <v>0</v>
      </c>
      <c r="AN72" s="10">
        <f t="shared" si="12"/>
        <v>0</v>
      </c>
      <c r="AO72" s="10" t="s">
        <v>24</v>
      </c>
      <c r="AP72" s="10">
        <f t="shared" si="13"/>
        <v>0</v>
      </c>
      <c r="AQ72" s="10" t="s">
        <v>25</v>
      </c>
      <c r="AR72" s="10">
        <f t="shared" si="14"/>
        <v>0</v>
      </c>
      <c r="AS72" s="10" t="s">
        <v>27</v>
      </c>
      <c r="AT72" s="10">
        <f t="shared" si="15"/>
        <v>0</v>
      </c>
      <c r="AU72" s="10">
        <f t="shared" si="16"/>
        <v>0</v>
      </c>
      <c r="AV72" s="11">
        <v>29.399985000000001</v>
      </c>
      <c r="AW72" s="11">
        <v>59.458299999999994</v>
      </c>
      <c r="AX72" s="11">
        <v>14.791924999999999</v>
      </c>
      <c r="AY72" s="10">
        <v>101</v>
      </c>
      <c r="AZ72" t="s">
        <v>105</v>
      </c>
      <c r="BA72" s="17">
        <f t="shared" si="17"/>
        <v>0</v>
      </c>
      <c r="BB72" s="17">
        <f t="shared" si="18"/>
        <v>0</v>
      </c>
      <c r="BC72" s="17">
        <f t="shared" si="19"/>
        <v>1</v>
      </c>
      <c r="BG72" s="14">
        <v>1</v>
      </c>
      <c r="BH72" s="14">
        <v>0</v>
      </c>
      <c r="BI72" s="14">
        <v>0</v>
      </c>
      <c r="BJ72" s="14">
        <v>0</v>
      </c>
      <c r="BK72" s="14">
        <v>0</v>
      </c>
      <c r="BL72" s="14">
        <v>0</v>
      </c>
      <c r="BM72" s="14">
        <v>0</v>
      </c>
      <c r="BN72" s="14">
        <v>0</v>
      </c>
      <c r="BO72" s="14">
        <v>0</v>
      </c>
      <c r="BP72" s="14">
        <v>1</v>
      </c>
      <c r="BQ72" s="11">
        <v>29.399985000000001</v>
      </c>
      <c r="BR72" s="11">
        <v>59.458299999999994</v>
      </c>
      <c r="BS72" s="11">
        <v>14.791924999999999</v>
      </c>
      <c r="BT72" s="10">
        <v>101</v>
      </c>
    </row>
    <row r="73" spans="2:72" ht="20.149999999999999" customHeight="1">
      <c r="B73" s="267" t="s">
        <v>251</v>
      </c>
      <c r="R73" s="80"/>
      <c r="AH73" s="64"/>
      <c r="AK73" s="10" t="s">
        <v>29</v>
      </c>
      <c r="AL73" s="10">
        <f t="shared" si="10"/>
        <v>1</v>
      </c>
      <c r="AM73" s="10">
        <f t="shared" si="11"/>
        <v>0</v>
      </c>
      <c r="AN73" s="10">
        <f t="shared" si="12"/>
        <v>0</v>
      </c>
      <c r="AO73" s="10" t="s">
        <v>24</v>
      </c>
      <c r="AP73" s="10">
        <f t="shared" si="13"/>
        <v>0</v>
      </c>
      <c r="AQ73" s="10" t="s">
        <v>25</v>
      </c>
      <c r="AR73" s="10">
        <f t="shared" si="14"/>
        <v>0</v>
      </c>
      <c r="AS73" s="10" t="s">
        <v>27</v>
      </c>
      <c r="AT73" s="10">
        <f t="shared" si="15"/>
        <v>0</v>
      </c>
      <c r="AU73" s="10">
        <f t="shared" si="16"/>
        <v>0</v>
      </c>
      <c r="AV73" s="11">
        <v>28.995660000000001</v>
      </c>
      <c r="AW73" s="11">
        <v>52.739100000000008</v>
      </c>
      <c r="AX73" s="11">
        <v>18.130468</v>
      </c>
      <c r="AY73" s="10">
        <v>94</v>
      </c>
      <c r="AZ73" t="s">
        <v>104</v>
      </c>
      <c r="BA73" s="17">
        <f t="shared" si="17"/>
        <v>0</v>
      </c>
      <c r="BB73" s="17">
        <f t="shared" si="18"/>
        <v>0</v>
      </c>
      <c r="BC73" s="17">
        <f t="shared" si="19"/>
        <v>0</v>
      </c>
      <c r="BG73" s="14">
        <v>1</v>
      </c>
      <c r="BH73" s="14">
        <v>0</v>
      </c>
      <c r="BI73" s="14">
        <v>0</v>
      </c>
      <c r="BJ73" s="14">
        <v>0</v>
      </c>
      <c r="BK73" s="14">
        <v>0</v>
      </c>
      <c r="BL73" s="14">
        <v>0</v>
      </c>
      <c r="BM73" s="14">
        <v>0</v>
      </c>
      <c r="BN73" s="14">
        <v>0</v>
      </c>
      <c r="BO73" s="14">
        <v>0</v>
      </c>
      <c r="BP73" s="14">
        <v>0</v>
      </c>
      <c r="BQ73" s="11">
        <v>28.995660000000001</v>
      </c>
      <c r="BR73" s="11">
        <v>52.739100000000008</v>
      </c>
      <c r="BS73" s="11">
        <v>18.130468</v>
      </c>
      <c r="BT73" s="10">
        <v>94</v>
      </c>
    </row>
    <row r="74" spans="2:72" ht="20.149999999999999" customHeight="1">
      <c r="B74" s="266" t="s">
        <v>252</v>
      </c>
      <c r="D74" s="268" t="s">
        <v>253</v>
      </c>
      <c r="R74" s="80"/>
      <c r="AH74" s="64"/>
      <c r="AK74" s="10" t="s">
        <v>29</v>
      </c>
      <c r="AL74" s="10">
        <f t="shared" si="10"/>
        <v>1</v>
      </c>
      <c r="AM74" s="10">
        <f t="shared" si="11"/>
        <v>0</v>
      </c>
      <c r="AN74" s="10">
        <f t="shared" si="12"/>
        <v>0</v>
      </c>
      <c r="AO74" s="10" t="s">
        <v>24</v>
      </c>
      <c r="AP74" s="10">
        <f t="shared" si="13"/>
        <v>0</v>
      </c>
      <c r="AQ74" s="10" t="s">
        <v>11</v>
      </c>
      <c r="AR74" s="10">
        <f t="shared" si="14"/>
        <v>1</v>
      </c>
      <c r="AS74" s="10" t="s">
        <v>27</v>
      </c>
      <c r="AT74" s="10">
        <f t="shared" si="15"/>
        <v>0</v>
      </c>
      <c r="AU74" s="10">
        <f t="shared" si="16"/>
        <v>0</v>
      </c>
      <c r="AV74" s="11">
        <v>29.287485</v>
      </c>
      <c r="AW74" s="11">
        <v>49.695699999999995</v>
      </c>
      <c r="AX74" s="11">
        <v>9.174042</v>
      </c>
      <c r="AY74" s="10">
        <v>95</v>
      </c>
      <c r="AZ74" t="s">
        <v>104</v>
      </c>
      <c r="BA74" s="17">
        <f t="shared" si="17"/>
        <v>0</v>
      </c>
      <c r="BB74" s="17">
        <f t="shared" si="18"/>
        <v>0</v>
      </c>
      <c r="BC74" s="17">
        <f t="shared" si="19"/>
        <v>0</v>
      </c>
      <c r="BG74" s="14">
        <v>1</v>
      </c>
      <c r="BH74" s="14">
        <v>0</v>
      </c>
      <c r="BI74" s="14">
        <v>0</v>
      </c>
      <c r="BJ74" s="14">
        <v>0</v>
      </c>
      <c r="BK74" s="14">
        <v>1</v>
      </c>
      <c r="BL74" s="14">
        <v>0</v>
      </c>
      <c r="BM74" s="14">
        <v>0</v>
      </c>
      <c r="BN74" s="14">
        <v>0</v>
      </c>
      <c r="BO74" s="14">
        <v>0</v>
      </c>
      <c r="BP74" s="14">
        <v>0</v>
      </c>
      <c r="BQ74" s="11">
        <v>29.287485</v>
      </c>
      <c r="BR74" s="11">
        <v>49.695699999999995</v>
      </c>
      <c r="BS74" s="11">
        <v>9.174042</v>
      </c>
      <c r="BT74" s="10">
        <v>95</v>
      </c>
    </row>
    <row r="75" spans="2:72" ht="20.149999999999999" customHeight="1">
      <c r="B75" s="266" t="s">
        <v>254</v>
      </c>
      <c r="E75" s="268" t="s">
        <v>255</v>
      </c>
      <c r="R75" s="80"/>
      <c r="AH75" s="85"/>
      <c r="AK75" s="10" t="s">
        <v>29</v>
      </c>
      <c r="AL75" s="10">
        <f t="shared" si="10"/>
        <v>1</v>
      </c>
      <c r="AM75" s="10">
        <f t="shared" si="11"/>
        <v>0</v>
      </c>
      <c r="AN75" s="10">
        <f t="shared" si="12"/>
        <v>0</v>
      </c>
      <c r="AO75" s="10" t="s">
        <v>24</v>
      </c>
      <c r="AP75" s="10">
        <f t="shared" si="13"/>
        <v>0</v>
      </c>
      <c r="AQ75" s="10" t="s">
        <v>11</v>
      </c>
      <c r="AR75" s="10">
        <f t="shared" si="14"/>
        <v>1</v>
      </c>
      <c r="AS75" s="10" t="s">
        <v>26</v>
      </c>
      <c r="AT75" s="10">
        <f t="shared" si="15"/>
        <v>1</v>
      </c>
      <c r="AU75" s="10">
        <f t="shared" si="16"/>
        <v>0</v>
      </c>
      <c r="AV75" s="11">
        <v>30.299985</v>
      </c>
      <c r="AW75" s="11">
        <v>65.565200000000004</v>
      </c>
      <c r="AX75" s="11">
        <v>12.348703</v>
      </c>
      <c r="AY75" s="10">
        <v>96</v>
      </c>
      <c r="AZ75" t="s">
        <v>104</v>
      </c>
      <c r="BA75" s="17">
        <f t="shared" si="17"/>
        <v>0</v>
      </c>
      <c r="BB75" s="17">
        <f t="shared" si="18"/>
        <v>0</v>
      </c>
      <c r="BC75" s="17">
        <f t="shared" si="19"/>
        <v>0</v>
      </c>
      <c r="BG75" s="14">
        <v>1</v>
      </c>
      <c r="BH75" s="14">
        <v>0</v>
      </c>
      <c r="BI75" s="14">
        <v>0</v>
      </c>
      <c r="BJ75" s="14">
        <v>0</v>
      </c>
      <c r="BK75" s="14">
        <v>1</v>
      </c>
      <c r="BL75" s="14">
        <v>1</v>
      </c>
      <c r="BM75" s="14">
        <v>0</v>
      </c>
      <c r="BN75" s="14">
        <v>0</v>
      </c>
      <c r="BO75" s="14">
        <v>0</v>
      </c>
      <c r="BP75" s="14">
        <v>0</v>
      </c>
      <c r="BQ75" s="11">
        <v>30.299985</v>
      </c>
      <c r="BR75" s="11">
        <v>65.565200000000004</v>
      </c>
      <c r="BS75" s="11">
        <v>12.348703</v>
      </c>
      <c r="BT75" s="10">
        <v>96</v>
      </c>
    </row>
    <row r="76" spans="2:72" ht="20.149999999999999" customHeight="1">
      <c r="B76" s="266" t="s">
        <v>256</v>
      </c>
      <c r="R76" s="80"/>
      <c r="AH76" s="85"/>
      <c r="AK76" s="10" t="s">
        <v>29</v>
      </c>
      <c r="AL76" s="10">
        <f t="shared" si="10"/>
        <v>1</v>
      </c>
      <c r="AM76" s="10">
        <f t="shared" si="11"/>
        <v>0</v>
      </c>
      <c r="AN76" s="10">
        <f t="shared" si="12"/>
        <v>0</v>
      </c>
      <c r="AO76" s="10" t="s">
        <v>24</v>
      </c>
      <c r="AP76" s="10">
        <f t="shared" si="13"/>
        <v>0</v>
      </c>
      <c r="AQ76" s="10" t="s">
        <v>11</v>
      </c>
      <c r="AR76" s="10">
        <f t="shared" si="14"/>
        <v>1</v>
      </c>
      <c r="AS76" s="10" t="s">
        <v>26</v>
      </c>
      <c r="AT76" s="10">
        <f t="shared" si="15"/>
        <v>1</v>
      </c>
      <c r="AU76" s="10">
        <f t="shared" si="16"/>
        <v>0</v>
      </c>
      <c r="AV76" s="11">
        <v>25.987500000000001</v>
      </c>
      <c r="AW76" s="11">
        <v>77.652200000000008</v>
      </c>
      <c r="AX76" s="11">
        <v>13.608839</v>
      </c>
      <c r="AY76" s="10">
        <v>74</v>
      </c>
      <c r="AZ76" t="s">
        <v>104</v>
      </c>
      <c r="BA76" s="17">
        <f t="shared" si="17"/>
        <v>0</v>
      </c>
      <c r="BB76" s="17">
        <f t="shared" si="18"/>
        <v>0</v>
      </c>
      <c r="BC76" s="17">
        <f t="shared" si="19"/>
        <v>0</v>
      </c>
      <c r="BG76" s="14">
        <v>1</v>
      </c>
      <c r="BH76" s="14">
        <v>0</v>
      </c>
      <c r="BI76" s="14">
        <v>0</v>
      </c>
      <c r="BJ76" s="14">
        <v>0</v>
      </c>
      <c r="BK76" s="14">
        <v>1</v>
      </c>
      <c r="BL76" s="14">
        <v>1</v>
      </c>
      <c r="BM76" s="14">
        <v>0</v>
      </c>
      <c r="BN76" s="14">
        <v>0</v>
      </c>
      <c r="BO76" s="14">
        <v>0</v>
      </c>
      <c r="BP76" s="14">
        <v>0</v>
      </c>
      <c r="BQ76" s="11">
        <v>25.987500000000001</v>
      </c>
      <c r="BR76" s="11">
        <v>77.652200000000008</v>
      </c>
      <c r="BS76" s="11">
        <v>13.608839</v>
      </c>
      <c r="BT76" s="10">
        <v>74</v>
      </c>
    </row>
    <row r="77" spans="2:72" ht="20.149999999999999" customHeight="1">
      <c r="B77" s="269" t="s">
        <v>257</v>
      </c>
      <c r="R77" s="80"/>
      <c r="AH77" s="85"/>
      <c r="AK77" s="10" t="s">
        <v>29</v>
      </c>
      <c r="AL77" s="10">
        <f t="shared" si="10"/>
        <v>1</v>
      </c>
      <c r="AM77" s="10">
        <f t="shared" si="11"/>
        <v>0</v>
      </c>
      <c r="AN77" s="10">
        <f t="shared" si="12"/>
        <v>0</v>
      </c>
      <c r="AO77" s="10" t="s">
        <v>24</v>
      </c>
      <c r="AP77" s="10">
        <f t="shared" si="13"/>
        <v>0</v>
      </c>
      <c r="AQ77" s="10" t="s">
        <v>11</v>
      </c>
      <c r="AR77" s="10">
        <f t="shared" si="14"/>
        <v>1</v>
      </c>
      <c r="AS77" s="10" t="s">
        <v>27</v>
      </c>
      <c r="AT77" s="10">
        <f t="shared" si="15"/>
        <v>0</v>
      </c>
      <c r="AU77" s="10">
        <f t="shared" si="16"/>
        <v>0</v>
      </c>
      <c r="AV77" s="11">
        <v>21.112514999999998</v>
      </c>
      <c r="AW77" s="11">
        <v>60.291700000000006</v>
      </c>
      <c r="AX77" s="11">
        <v>14.041792999999998</v>
      </c>
      <c r="AY77" s="10">
        <v>95</v>
      </c>
      <c r="AZ77" t="s">
        <v>104</v>
      </c>
      <c r="BA77" s="17">
        <f t="shared" si="17"/>
        <v>0</v>
      </c>
      <c r="BB77" s="17">
        <f t="shared" si="18"/>
        <v>0</v>
      </c>
      <c r="BC77" s="17">
        <f t="shared" si="19"/>
        <v>0</v>
      </c>
      <c r="BG77" s="14">
        <v>1</v>
      </c>
      <c r="BH77" s="14">
        <v>0</v>
      </c>
      <c r="BI77" s="14">
        <v>0</v>
      </c>
      <c r="BJ77" s="14">
        <v>0</v>
      </c>
      <c r="BK77" s="14">
        <v>1</v>
      </c>
      <c r="BL77" s="14">
        <v>0</v>
      </c>
      <c r="BM77" s="14">
        <v>0</v>
      </c>
      <c r="BN77" s="14">
        <v>0</v>
      </c>
      <c r="BO77" s="14">
        <v>0</v>
      </c>
      <c r="BP77" s="14">
        <v>0</v>
      </c>
      <c r="BQ77" s="11">
        <v>21.112514999999998</v>
      </c>
      <c r="BR77" s="11">
        <v>60.291700000000006</v>
      </c>
      <c r="BS77" s="11">
        <v>14.041792999999998</v>
      </c>
      <c r="BT77" s="10">
        <v>95</v>
      </c>
    </row>
    <row r="78" spans="2:72" ht="20.149999999999999" customHeight="1">
      <c r="B78" s="269" t="s">
        <v>258</v>
      </c>
      <c r="R78" s="80"/>
      <c r="AH78" s="85"/>
      <c r="AK78" s="10" t="s">
        <v>29</v>
      </c>
      <c r="AL78" s="10">
        <f t="shared" si="10"/>
        <v>1</v>
      </c>
      <c r="AM78" s="10">
        <f t="shared" si="11"/>
        <v>0</v>
      </c>
      <c r="AN78" s="10">
        <f t="shared" si="12"/>
        <v>0</v>
      </c>
      <c r="AO78" s="10" t="s">
        <v>24</v>
      </c>
      <c r="AP78" s="10">
        <f t="shared" si="13"/>
        <v>0</v>
      </c>
      <c r="AQ78" s="10" t="s">
        <v>11</v>
      </c>
      <c r="AR78" s="10">
        <f t="shared" si="14"/>
        <v>1</v>
      </c>
      <c r="AS78" s="10" t="s">
        <v>27</v>
      </c>
      <c r="AT78" s="10">
        <f t="shared" si="15"/>
        <v>0</v>
      </c>
      <c r="AU78" s="10">
        <f t="shared" si="16"/>
        <v>0</v>
      </c>
      <c r="AV78" s="11">
        <v>22.125015000000001</v>
      </c>
      <c r="AW78" s="11">
        <v>52.521700000000003</v>
      </c>
      <c r="AX78" s="11">
        <v>15.478139000000001</v>
      </c>
      <c r="AY78" s="10">
        <v>91</v>
      </c>
      <c r="AZ78" t="s">
        <v>104</v>
      </c>
      <c r="BA78" s="17">
        <f t="shared" si="17"/>
        <v>0</v>
      </c>
      <c r="BB78" s="17">
        <f t="shared" si="18"/>
        <v>0</v>
      </c>
      <c r="BC78" s="17">
        <f t="shared" si="19"/>
        <v>0</v>
      </c>
      <c r="BG78" s="14">
        <v>1</v>
      </c>
      <c r="BH78" s="14">
        <v>0</v>
      </c>
      <c r="BI78" s="14">
        <v>0</v>
      </c>
      <c r="BJ78" s="14">
        <v>0</v>
      </c>
      <c r="BK78" s="14">
        <v>1</v>
      </c>
      <c r="BL78" s="14">
        <v>0</v>
      </c>
      <c r="BM78" s="14">
        <v>0</v>
      </c>
      <c r="BN78" s="14">
        <v>0</v>
      </c>
      <c r="BO78" s="14">
        <v>0</v>
      </c>
      <c r="BP78" s="14">
        <v>0</v>
      </c>
      <c r="BQ78" s="11">
        <v>22.125015000000001</v>
      </c>
      <c r="BR78" s="11">
        <v>52.521700000000003</v>
      </c>
      <c r="BS78" s="11">
        <v>15.478139000000001</v>
      </c>
      <c r="BT78" s="10">
        <v>91</v>
      </c>
    </row>
    <row r="79" spans="2:72" ht="20.149999999999999" customHeight="1">
      <c r="B79" s="269" t="s">
        <v>259</v>
      </c>
      <c r="R79" s="80"/>
      <c r="AH79" s="85"/>
      <c r="AK79" s="10" t="s">
        <v>29</v>
      </c>
      <c r="AL79" s="10">
        <f t="shared" si="10"/>
        <v>1</v>
      </c>
      <c r="AM79" s="10">
        <f t="shared" si="11"/>
        <v>0</v>
      </c>
      <c r="AN79" s="10">
        <f t="shared" si="12"/>
        <v>0</v>
      </c>
      <c r="AO79" s="10" t="s">
        <v>24</v>
      </c>
      <c r="AP79" s="10">
        <f t="shared" si="13"/>
        <v>0</v>
      </c>
      <c r="AQ79" s="10" t="s">
        <v>25</v>
      </c>
      <c r="AR79" s="10">
        <f t="shared" si="14"/>
        <v>0</v>
      </c>
      <c r="AS79" s="10" t="s">
        <v>27</v>
      </c>
      <c r="AT79" s="10">
        <f t="shared" si="15"/>
        <v>0</v>
      </c>
      <c r="AU79" s="10">
        <f t="shared" si="16"/>
        <v>0</v>
      </c>
      <c r="AV79" s="11">
        <v>22.837499999999999</v>
      </c>
      <c r="AW79" s="11">
        <v>37.916699999999999</v>
      </c>
      <c r="AX79" s="11">
        <v>24.667189</v>
      </c>
      <c r="AY79" s="10">
        <v>85</v>
      </c>
      <c r="AZ79" t="s">
        <v>104</v>
      </c>
      <c r="BA79" s="17">
        <f t="shared" si="17"/>
        <v>0</v>
      </c>
      <c r="BB79" s="17">
        <f t="shared" si="18"/>
        <v>0</v>
      </c>
      <c r="BC79" s="17">
        <f t="shared" si="19"/>
        <v>0</v>
      </c>
      <c r="BG79" s="14">
        <v>1</v>
      </c>
      <c r="BH79" s="14">
        <v>0</v>
      </c>
      <c r="BI79" s="14">
        <v>0</v>
      </c>
      <c r="BJ79" s="14">
        <v>0</v>
      </c>
      <c r="BK79" s="14">
        <v>0</v>
      </c>
      <c r="BL79" s="14">
        <v>0</v>
      </c>
      <c r="BM79" s="14">
        <v>0</v>
      </c>
      <c r="BN79" s="14">
        <v>0</v>
      </c>
      <c r="BO79" s="14">
        <v>0</v>
      </c>
      <c r="BP79" s="14">
        <v>0</v>
      </c>
      <c r="BQ79" s="11">
        <v>22.837499999999999</v>
      </c>
      <c r="BR79" s="11">
        <v>37.916699999999999</v>
      </c>
      <c r="BS79" s="11">
        <v>24.667189</v>
      </c>
      <c r="BT79" s="10">
        <v>85</v>
      </c>
    </row>
    <row r="80" spans="2:72" ht="20.149999999999999" customHeight="1">
      <c r="B80" s="266" t="s">
        <v>260</v>
      </c>
      <c r="D80" s="268" t="s">
        <v>261</v>
      </c>
      <c r="R80" s="80"/>
      <c r="S80" s="79"/>
      <c r="T80" s="81"/>
      <c r="U80" s="79"/>
      <c r="V80" s="79"/>
      <c r="W80" s="80"/>
      <c r="X80" s="79"/>
      <c r="Y80" s="79"/>
      <c r="Z80" s="80"/>
      <c r="AA80" s="80"/>
      <c r="AB80" s="80"/>
      <c r="AC80" s="79"/>
      <c r="AD80" s="79"/>
      <c r="AE80" s="79"/>
      <c r="AF80" s="79"/>
      <c r="AG80" s="86"/>
      <c r="AH80" s="85"/>
      <c r="AK80" s="10" t="s">
        <v>29</v>
      </c>
      <c r="AL80" s="10">
        <f t="shared" si="10"/>
        <v>1</v>
      </c>
      <c r="AM80" s="10">
        <f t="shared" si="11"/>
        <v>0</v>
      </c>
      <c r="AN80" s="10">
        <f t="shared" si="12"/>
        <v>0</v>
      </c>
      <c r="AO80" s="10" t="s">
        <v>24</v>
      </c>
      <c r="AP80" s="10">
        <f t="shared" si="13"/>
        <v>0</v>
      </c>
      <c r="AQ80" s="10" t="s">
        <v>25</v>
      </c>
      <c r="AR80" s="10">
        <f t="shared" si="14"/>
        <v>0</v>
      </c>
      <c r="AS80" s="10" t="s">
        <v>27</v>
      </c>
      <c r="AT80" s="10">
        <f t="shared" si="15"/>
        <v>0</v>
      </c>
      <c r="AU80" s="10">
        <f t="shared" si="16"/>
        <v>0</v>
      </c>
      <c r="AV80" s="11">
        <v>24.712515</v>
      </c>
      <c r="AW80" s="11">
        <v>47.375</v>
      </c>
      <c r="AX80" s="11">
        <v>13.917306999999999</v>
      </c>
      <c r="AY80" s="10">
        <v>91</v>
      </c>
      <c r="AZ80" t="s">
        <v>104</v>
      </c>
      <c r="BA80" s="17">
        <f t="shared" si="17"/>
        <v>0</v>
      </c>
      <c r="BB80" s="17">
        <f t="shared" si="18"/>
        <v>0</v>
      </c>
      <c r="BC80" s="17">
        <f t="shared" si="19"/>
        <v>0</v>
      </c>
      <c r="BG80" s="14">
        <v>1</v>
      </c>
      <c r="BH80" s="14">
        <v>0</v>
      </c>
      <c r="BI80" s="14">
        <v>0</v>
      </c>
      <c r="BJ80" s="14">
        <v>0</v>
      </c>
      <c r="BK80" s="14">
        <v>0</v>
      </c>
      <c r="BL80" s="14">
        <v>0</v>
      </c>
      <c r="BM80" s="14">
        <v>0</v>
      </c>
      <c r="BN80" s="14">
        <v>0</v>
      </c>
      <c r="BO80" s="14">
        <v>0</v>
      </c>
      <c r="BP80" s="14">
        <v>0</v>
      </c>
      <c r="BQ80" s="11">
        <v>24.712515</v>
      </c>
      <c r="BR80" s="11">
        <v>47.375</v>
      </c>
      <c r="BS80" s="11">
        <v>13.917306999999999</v>
      </c>
      <c r="BT80" s="10">
        <v>91</v>
      </c>
    </row>
    <row r="81" spans="1:72" ht="20.149999999999999" customHeight="1">
      <c r="B81" s="266" t="s">
        <v>262</v>
      </c>
      <c r="H81" s="79"/>
      <c r="I81" s="79"/>
      <c r="J81" s="79"/>
      <c r="K81" s="80"/>
      <c r="L81" s="79"/>
      <c r="M81" s="80"/>
      <c r="N81" s="79"/>
      <c r="O81" s="80"/>
      <c r="P81" s="80"/>
      <c r="Q81" s="80"/>
      <c r="R81" s="80"/>
      <c r="S81" s="79"/>
      <c r="T81" s="81"/>
      <c r="U81" s="79"/>
      <c r="V81" s="79"/>
      <c r="W81" s="80"/>
      <c r="X81" s="79"/>
      <c r="Y81" s="79"/>
      <c r="Z81" s="80"/>
      <c r="AA81" s="80"/>
      <c r="AB81" s="80"/>
      <c r="AC81" s="79"/>
      <c r="AD81" s="79"/>
      <c r="AE81" s="79"/>
      <c r="AF81" s="79"/>
      <c r="AH81" s="64"/>
      <c r="AK81" s="10" t="s">
        <v>29</v>
      </c>
      <c r="AL81" s="10">
        <f t="shared" si="10"/>
        <v>1</v>
      </c>
      <c r="AM81" s="10">
        <f t="shared" si="11"/>
        <v>0</v>
      </c>
      <c r="AN81" s="10">
        <f t="shared" si="12"/>
        <v>0</v>
      </c>
      <c r="AO81" s="10" t="s">
        <v>24</v>
      </c>
      <c r="AP81" s="10">
        <f t="shared" si="13"/>
        <v>0</v>
      </c>
      <c r="AQ81" s="10" t="s">
        <v>11</v>
      </c>
      <c r="AR81" s="10">
        <f t="shared" si="14"/>
        <v>1</v>
      </c>
      <c r="AS81" s="10" t="s">
        <v>26</v>
      </c>
      <c r="AT81" s="10">
        <f t="shared" si="15"/>
        <v>1</v>
      </c>
      <c r="AU81" s="10">
        <f t="shared" si="16"/>
        <v>0</v>
      </c>
      <c r="AV81" s="11">
        <v>25.275015</v>
      </c>
      <c r="AW81" s="11">
        <v>73.739100000000008</v>
      </c>
      <c r="AX81" s="11">
        <v>19.348461</v>
      </c>
      <c r="AY81" s="10">
        <v>73</v>
      </c>
      <c r="AZ81" t="s">
        <v>104</v>
      </c>
      <c r="BA81" s="17">
        <f t="shared" si="17"/>
        <v>0</v>
      </c>
      <c r="BB81" s="17">
        <f t="shared" si="18"/>
        <v>0</v>
      </c>
      <c r="BC81" s="17">
        <f t="shared" si="19"/>
        <v>0</v>
      </c>
      <c r="BG81" s="14">
        <v>1</v>
      </c>
      <c r="BH81" s="14">
        <v>0</v>
      </c>
      <c r="BI81" s="14">
        <v>0</v>
      </c>
      <c r="BJ81" s="14">
        <v>0</v>
      </c>
      <c r="BK81" s="14">
        <v>1</v>
      </c>
      <c r="BL81" s="14">
        <v>1</v>
      </c>
      <c r="BM81" s="14">
        <v>0</v>
      </c>
      <c r="BN81" s="14">
        <v>0</v>
      </c>
      <c r="BO81" s="14">
        <v>0</v>
      </c>
      <c r="BP81" s="14">
        <v>0</v>
      </c>
      <c r="BQ81" s="11">
        <v>25.275015</v>
      </c>
      <c r="BR81" s="11">
        <v>73.739100000000008</v>
      </c>
      <c r="BS81" s="11">
        <v>19.348461</v>
      </c>
      <c r="BT81" s="10">
        <v>73</v>
      </c>
    </row>
    <row r="82" spans="1:72" ht="20.149999999999999" customHeight="1">
      <c r="B82" s="269" t="s">
        <v>263</v>
      </c>
      <c r="H82" s="88"/>
      <c r="J82" s="89"/>
      <c r="K82" s="63"/>
      <c r="AH82" s="64"/>
      <c r="AK82" s="10" t="s">
        <v>29</v>
      </c>
      <c r="AL82" s="10">
        <f t="shared" si="10"/>
        <v>1</v>
      </c>
      <c r="AM82" s="10">
        <f t="shared" si="11"/>
        <v>0</v>
      </c>
      <c r="AN82" s="10">
        <f t="shared" si="12"/>
        <v>0</v>
      </c>
      <c r="AO82" s="10" t="s">
        <v>24</v>
      </c>
      <c r="AP82" s="10">
        <f t="shared" si="13"/>
        <v>0</v>
      </c>
      <c r="AQ82" s="10" t="s">
        <v>11</v>
      </c>
      <c r="AR82" s="10">
        <f t="shared" si="14"/>
        <v>1</v>
      </c>
      <c r="AS82" s="10" t="s">
        <v>27</v>
      </c>
      <c r="AT82" s="10">
        <f t="shared" si="15"/>
        <v>0</v>
      </c>
      <c r="AU82" s="10">
        <f t="shared" si="16"/>
        <v>0</v>
      </c>
      <c r="AV82" s="11">
        <v>26.774999999999999</v>
      </c>
      <c r="AW82" s="11">
        <v>62.458300000000001</v>
      </c>
      <c r="AX82" s="11">
        <v>15.125250000000001</v>
      </c>
      <c r="AY82" s="10">
        <v>87</v>
      </c>
      <c r="AZ82" t="s">
        <v>104</v>
      </c>
      <c r="BA82" s="17">
        <f t="shared" si="17"/>
        <v>0</v>
      </c>
      <c r="BB82" s="17">
        <f t="shared" si="18"/>
        <v>0</v>
      </c>
      <c r="BC82" s="17">
        <f t="shared" si="19"/>
        <v>0</v>
      </c>
      <c r="BG82" s="14">
        <v>1</v>
      </c>
      <c r="BH82" s="14">
        <v>0</v>
      </c>
      <c r="BI82" s="14">
        <v>0</v>
      </c>
      <c r="BJ82" s="14">
        <v>0</v>
      </c>
      <c r="BK82" s="14">
        <v>1</v>
      </c>
      <c r="BL82" s="14">
        <v>0</v>
      </c>
      <c r="BM82" s="14">
        <v>0</v>
      </c>
      <c r="BN82" s="14">
        <v>0</v>
      </c>
      <c r="BO82" s="14">
        <v>0</v>
      </c>
      <c r="BP82" s="14">
        <v>0</v>
      </c>
      <c r="BQ82" s="11">
        <v>26.774999999999999</v>
      </c>
      <c r="BR82" s="11">
        <v>62.458300000000001</v>
      </c>
      <c r="BS82" s="11">
        <v>15.125250000000001</v>
      </c>
      <c r="BT82" s="10">
        <v>87</v>
      </c>
    </row>
    <row r="83" spans="1:72" ht="20.149999999999999" customHeight="1" thickBot="1">
      <c r="B83" s="270" t="s">
        <v>264</v>
      </c>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c r="AH83" s="92"/>
      <c r="AK83" s="10" t="s">
        <v>29</v>
      </c>
      <c r="AL83" s="10">
        <f t="shared" si="10"/>
        <v>1</v>
      </c>
      <c r="AM83" s="10">
        <f t="shared" si="11"/>
        <v>0</v>
      </c>
      <c r="AN83" s="10">
        <f t="shared" si="12"/>
        <v>0</v>
      </c>
      <c r="AO83" s="10" t="s">
        <v>24</v>
      </c>
      <c r="AP83" s="10">
        <f t="shared" si="13"/>
        <v>0</v>
      </c>
      <c r="AQ83" s="10" t="s">
        <v>11</v>
      </c>
      <c r="AR83" s="10">
        <f t="shared" si="14"/>
        <v>1</v>
      </c>
      <c r="AS83" s="10" t="s">
        <v>26</v>
      </c>
      <c r="AT83" s="10">
        <f t="shared" si="15"/>
        <v>1</v>
      </c>
      <c r="AU83" s="10">
        <f t="shared" si="16"/>
        <v>0</v>
      </c>
      <c r="AV83" s="11">
        <v>28.274985000000001</v>
      </c>
      <c r="AW83" s="11">
        <v>83.956500000000005</v>
      </c>
      <c r="AX83" s="11">
        <v>15.695487</v>
      </c>
      <c r="AY83" s="10">
        <v>96</v>
      </c>
      <c r="AZ83" t="s">
        <v>104</v>
      </c>
      <c r="BA83" s="17">
        <f t="shared" si="17"/>
        <v>0</v>
      </c>
      <c r="BB83" s="17">
        <f t="shared" si="18"/>
        <v>0</v>
      </c>
      <c r="BC83" s="17">
        <f t="shared" si="19"/>
        <v>0</v>
      </c>
      <c r="BG83" s="14">
        <v>1</v>
      </c>
      <c r="BH83" s="14">
        <v>0</v>
      </c>
      <c r="BI83" s="14">
        <v>0</v>
      </c>
      <c r="BJ83" s="14">
        <v>0</v>
      </c>
      <c r="BK83" s="14">
        <v>1</v>
      </c>
      <c r="BL83" s="14">
        <v>1</v>
      </c>
      <c r="BM83" s="14">
        <v>0</v>
      </c>
      <c r="BN83" s="14">
        <v>0</v>
      </c>
      <c r="BO83" s="14">
        <v>0</v>
      </c>
      <c r="BP83" s="14">
        <v>0</v>
      </c>
      <c r="BQ83" s="11">
        <v>28.274985000000001</v>
      </c>
      <c r="BR83" s="11">
        <v>83.956500000000005</v>
      </c>
      <c r="BS83" s="11">
        <v>15.695487</v>
      </c>
      <c r="BT83" s="10">
        <v>96</v>
      </c>
    </row>
    <row r="84" spans="1:72" ht="20.149999999999999" customHeight="1">
      <c r="AK84" s="10" t="s">
        <v>29</v>
      </c>
      <c r="AL84" s="10">
        <f t="shared" si="10"/>
        <v>1</v>
      </c>
      <c r="AM84" s="10">
        <f t="shared" si="11"/>
        <v>0</v>
      </c>
      <c r="AN84" s="10">
        <f t="shared" si="12"/>
        <v>0</v>
      </c>
      <c r="AO84" s="10" t="s">
        <v>24</v>
      </c>
      <c r="AP84" s="10">
        <f t="shared" si="13"/>
        <v>0</v>
      </c>
      <c r="AQ84" s="10" t="s">
        <v>11</v>
      </c>
      <c r="AR84" s="10">
        <f t="shared" si="14"/>
        <v>1</v>
      </c>
      <c r="AS84" s="10" t="s">
        <v>26</v>
      </c>
      <c r="AT84" s="10">
        <f t="shared" si="15"/>
        <v>1</v>
      </c>
      <c r="AU84" s="10">
        <f t="shared" si="16"/>
        <v>0</v>
      </c>
      <c r="AV84" s="11">
        <v>27.412514999999999</v>
      </c>
      <c r="AW84" s="11">
        <v>80.583300000000008</v>
      </c>
      <c r="AX84" s="11">
        <v>16.333729000000002</v>
      </c>
      <c r="AY84" s="10">
        <v>48</v>
      </c>
      <c r="AZ84" t="s">
        <v>106</v>
      </c>
      <c r="BA84" s="17">
        <f t="shared" si="17"/>
        <v>0</v>
      </c>
      <c r="BB84" s="17">
        <f t="shared" si="18"/>
        <v>1</v>
      </c>
      <c r="BC84" s="17">
        <f t="shared" si="19"/>
        <v>0</v>
      </c>
      <c r="BG84" s="14">
        <v>1</v>
      </c>
      <c r="BH84" s="14">
        <v>0</v>
      </c>
      <c r="BI84" s="14">
        <v>0</v>
      </c>
      <c r="BJ84" s="14">
        <v>0</v>
      </c>
      <c r="BK84" s="14">
        <v>1</v>
      </c>
      <c r="BL84" s="14">
        <v>1</v>
      </c>
      <c r="BM84" s="14">
        <v>0</v>
      </c>
      <c r="BN84" s="14">
        <v>0</v>
      </c>
      <c r="BO84" s="14">
        <v>1</v>
      </c>
      <c r="BP84" s="14">
        <v>0</v>
      </c>
      <c r="BQ84" s="11">
        <v>27.412514999999999</v>
      </c>
      <c r="BR84" s="11">
        <v>80.583300000000008</v>
      </c>
      <c r="BS84" s="11">
        <v>16.333729000000002</v>
      </c>
      <c r="BT84" s="10">
        <v>48</v>
      </c>
    </row>
    <row r="85" spans="1:72" ht="20.149999999999999" customHeight="1">
      <c r="A85" s="13" t="s">
        <v>75</v>
      </c>
      <c r="E85" s="15" t="s">
        <v>45</v>
      </c>
      <c r="AK85" s="10" t="s">
        <v>29</v>
      </c>
      <c r="AL85" s="10">
        <f t="shared" si="10"/>
        <v>1</v>
      </c>
      <c r="AM85" s="10">
        <f t="shared" si="11"/>
        <v>0</v>
      </c>
      <c r="AN85" s="10">
        <f t="shared" si="12"/>
        <v>0</v>
      </c>
      <c r="AO85" s="10" t="s">
        <v>24</v>
      </c>
      <c r="AP85" s="10">
        <f t="shared" si="13"/>
        <v>0</v>
      </c>
      <c r="AQ85" s="10" t="s">
        <v>11</v>
      </c>
      <c r="AR85" s="10">
        <f t="shared" si="14"/>
        <v>1</v>
      </c>
      <c r="AS85" s="10" t="s">
        <v>27</v>
      </c>
      <c r="AT85" s="10">
        <f t="shared" si="15"/>
        <v>0</v>
      </c>
      <c r="AU85" s="10">
        <f t="shared" si="16"/>
        <v>0</v>
      </c>
      <c r="AV85" s="11">
        <v>27.300014999999998</v>
      </c>
      <c r="AW85" s="11">
        <v>49.5</v>
      </c>
      <c r="AX85" s="11">
        <v>15.458575000000002</v>
      </c>
      <c r="AY85" s="10">
        <v>109</v>
      </c>
      <c r="AZ85" t="s">
        <v>105</v>
      </c>
      <c r="BA85" s="17">
        <f t="shared" si="17"/>
        <v>0</v>
      </c>
      <c r="BB85" s="17">
        <f t="shared" si="18"/>
        <v>0</v>
      </c>
      <c r="BC85" s="17">
        <f t="shared" si="19"/>
        <v>1</v>
      </c>
      <c r="BG85" s="14">
        <v>1</v>
      </c>
      <c r="BH85" s="14">
        <v>0</v>
      </c>
      <c r="BI85" s="14">
        <v>0</v>
      </c>
      <c r="BJ85" s="14">
        <v>0</v>
      </c>
      <c r="BK85" s="14">
        <v>1</v>
      </c>
      <c r="BL85" s="14">
        <v>0</v>
      </c>
      <c r="BM85" s="14">
        <v>0</v>
      </c>
      <c r="BN85" s="14">
        <v>0</v>
      </c>
      <c r="BO85" s="14">
        <v>0</v>
      </c>
      <c r="BP85" s="14">
        <v>1</v>
      </c>
      <c r="BQ85" s="11">
        <v>27.300014999999998</v>
      </c>
      <c r="BR85" s="11">
        <v>49.5</v>
      </c>
      <c r="BS85" s="11">
        <v>15.458575000000002</v>
      </c>
      <c r="BT85" s="10">
        <v>109</v>
      </c>
    </row>
    <row r="86" spans="1:72" ht="20.149999999999999" customHeight="1">
      <c r="B86" s="93" t="s">
        <v>103</v>
      </c>
      <c r="C86" s="94"/>
      <c r="AK86" s="10" t="s">
        <v>29</v>
      </c>
      <c r="AL86" s="10">
        <f t="shared" si="10"/>
        <v>1</v>
      </c>
      <c r="AM86" s="10">
        <f t="shared" si="11"/>
        <v>0</v>
      </c>
      <c r="AN86" s="10">
        <f t="shared" si="12"/>
        <v>0</v>
      </c>
      <c r="AO86" s="10" t="s">
        <v>24</v>
      </c>
      <c r="AP86" s="10">
        <f t="shared" si="13"/>
        <v>0</v>
      </c>
      <c r="AQ86" s="10" t="s">
        <v>25</v>
      </c>
      <c r="AR86" s="10">
        <f t="shared" si="14"/>
        <v>0</v>
      </c>
      <c r="AS86" s="10" t="s">
        <v>27</v>
      </c>
      <c r="AT86" s="10">
        <f t="shared" si="15"/>
        <v>0</v>
      </c>
      <c r="AU86" s="10">
        <f t="shared" si="16"/>
        <v>0</v>
      </c>
      <c r="AV86" s="11">
        <v>28.537515000000003</v>
      </c>
      <c r="AW86" s="11">
        <v>39.416699999999999</v>
      </c>
      <c r="AX86" s="11">
        <v>14.041257</v>
      </c>
      <c r="AY86" s="10">
        <v>100</v>
      </c>
      <c r="AZ86" t="s">
        <v>105</v>
      </c>
      <c r="BA86" s="17">
        <f t="shared" si="17"/>
        <v>0</v>
      </c>
      <c r="BB86" s="17">
        <f t="shared" si="18"/>
        <v>0</v>
      </c>
      <c r="BC86" s="17">
        <f t="shared" si="19"/>
        <v>1</v>
      </c>
      <c r="BG86" s="14">
        <v>1</v>
      </c>
      <c r="BH86" s="14">
        <v>0</v>
      </c>
      <c r="BI86" s="14">
        <v>0</v>
      </c>
      <c r="BJ86" s="14">
        <v>0</v>
      </c>
      <c r="BK86" s="14">
        <v>0</v>
      </c>
      <c r="BL86" s="14">
        <v>0</v>
      </c>
      <c r="BM86" s="14">
        <v>0</v>
      </c>
      <c r="BN86" s="14">
        <v>0</v>
      </c>
      <c r="BO86" s="14">
        <v>0</v>
      </c>
      <c r="BP86" s="14">
        <v>1</v>
      </c>
      <c r="BQ86" s="11">
        <v>28.537515000000003</v>
      </c>
      <c r="BR86" s="11">
        <v>39.416699999999999</v>
      </c>
      <c r="BS86" s="11">
        <v>14.041257</v>
      </c>
      <c r="BT86" s="10">
        <v>100</v>
      </c>
    </row>
    <row r="87" spans="1:72" ht="20.149999999999999" customHeight="1">
      <c r="B87" s="94">
        <v>1</v>
      </c>
      <c r="C87" s="93" t="s">
        <v>100</v>
      </c>
      <c r="P87" s="153">
        <f>M68</f>
        <v>0.77147061194873179</v>
      </c>
      <c r="AK87" s="10" t="s">
        <v>29</v>
      </c>
      <c r="AL87" s="10">
        <f t="shared" si="10"/>
        <v>1</v>
      </c>
      <c r="AM87" s="10">
        <f t="shared" si="11"/>
        <v>0</v>
      </c>
      <c r="AN87" s="10">
        <f t="shared" si="12"/>
        <v>0</v>
      </c>
      <c r="AO87" s="10" t="s">
        <v>24</v>
      </c>
      <c r="AP87" s="10">
        <f t="shared" si="13"/>
        <v>0</v>
      </c>
      <c r="AQ87" s="10" t="s">
        <v>25</v>
      </c>
      <c r="AR87" s="10">
        <f t="shared" si="14"/>
        <v>0</v>
      </c>
      <c r="AS87" s="10" t="s">
        <v>26</v>
      </c>
      <c r="AT87" s="10">
        <f t="shared" si="15"/>
        <v>1</v>
      </c>
      <c r="AU87" s="10">
        <f t="shared" si="16"/>
        <v>0</v>
      </c>
      <c r="AV87" s="11">
        <v>29.212515000000003</v>
      </c>
      <c r="AW87" s="11">
        <v>49.391300000000001</v>
      </c>
      <c r="AX87" s="11">
        <v>12.348099999999999</v>
      </c>
      <c r="AY87" s="10">
        <v>93</v>
      </c>
      <c r="AZ87" t="s">
        <v>104</v>
      </c>
      <c r="BA87" s="17">
        <f t="shared" si="17"/>
        <v>0</v>
      </c>
      <c r="BB87" s="17">
        <f t="shared" si="18"/>
        <v>0</v>
      </c>
      <c r="BC87" s="17">
        <f t="shared" si="19"/>
        <v>0</v>
      </c>
      <c r="BG87" s="14">
        <v>1</v>
      </c>
      <c r="BH87" s="14">
        <v>0</v>
      </c>
      <c r="BI87" s="14">
        <v>0</v>
      </c>
      <c r="BJ87" s="14">
        <v>0</v>
      </c>
      <c r="BK87" s="14">
        <v>0</v>
      </c>
      <c r="BL87" s="14">
        <v>1</v>
      </c>
      <c r="BM87" s="14">
        <v>0</v>
      </c>
      <c r="BN87" s="14">
        <v>0</v>
      </c>
      <c r="BO87" s="14">
        <v>0</v>
      </c>
      <c r="BP87" s="14">
        <v>0</v>
      </c>
      <c r="BQ87" s="11">
        <v>29.212515000000003</v>
      </c>
      <c r="BR87" s="11">
        <v>49.391300000000001</v>
      </c>
      <c r="BS87" s="11">
        <v>12.348099999999999</v>
      </c>
      <c r="BT87" s="10">
        <v>93</v>
      </c>
    </row>
    <row r="88" spans="1:72" ht="20.149999999999999" customHeight="1">
      <c r="B88" s="94">
        <v>2</v>
      </c>
      <c r="C88" s="93" t="s">
        <v>101</v>
      </c>
      <c r="P88" s="153">
        <f>N68</f>
        <v>-8.0936497499485893E-2</v>
      </c>
      <c r="AK88" s="10" t="s">
        <v>29</v>
      </c>
      <c r="AL88" s="10">
        <f t="shared" si="10"/>
        <v>1</v>
      </c>
      <c r="AM88" s="10">
        <f t="shared" si="11"/>
        <v>0</v>
      </c>
      <c r="AN88" s="10">
        <f t="shared" si="12"/>
        <v>0</v>
      </c>
      <c r="AO88" s="10" t="s">
        <v>24</v>
      </c>
      <c r="AP88" s="10">
        <f t="shared" si="13"/>
        <v>0</v>
      </c>
      <c r="AQ88" s="10" t="s">
        <v>11</v>
      </c>
      <c r="AR88" s="10">
        <f t="shared" si="14"/>
        <v>1</v>
      </c>
      <c r="AS88" s="10" t="s">
        <v>27</v>
      </c>
      <c r="AT88" s="10">
        <f t="shared" si="15"/>
        <v>0</v>
      </c>
      <c r="AU88" s="10">
        <f t="shared" si="16"/>
        <v>0</v>
      </c>
      <c r="AV88" s="11">
        <v>28.650015</v>
      </c>
      <c r="AW88" s="11">
        <v>30.217400000000001</v>
      </c>
      <c r="AX88" s="11">
        <v>14.217668</v>
      </c>
      <c r="AY88" s="10">
        <v>83</v>
      </c>
      <c r="AZ88" t="s">
        <v>104</v>
      </c>
      <c r="BA88" s="17">
        <f t="shared" si="17"/>
        <v>0</v>
      </c>
      <c r="BB88" s="17">
        <f t="shared" si="18"/>
        <v>0</v>
      </c>
      <c r="BC88" s="17">
        <f t="shared" si="19"/>
        <v>0</v>
      </c>
      <c r="BG88" s="14">
        <v>1</v>
      </c>
      <c r="BH88" s="14">
        <v>0</v>
      </c>
      <c r="BI88" s="14">
        <v>0</v>
      </c>
      <c r="BJ88" s="14">
        <v>0</v>
      </c>
      <c r="BK88" s="14">
        <v>1</v>
      </c>
      <c r="BL88" s="14">
        <v>0</v>
      </c>
      <c r="BM88" s="14">
        <v>0</v>
      </c>
      <c r="BN88" s="14">
        <v>0</v>
      </c>
      <c r="BO88" s="14">
        <v>0</v>
      </c>
      <c r="BP88" s="14">
        <v>0</v>
      </c>
      <c r="BQ88" s="11">
        <v>28.650015</v>
      </c>
      <c r="BR88" s="11">
        <v>30.217400000000001</v>
      </c>
      <c r="BS88" s="11">
        <v>14.217668</v>
      </c>
      <c r="BT88" s="10">
        <v>83</v>
      </c>
    </row>
    <row r="89" spans="1:72" ht="20.149999999999999" customHeight="1">
      <c r="B89" s="94">
        <v>3</v>
      </c>
      <c r="C89" s="93" t="s">
        <v>102</v>
      </c>
      <c r="D89" s="93"/>
      <c r="E89" s="93"/>
      <c r="F89" s="93"/>
      <c r="G89" s="93"/>
      <c r="H89" s="93"/>
      <c r="I89" s="93"/>
      <c r="J89" s="93"/>
      <c r="K89" s="93"/>
      <c r="L89" s="93"/>
      <c r="P89" s="153">
        <f>P88</f>
        <v>-8.0936497499485893E-2</v>
      </c>
      <c r="AK89" s="10" t="s">
        <v>29</v>
      </c>
      <c r="AL89" s="10">
        <f t="shared" si="10"/>
        <v>1</v>
      </c>
      <c r="AM89" s="10">
        <f t="shared" si="11"/>
        <v>0</v>
      </c>
      <c r="AN89" s="10">
        <f t="shared" si="12"/>
        <v>0</v>
      </c>
      <c r="AO89" s="10" t="s">
        <v>24</v>
      </c>
      <c r="AP89" s="10">
        <f t="shared" si="13"/>
        <v>0</v>
      </c>
      <c r="AQ89" s="10" t="s">
        <v>11</v>
      </c>
      <c r="AR89" s="10">
        <f t="shared" si="14"/>
        <v>1</v>
      </c>
      <c r="AS89" s="10" t="s">
        <v>27</v>
      </c>
      <c r="AT89" s="10">
        <f t="shared" si="15"/>
        <v>0</v>
      </c>
      <c r="AU89" s="10">
        <f t="shared" si="16"/>
        <v>0</v>
      </c>
      <c r="AV89" s="11">
        <v>28.574999999999999</v>
      </c>
      <c r="AW89" s="11">
        <v>31.416699999999999</v>
      </c>
      <c r="AX89" s="11">
        <v>15.208731999999999</v>
      </c>
      <c r="AY89" s="10">
        <v>79</v>
      </c>
      <c r="AZ89" t="s">
        <v>104</v>
      </c>
      <c r="BA89" s="17">
        <f t="shared" si="17"/>
        <v>0</v>
      </c>
      <c r="BB89" s="17">
        <f t="shared" si="18"/>
        <v>0</v>
      </c>
      <c r="BC89" s="17">
        <f t="shared" si="19"/>
        <v>0</v>
      </c>
      <c r="BG89" s="14">
        <v>1</v>
      </c>
      <c r="BH89" s="14">
        <v>0</v>
      </c>
      <c r="BI89" s="14">
        <v>0</v>
      </c>
      <c r="BJ89" s="14">
        <v>0</v>
      </c>
      <c r="BK89" s="14">
        <v>1</v>
      </c>
      <c r="BL89" s="14">
        <v>0</v>
      </c>
      <c r="BM89" s="14">
        <v>0</v>
      </c>
      <c r="BN89" s="14">
        <v>0</v>
      </c>
      <c r="BO89" s="14">
        <v>0</v>
      </c>
      <c r="BP89" s="14">
        <v>0</v>
      </c>
      <c r="BQ89" s="11">
        <v>28.574999999999999</v>
      </c>
      <c r="BR89" s="11">
        <v>31.416699999999999</v>
      </c>
      <c r="BS89" s="11">
        <v>15.208731999999999</v>
      </c>
      <c r="BT89" s="10">
        <v>79</v>
      </c>
    </row>
    <row r="90" spans="1:72" ht="13" customHeight="1" thickBot="1">
      <c r="AK90" s="10" t="s">
        <v>29</v>
      </c>
      <c r="AL90" s="10">
        <f t="shared" si="10"/>
        <v>1</v>
      </c>
      <c r="AM90" s="10">
        <f t="shared" si="11"/>
        <v>0</v>
      </c>
      <c r="AN90" s="10">
        <f t="shared" si="12"/>
        <v>0</v>
      </c>
      <c r="AO90" s="10" t="s">
        <v>24</v>
      </c>
      <c r="AP90" s="10">
        <f t="shared" si="13"/>
        <v>0</v>
      </c>
      <c r="AQ90" s="10" t="s">
        <v>11</v>
      </c>
      <c r="AR90" s="10">
        <f t="shared" si="14"/>
        <v>1</v>
      </c>
      <c r="AS90" s="10" t="s">
        <v>26</v>
      </c>
      <c r="AT90" s="10">
        <f t="shared" si="15"/>
        <v>1</v>
      </c>
      <c r="AU90" s="10">
        <f t="shared" si="16"/>
        <v>0</v>
      </c>
      <c r="AV90" s="11">
        <v>27.750014999999998</v>
      </c>
      <c r="AW90" s="11">
        <v>64.666700000000006</v>
      </c>
      <c r="AX90" s="11">
        <v>11.583495999999998</v>
      </c>
      <c r="AY90" s="10">
        <v>97</v>
      </c>
      <c r="AZ90" t="s">
        <v>104</v>
      </c>
      <c r="BA90" s="17">
        <f t="shared" si="17"/>
        <v>0</v>
      </c>
      <c r="BB90" s="17">
        <f t="shared" si="18"/>
        <v>0</v>
      </c>
      <c r="BC90" s="17">
        <f t="shared" si="19"/>
        <v>0</v>
      </c>
      <c r="BG90" s="14">
        <v>1</v>
      </c>
      <c r="BH90" s="14">
        <v>0</v>
      </c>
      <c r="BI90" s="14">
        <v>0</v>
      </c>
      <c r="BJ90" s="14">
        <v>0</v>
      </c>
      <c r="BK90" s="14">
        <v>1</v>
      </c>
      <c r="BL90" s="14">
        <v>1</v>
      </c>
      <c r="BM90" s="14">
        <v>0</v>
      </c>
      <c r="BN90" s="14">
        <v>0</v>
      </c>
      <c r="BO90" s="14">
        <v>0</v>
      </c>
      <c r="BP90" s="14">
        <v>0</v>
      </c>
      <c r="BQ90" s="11">
        <v>27.750014999999998</v>
      </c>
      <c r="BR90" s="11">
        <v>64.666700000000006</v>
      </c>
      <c r="BS90" s="11">
        <v>11.583495999999998</v>
      </c>
      <c r="BT90" s="10">
        <v>97</v>
      </c>
    </row>
    <row r="91" spans="1:72" ht="20.149999999999999" customHeight="1">
      <c r="B91" s="95"/>
      <c r="C91" s="256"/>
      <c r="D91" s="262" t="s">
        <v>274</v>
      </c>
      <c r="E91" s="262"/>
      <c r="F91" s="260">
        <f>CORREL(E130:E494,D130:D494)</f>
        <v>0.77147061194873179</v>
      </c>
      <c r="G91" s="76"/>
      <c r="H91" s="76"/>
      <c r="I91" s="76"/>
      <c r="J91" s="76"/>
      <c r="K91" s="76"/>
      <c r="L91" s="76"/>
      <c r="M91" s="260"/>
      <c r="N91" s="260" t="s">
        <v>274</v>
      </c>
      <c r="O91" s="260"/>
      <c r="P91" s="260">
        <f>CORREL(F129:F494,G129:G494)</f>
        <v>-8.0936497499485893E-2</v>
      </c>
      <c r="Q91" s="76"/>
      <c r="R91" s="76"/>
      <c r="S91" s="76"/>
      <c r="T91" s="76"/>
      <c r="U91" s="76"/>
      <c r="V91" s="76"/>
      <c r="W91" s="76"/>
      <c r="X91" s="255"/>
      <c r="Y91" s="255"/>
      <c r="Z91" s="257"/>
      <c r="AA91" s="260" t="s">
        <v>274</v>
      </c>
      <c r="AB91" s="257"/>
      <c r="AC91" s="260">
        <f>CORREL(BS1:BS366,BT1:BT366)</f>
        <v>0.13701667243930643</v>
      </c>
      <c r="AD91" s="76"/>
      <c r="AE91" s="76"/>
      <c r="AF91" s="76"/>
      <c r="AG91" s="76"/>
      <c r="AH91" s="77"/>
      <c r="AK91" s="10" t="s">
        <v>29</v>
      </c>
      <c r="AL91" s="10">
        <f t="shared" si="10"/>
        <v>1</v>
      </c>
      <c r="AM91" s="10">
        <f t="shared" si="11"/>
        <v>0</v>
      </c>
      <c r="AN91" s="10">
        <f t="shared" si="12"/>
        <v>0</v>
      </c>
      <c r="AO91" s="10" t="s">
        <v>24</v>
      </c>
      <c r="AP91" s="10">
        <f t="shared" si="13"/>
        <v>0</v>
      </c>
      <c r="AQ91" s="10" t="s">
        <v>11</v>
      </c>
      <c r="AR91" s="10">
        <f t="shared" si="14"/>
        <v>1</v>
      </c>
      <c r="AS91" s="10" t="s">
        <v>28</v>
      </c>
      <c r="AT91" s="10">
        <f t="shared" si="15"/>
        <v>0</v>
      </c>
      <c r="AU91" s="10">
        <f t="shared" si="16"/>
        <v>1</v>
      </c>
      <c r="AV91" s="11">
        <v>25.387515</v>
      </c>
      <c r="AW91" s="11">
        <v>91.833299999999994</v>
      </c>
      <c r="AX91" s="11">
        <v>14.582282000000001</v>
      </c>
      <c r="AY91" s="10">
        <v>104</v>
      </c>
      <c r="AZ91" t="s">
        <v>105</v>
      </c>
      <c r="BA91" s="17">
        <f t="shared" si="17"/>
        <v>0</v>
      </c>
      <c r="BB91" s="17">
        <f t="shared" si="18"/>
        <v>0</v>
      </c>
      <c r="BC91" s="17">
        <f t="shared" si="19"/>
        <v>1</v>
      </c>
      <c r="BG91" s="14">
        <v>1</v>
      </c>
      <c r="BH91" s="14">
        <v>0</v>
      </c>
      <c r="BI91" s="14">
        <v>0</v>
      </c>
      <c r="BJ91" s="14">
        <v>0</v>
      </c>
      <c r="BK91" s="14">
        <v>1</v>
      </c>
      <c r="BL91" s="14">
        <v>0</v>
      </c>
      <c r="BM91" s="14">
        <v>1</v>
      </c>
      <c r="BN91" s="14">
        <v>0</v>
      </c>
      <c r="BO91" s="14">
        <v>0</v>
      </c>
      <c r="BP91" s="14">
        <v>1</v>
      </c>
      <c r="BQ91" s="11">
        <v>25.387515</v>
      </c>
      <c r="BR91" s="11">
        <v>91.833299999999994</v>
      </c>
      <c r="BS91" s="11">
        <v>14.582282000000001</v>
      </c>
      <c r="BT91" s="10">
        <v>104</v>
      </c>
    </row>
    <row r="92" spans="1:72" ht="20.149999999999999" customHeight="1">
      <c r="B92" s="87"/>
      <c r="C92" s="258"/>
      <c r="D92" s="263" t="s">
        <v>268</v>
      </c>
      <c r="E92" s="263"/>
      <c r="F92" s="261">
        <f>CORREL(E130:E494,D130:D494)^2</f>
        <v>0.5951669051005507</v>
      </c>
      <c r="G92" s="153"/>
      <c r="H92" s="153"/>
      <c r="I92" s="153"/>
      <c r="J92" s="153"/>
      <c r="K92" s="153"/>
      <c r="L92" s="153"/>
      <c r="M92" s="261"/>
      <c r="N92" s="261" t="s">
        <v>268</v>
      </c>
      <c r="O92" s="261"/>
      <c r="P92" s="261">
        <f>CORREL(F129:F494,G129:G494)^2</f>
        <v>6.5507166274842866E-3</v>
      </c>
      <c r="Q92" s="153"/>
      <c r="R92" s="153"/>
      <c r="S92" s="153"/>
      <c r="T92" s="153"/>
      <c r="U92" s="153"/>
      <c r="V92" s="153"/>
      <c r="W92" s="153"/>
      <c r="Z92" s="259"/>
      <c r="AA92" s="261" t="s">
        <v>268</v>
      </c>
      <c r="AB92" s="259"/>
      <c r="AC92" s="261">
        <f>CORREL(BS1:BS366,BT1:BT366)^2</f>
        <v>1.8773568526340195E-2</v>
      </c>
      <c r="AH92" s="64"/>
      <c r="AK92" s="10" t="s">
        <v>29</v>
      </c>
      <c r="AL92" s="10">
        <f t="shared" si="10"/>
        <v>1</v>
      </c>
      <c r="AM92" s="10">
        <f t="shared" si="11"/>
        <v>0</v>
      </c>
      <c r="AN92" s="10">
        <f t="shared" si="12"/>
        <v>0</v>
      </c>
      <c r="AO92" s="10" t="s">
        <v>24</v>
      </c>
      <c r="AP92" s="10">
        <f t="shared" si="13"/>
        <v>0</v>
      </c>
      <c r="AQ92" s="10" t="s">
        <v>11</v>
      </c>
      <c r="AR92" s="10">
        <f t="shared" si="14"/>
        <v>1</v>
      </c>
      <c r="AS92" s="10" t="s">
        <v>26</v>
      </c>
      <c r="AT92" s="10">
        <f t="shared" si="15"/>
        <v>1</v>
      </c>
      <c r="AU92" s="10">
        <f t="shared" si="16"/>
        <v>0</v>
      </c>
      <c r="AV92" s="11">
        <v>18.45</v>
      </c>
      <c r="AW92" s="11">
        <v>68.625</v>
      </c>
      <c r="AX92" s="11">
        <v>17.333435999999999</v>
      </c>
      <c r="AY92" s="10">
        <v>49</v>
      </c>
      <c r="AZ92" t="s">
        <v>106</v>
      </c>
      <c r="BA92" s="17">
        <f t="shared" si="17"/>
        <v>0</v>
      </c>
      <c r="BB92" s="17">
        <f t="shared" si="18"/>
        <v>1</v>
      </c>
      <c r="BC92" s="17">
        <f t="shared" si="19"/>
        <v>0</v>
      </c>
      <c r="BG92" s="14">
        <v>1</v>
      </c>
      <c r="BH92" s="14">
        <v>0</v>
      </c>
      <c r="BI92" s="14">
        <v>0</v>
      </c>
      <c r="BJ92" s="14">
        <v>0</v>
      </c>
      <c r="BK92" s="14">
        <v>1</v>
      </c>
      <c r="BL92" s="14">
        <v>1</v>
      </c>
      <c r="BM92" s="14">
        <v>0</v>
      </c>
      <c r="BN92" s="14">
        <v>0</v>
      </c>
      <c r="BO92" s="14">
        <v>1</v>
      </c>
      <c r="BP92" s="14">
        <v>0</v>
      </c>
      <c r="BQ92" s="11">
        <v>18.45</v>
      </c>
      <c r="BR92" s="11">
        <v>68.625</v>
      </c>
      <c r="BS92" s="11">
        <v>17.333435999999999</v>
      </c>
      <c r="BT92" s="10">
        <v>49</v>
      </c>
    </row>
    <row r="93" spans="1:72" ht="20.149999999999999" customHeight="1">
      <c r="B93" s="87"/>
      <c r="G93" s="153"/>
      <c r="H93" s="153"/>
      <c r="I93" s="153"/>
      <c r="J93" s="153"/>
      <c r="K93" s="153"/>
      <c r="L93" s="153"/>
      <c r="Q93" s="153"/>
      <c r="R93" s="153"/>
      <c r="S93" s="153"/>
      <c r="T93" s="153"/>
      <c r="U93" s="153"/>
      <c r="V93" s="153"/>
      <c r="W93" s="153"/>
      <c r="AB93" s="153"/>
      <c r="AH93" s="64"/>
      <c r="AK93" s="10" t="s">
        <v>29</v>
      </c>
      <c r="AL93" s="10">
        <f t="shared" si="10"/>
        <v>1</v>
      </c>
      <c r="AM93" s="10">
        <f t="shared" si="11"/>
        <v>0</v>
      </c>
      <c r="AN93" s="10">
        <f t="shared" si="12"/>
        <v>0</v>
      </c>
      <c r="AO93" s="10" t="s">
        <v>24</v>
      </c>
      <c r="AP93" s="10">
        <f t="shared" si="13"/>
        <v>0</v>
      </c>
      <c r="AQ93" s="10" t="s">
        <v>25</v>
      </c>
      <c r="AR93" s="10">
        <f t="shared" si="14"/>
        <v>0</v>
      </c>
      <c r="AS93" s="10" t="s">
        <v>26</v>
      </c>
      <c r="AT93" s="10">
        <f t="shared" si="15"/>
        <v>1</v>
      </c>
      <c r="AU93" s="10">
        <f t="shared" si="16"/>
        <v>0</v>
      </c>
      <c r="AV93" s="11">
        <v>16.050015000000002</v>
      </c>
      <c r="AW93" s="11">
        <v>65.375</v>
      </c>
      <c r="AX93" s="11">
        <v>13.208781999999999</v>
      </c>
      <c r="AY93" s="10">
        <v>58</v>
      </c>
      <c r="AZ93" t="s">
        <v>106</v>
      </c>
      <c r="BA93" s="17">
        <f t="shared" si="17"/>
        <v>0</v>
      </c>
      <c r="BB93" s="17">
        <f t="shared" si="18"/>
        <v>1</v>
      </c>
      <c r="BC93" s="17">
        <f t="shared" si="19"/>
        <v>0</v>
      </c>
      <c r="BG93" s="14">
        <v>1</v>
      </c>
      <c r="BH93" s="14">
        <v>0</v>
      </c>
      <c r="BI93" s="14">
        <v>0</v>
      </c>
      <c r="BJ93" s="14">
        <v>0</v>
      </c>
      <c r="BK93" s="14">
        <v>0</v>
      </c>
      <c r="BL93" s="14">
        <v>1</v>
      </c>
      <c r="BM93" s="14">
        <v>0</v>
      </c>
      <c r="BN93" s="14">
        <v>0</v>
      </c>
      <c r="BO93" s="14">
        <v>1</v>
      </c>
      <c r="BP93" s="14">
        <v>0</v>
      </c>
      <c r="BQ93" s="11">
        <v>16.050015000000002</v>
      </c>
      <c r="BR93" s="11">
        <v>65.375</v>
      </c>
      <c r="BS93" s="11">
        <v>13.208781999999999</v>
      </c>
      <c r="BT93" s="10">
        <v>58</v>
      </c>
    </row>
    <row r="94" spans="1:72" ht="20.149999999999999" customHeight="1">
      <c r="B94" s="87"/>
      <c r="F94" s="153"/>
      <c r="G94" s="153"/>
      <c r="H94" s="153"/>
      <c r="I94" s="153"/>
      <c r="J94" s="153"/>
      <c r="K94" s="153"/>
      <c r="L94" s="153"/>
      <c r="M94" s="153"/>
      <c r="N94" s="153"/>
      <c r="O94" s="153"/>
      <c r="P94" s="153"/>
      <c r="Q94" s="153"/>
      <c r="R94" s="153"/>
      <c r="S94" s="153"/>
      <c r="T94" s="153"/>
      <c r="U94" s="153"/>
      <c r="V94" s="153"/>
      <c r="W94" s="153"/>
      <c r="X94" s="153"/>
      <c r="Y94" s="153"/>
      <c r="Z94" s="153"/>
      <c r="AA94" s="153"/>
      <c r="AB94" s="153"/>
      <c r="AH94" s="64"/>
      <c r="AK94" s="10" t="s">
        <v>29</v>
      </c>
      <c r="AL94" s="10">
        <f t="shared" si="10"/>
        <v>1</v>
      </c>
      <c r="AM94" s="10">
        <f t="shared" si="11"/>
        <v>0</v>
      </c>
      <c r="AN94" s="10">
        <f t="shared" si="12"/>
        <v>0</v>
      </c>
      <c r="AO94" s="10" t="s">
        <v>24</v>
      </c>
      <c r="AP94" s="10">
        <f t="shared" si="13"/>
        <v>0</v>
      </c>
      <c r="AQ94" s="10" t="s">
        <v>25</v>
      </c>
      <c r="AR94" s="10">
        <f t="shared" si="14"/>
        <v>0</v>
      </c>
      <c r="AS94" s="10" t="s">
        <v>27</v>
      </c>
      <c r="AT94" s="10">
        <f t="shared" si="15"/>
        <v>0</v>
      </c>
      <c r="AU94" s="10">
        <f t="shared" si="16"/>
        <v>0</v>
      </c>
      <c r="AV94" s="11">
        <v>17.287514999999999</v>
      </c>
      <c r="AW94" s="11">
        <v>48</v>
      </c>
      <c r="AX94" s="11">
        <v>12.208271000000002</v>
      </c>
      <c r="AY94" s="10">
        <v>72</v>
      </c>
      <c r="AZ94" t="s">
        <v>104</v>
      </c>
      <c r="BA94" s="17">
        <f t="shared" si="17"/>
        <v>0</v>
      </c>
      <c r="BB94" s="17">
        <f t="shared" si="18"/>
        <v>0</v>
      </c>
      <c r="BC94" s="17">
        <f t="shared" si="19"/>
        <v>0</v>
      </c>
      <c r="BG94" s="14">
        <v>1</v>
      </c>
      <c r="BH94" s="14">
        <v>0</v>
      </c>
      <c r="BI94" s="14">
        <v>0</v>
      </c>
      <c r="BJ94" s="14">
        <v>0</v>
      </c>
      <c r="BK94" s="14">
        <v>0</v>
      </c>
      <c r="BL94" s="14">
        <v>0</v>
      </c>
      <c r="BM94" s="14">
        <v>0</v>
      </c>
      <c r="BN94" s="14">
        <v>0</v>
      </c>
      <c r="BO94" s="14">
        <v>0</v>
      </c>
      <c r="BP94" s="14">
        <v>0</v>
      </c>
      <c r="BQ94" s="11">
        <v>17.287514999999999</v>
      </c>
      <c r="BR94" s="11">
        <v>48</v>
      </c>
      <c r="BS94" s="11">
        <v>12.208271000000002</v>
      </c>
      <c r="BT94" s="10">
        <v>72</v>
      </c>
    </row>
    <row r="95" spans="1:72" ht="20.149999999999999" customHeight="1">
      <c r="B95" s="87"/>
      <c r="AH95" s="64"/>
      <c r="AK95" s="10" t="s">
        <v>29</v>
      </c>
      <c r="AL95" s="10">
        <f t="shared" si="10"/>
        <v>1</v>
      </c>
      <c r="AM95" s="10">
        <f t="shared" si="11"/>
        <v>0</v>
      </c>
      <c r="AN95" s="10">
        <f t="shared" si="12"/>
        <v>0</v>
      </c>
      <c r="AO95" s="10" t="s">
        <v>24</v>
      </c>
      <c r="AP95" s="10">
        <f t="shared" si="13"/>
        <v>0</v>
      </c>
      <c r="AQ95" s="10" t="s">
        <v>11</v>
      </c>
      <c r="AR95" s="10">
        <f t="shared" si="14"/>
        <v>1</v>
      </c>
      <c r="AS95" s="10" t="s">
        <v>27</v>
      </c>
      <c r="AT95" s="10">
        <f t="shared" si="15"/>
        <v>0</v>
      </c>
      <c r="AU95" s="10">
        <f t="shared" si="16"/>
        <v>0</v>
      </c>
      <c r="AV95" s="11">
        <v>21.787514999999999</v>
      </c>
      <c r="AW95" s="11">
        <v>42.625</v>
      </c>
      <c r="AX95" s="11">
        <v>25.833257</v>
      </c>
      <c r="AY95" s="10">
        <v>89</v>
      </c>
      <c r="AZ95" t="s">
        <v>104</v>
      </c>
      <c r="BA95" s="17">
        <f t="shared" si="17"/>
        <v>0</v>
      </c>
      <c r="BB95" s="17">
        <f t="shared" si="18"/>
        <v>0</v>
      </c>
      <c r="BC95" s="17">
        <f t="shared" si="19"/>
        <v>0</v>
      </c>
      <c r="BG95" s="14">
        <v>1</v>
      </c>
      <c r="BH95" s="14">
        <v>0</v>
      </c>
      <c r="BI95" s="14">
        <v>0</v>
      </c>
      <c r="BJ95" s="14">
        <v>0</v>
      </c>
      <c r="BK95" s="14">
        <v>1</v>
      </c>
      <c r="BL95" s="14">
        <v>0</v>
      </c>
      <c r="BM95" s="14">
        <v>0</v>
      </c>
      <c r="BN95" s="14">
        <v>0</v>
      </c>
      <c r="BO95" s="14">
        <v>0</v>
      </c>
      <c r="BP95" s="14">
        <v>0</v>
      </c>
      <c r="BQ95" s="11">
        <v>21.787514999999999</v>
      </c>
      <c r="BR95" s="11">
        <v>42.625</v>
      </c>
      <c r="BS95" s="11">
        <v>25.833257</v>
      </c>
      <c r="BT95" s="10">
        <v>89</v>
      </c>
    </row>
    <row r="96" spans="1:72" ht="20.149999999999999" customHeight="1">
      <c r="B96" s="87"/>
      <c r="AH96" s="64"/>
      <c r="AK96" s="10" t="s">
        <v>29</v>
      </c>
      <c r="AL96" s="10">
        <f t="shared" si="10"/>
        <v>1</v>
      </c>
      <c r="AM96" s="10">
        <f t="shared" si="11"/>
        <v>0</v>
      </c>
      <c r="AN96" s="10">
        <f t="shared" si="12"/>
        <v>0</v>
      </c>
      <c r="AO96" s="10" t="s">
        <v>24</v>
      </c>
      <c r="AP96" s="10">
        <f t="shared" si="13"/>
        <v>0</v>
      </c>
      <c r="AQ96" s="10" t="s">
        <v>11</v>
      </c>
      <c r="AR96" s="10">
        <f t="shared" si="14"/>
        <v>1</v>
      </c>
      <c r="AS96" s="10" t="s">
        <v>26</v>
      </c>
      <c r="AT96" s="10">
        <f t="shared" si="15"/>
        <v>1</v>
      </c>
      <c r="AU96" s="10">
        <f t="shared" si="16"/>
        <v>0</v>
      </c>
      <c r="AV96" s="11">
        <v>24.224984999999997</v>
      </c>
      <c r="AW96" s="11">
        <v>64.208299999999994</v>
      </c>
      <c r="AX96" s="11">
        <v>26.000488999999998</v>
      </c>
      <c r="AY96" s="10">
        <v>96</v>
      </c>
      <c r="AZ96" t="s">
        <v>104</v>
      </c>
      <c r="BA96" s="17">
        <f t="shared" si="17"/>
        <v>0</v>
      </c>
      <c r="BB96" s="17">
        <f t="shared" si="18"/>
        <v>0</v>
      </c>
      <c r="BC96" s="17">
        <f t="shared" si="19"/>
        <v>0</v>
      </c>
      <c r="BG96" s="14">
        <v>1</v>
      </c>
      <c r="BH96" s="14">
        <v>0</v>
      </c>
      <c r="BI96" s="14">
        <v>0</v>
      </c>
      <c r="BJ96" s="14">
        <v>0</v>
      </c>
      <c r="BK96" s="14">
        <v>1</v>
      </c>
      <c r="BL96" s="14">
        <v>1</v>
      </c>
      <c r="BM96" s="14">
        <v>0</v>
      </c>
      <c r="BN96" s="14">
        <v>0</v>
      </c>
      <c r="BO96" s="14">
        <v>0</v>
      </c>
      <c r="BP96" s="14">
        <v>0</v>
      </c>
      <c r="BQ96" s="11">
        <v>24.224984999999997</v>
      </c>
      <c r="BR96" s="11">
        <v>64.208299999999994</v>
      </c>
      <c r="BS96" s="11">
        <v>26.000488999999998</v>
      </c>
      <c r="BT96" s="10">
        <v>96</v>
      </c>
    </row>
    <row r="97" spans="1:72" ht="37.5" customHeight="1">
      <c r="B97" s="87"/>
      <c r="AH97" s="64"/>
      <c r="AK97" s="10" t="s">
        <v>29</v>
      </c>
      <c r="AL97" s="10">
        <f t="shared" si="10"/>
        <v>1</v>
      </c>
      <c r="AM97" s="10">
        <f t="shared" si="11"/>
        <v>0</v>
      </c>
      <c r="AN97" s="10">
        <f t="shared" si="12"/>
        <v>0</v>
      </c>
      <c r="AO97" s="10" t="s">
        <v>24</v>
      </c>
      <c r="AP97" s="10">
        <f t="shared" si="13"/>
        <v>0</v>
      </c>
      <c r="AQ97" s="10" t="s">
        <v>11</v>
      </c>
      <c r="AR97" s="10">
        <f t="shared" si="14"/>
        <v>1</v>
      </c>
      <c r="AS97" s="10" t="s">
        <v>27</v>
      </c>
      <c r="AT97" s="10">
        <f t="shared" si="15"/>
        <v>0</v>
      </c>
      <c r="AU97" s="10">
        <f t="shared" si="16"/>
        <v>0</v>
      </c>
      <c r="AV97" s="11">
        <v>22.237515000000002</v>
      </c>
      <c r="AW97" s="11">
        <v>47.083300000000001</v>
      </c>
      <c r="AX97" s="11">
        <v>17.625221</v>
      </c>
      <c r="AY97" s="10">
        <v>96</v>
      </c>
      <c r="AZ97" t="s">
        <v>104</v>
      </c>
      <c r="BA97" s="17">
        <f t="shared" si="17"/>
        <v>0</v>
      </c>
      <c r="BB97" s="17">
        <f t="shared" si="18"/>
        <v>0</v>
      </c>
      <c r="BC97" s="17">
        <f t="shared" si="19"/>
        <v>0</v>
      </c>
      <c r="BG97" s="14">
        <v>1</v>
      </c>
      <c r="BH97" s="14">
        <v>0</v>
      </c>
      <c r="BI97" s="14">
        <v>0</v>
      </c>
      <c r="BJ97" s="14">
        <v>0</v>
      </c>
      <c r="BK97" s="14">
        <v>1</v>
      </c>
      <c r="BL97" s="14">
        <v>0</v>
      </c>
      <c r="BM97" s="14">
        <v>0</v>
      </c>
      <c r="BN97" s="14">
        <v>0</v>
      </c>
      <c r="BO97" s="14">
        <v>0</v>
      </c>
      <c r="BP97" s="14">
        <v>0</v>
      </c>
      <c r="BQ97" s="11">
        <v>22.237515000000002</v>
      </c>
      <c r="BR97" s="11">
        <v>47.083300000000001</v>
      </c>
      <c r="BS97" s="11">
        <v>17.625221</v>
      </c>
      <c r="BT97" s="10">
        <v>96</v>
      </c>
    </row>
    <row r="98" spans="1:72" ht="20.149999999999999" customHeight="1">
      <c r="B98" s="87"/>
      <c r="AH98" s="64"/>
      <c r="AK98" s="10" t="s">
        <v>29</v>
      </c>
      <c r="AL98" s="10">
        <f t="shared" si="10"/>
        <v>1</v>
      </c>
      <c r="AM98" s="10">
        <f t="shared" si="11"/>
        <v>0</v>
      </c>
      <c r="AN98" s="10">
        <f t="shared" si="12"/>
        <v>0</v>
      </c>
      <c r="AO98" s="10" t="s">
        <v>24</v>
      </c>
      <c r="AP98" s="10">
        <f t="shared" si="13"/>
        <v>0</v>
      </c>
      <c r="AQ98" s="10" t="s">
        <v>11</v>
      </c>
      <c r="AR98" s="10">
        <f t="shared" si="14"/>
        <v>1</v>
      </c>
      <c r="AS98" s="10" t="s">
        <v>27</v>
      </c>
      <c r="AT98" s="10">
        <f t="shared" si="15"/>
        <v>0</v>
      </c>
      <c r="AU98" s="10">
        <f t="shared" si="16"/>
        <v>0</v>
      </c>
      <c r="AV98" s="11">
        <v>22.987485</v>
      </c>
      <c r="AW98" s="11">
        <v>60.291700000000006</v>
      </c>
      <c r="AX98" s="11">
        <v>10.874904000000001</v>
      </c>
      <c r="AY98" s="10">
        <v>100</v>
      </c>
      <c r="AZ98" t="s">
        <v>105</v>
      </c>
      <c r="BA98" s="17">
        <f t="shared" si="17"/>
        <v>0</v>
      </c>
      <c r="BB98" s="17">
        <f t="shared" si="18"/>
        <v>0</v>
      </c>
      <c r="BC98" s="17">
        <f t="shared" si="19"/>
        <v>1</v>
      </c>
      <c r="BG98" s="14">
        <v>1</v>
      </c>
      <c r="BH98" s="14">
        <v>0</v>
      </c>
      <c r="BI98" s="14">
        <v>0</v>
      </c>
      <c r="BJ98" s="14">
        <v>0</v>
      </c>
      <c r="BK98" s="14">
        <v>1</v>
      </c>
      <c r="BL98" s="14">
        <v>0</v>
      </c>
      <c r="BM98" s="14">
        <v>0</v>
      </c>
      <c r="BN98" s="14">
        <v>0</v>
      </c>
      <c r="BO98" s="14">
        <v>0</v>
      </c>
      <c r="BP98" s="14">
        <v>1</v>
      </c>
      <c r="BQ98" s="11">
        <v>22.987485</v>
      </c>
      <c r="BR98" s="11">
        <v>60.291700000000006</v>
      </c>
      <c r="BS98" s="11">
        <v>10.874904000000001</v>
      </c>
      <c r="BT98" s="10">
        <v>100</v>
      </c>
    </row>
    <row r="99" spans="1:72" ht="20.149999999999999" customHeight="1">
      <c r="B99" s="87"/>
      <c r="AH99" s="64"/>
      <c r="AK99" s="10" t="s">
        <v>29</v>
      </c>
      <c r="AL99" s="10">
        <f t="shared" si="10"/>
        <v>1</v>
      </c>
      <c r="AM99" s="10">
        <f t="shared" si="11"/>
        <v>0</v>
      </c>
      <c r="AN99" s="10">
        <f t="shared" si="12"/>
        <v>0</v>
      </c>
      <c r="AO99" s="10" t="s">
        <v>24</v>
      </c>
      <c r="AP99" s="10">
        <f t="shared" si="13"/>
        <v>0</v>
      </c>
      <c r="AQ99" s="10" t="s">
        <v>11</v>
      </c>
      <c r="AR99" s="10">
        <f t="shared" si="14"/>
        <v>1</v>
      </c>
      <c r="AS99" s="10" t="s">
        <v>26</v>
      </c>
      <c r="AT99" s="10">
        <f t="shared" si="15"/>
        <v>1</v>
      </c>
      <c r="AU99" s="10">
        <f t="shared" si="16"/>
        <v>0</v>
      </c>
      <c r="AV99" s="11">
        <v>23.475014999999999</v>
      </c>
      <c r="AW99" s="11">
        <v>83.625</v>
      </c>
      <c r="AX99" s="11">
        <v>15.208463999999999</v>
      </c>
      <c r="AY99" s="10">
        <v>108</v>
      </c>
      <c r="AZ99" t="s">
        <v>105</v>
      </c>
      <c r="BA99" s="17">
        <f t="shared" si="17"/>
        <v>0</v>
      </c>
      <c r="BB99" s="17">
        <f t="shared" si="18"/>
        <v>0</v>
      </c>
      <c r="BC99" s="17">
        <f t="shared" si="19"/>
        <v>1</v>
      </c>
      <c r="BG99" s="14">
        <v>1</v>
      </c>
      <c r="BH99" s="14">
        <v>0</v>
      </c>
      <c r="BI99" s="14">
        <v>0</v>
      </c>
      <c r="BJ99" s="14">
        <v>0</v>
      </c>
      <c r="BK99" s="14">
        <v>1</v>
      </c>
      <c r="BL99" s="14">
        <v>1</v>
      </c>
      <c r="BM99" s="14">
        <v>0</v>
      </c>
      <c r="BN99" s="14">
        <v>0</v>
      </c>
      <c r="BO99" s="14">
        <v>0</v>
      </c>
      <c r="BP99" s="14">
        <v>1</v>
      </c>
      <c r="BQ99" s="11">
        <v>23.475014999999999</v>
      </c>
      <c r="BR99" s="11">
        <v>83.625</v>
      </c>
      <c r="BS99" s="11">
        <v>15.208463999999999</v>
      </c>
      <c r="BT99" s="10">
        <v>108</v>
      </c>
    </row>
    <row r="100" spans="1:72" ht="20.149999999999999" customHeight="1">
      <c r="B100" s="87"/>
      <c r="AH100" s="64"/>
      <c r="AK100" s="10" t="s">
        <v>29</v>
      </c>
      <c r="AL100" s="10">
        <f t="shared" si="10"/>
        <v>1</v>
      </c>
      <c r="AM100" s="10">
        <f t="shared" si="11"/>
        <v>0</v>
      </c>
      <c r="AN100" s="10">
        <f t="shared" si="12"/>
        <v>0</v>
      </c>
      <c r="AO100" s="10" t="s">
        <v>24</v>
      </c>
      <c r="AP100" s="10">
        <f t="shared" si="13"/>
        <v>0</v>
      </c>
      <c r="AQ100" s="10" t="s">
        <v>25</v>
      </c>
      <c r="AR100" s="10">
        <f t="shared" si="14"/>
        <v>0</v>
      </c>
      <c r="AS100" s="10" t="s">
        <v>26</v>
      </c>
      <c r="AT100" s="10">
        <f t="shared" si="15"/>
        <v>1</v>
      </c>
      <c r="AU100" s="10">
        <f t="shared" si="16"/>
        <v>0</v>
      </c>
      <c r="AV100" s="11">
        <v>24.337485000000001</v>
      </c>
      <c r="AW100" s="11">
        <v>87.75</v>
      </c>
      <c r="AX100" s="11">
        <v>8.9165609999999997</v>
      </c>
      <c r="AY100" s="10">
        <v>110</v>
      </c>
      <c r="AZ100" t="s">
        <v>105</v>
      </c>
      <c r="BA100" s="17">
        <f t="shared" si="17"/>
        <v>0</v>
      </c>
      <c r="BB100" s="17">
        <f t="shared" si="18"/>
        <v>0</v>
      </c>
      <c r="BC100" s="17">
        <f t="shared" si="19"/>
        <v>1</v>
      </c>
      <c r="BG100" s="14">
        <v>1</v>
      </c>
      <c r="BH100" s="14">
        <v>0</v>
      </c>
      <c r="BI100" s="14">
        <v>0</v>
      </c>
      <c r="BJ100" s="14">
        <v>0</v>
      </c>
      <c r="BK100" s="14">
        <v>0</v>
      </c>
      <c r="BL100" s="14">
        <v>1</v>
      </c>
      <c r="BM100" s="14">
        <v>0</v>
      </c>
      <c r="BN100" s="14">
        <v>0</v>
      </c>
      <c r="BO100" s="14">
        <v>0</v>
      </c>
      <c r="BP100" s="14">
        <v>1</v>
      </c>
      <c r="BQ100" s="11">
        <v>24.337485000000001</v>
      </c>
      <c r="BR100" s="11">
        <v>87.75</v>
      </c>
      <c r="BS100" s="11">
        <v>8.9165609999999997</v>
      </c>
      <c r="BT100" s="10">
        <v>110</v>
      </c>
    </row>
    <row r="101" spans="1:72" ht="20.149999999999999" customHeight="1">
      <c r="B101" s="87"/>
      <c r="AH101" s="64"/>
      <c r="AK101" s="10" t="s">
        <v>29</v>
      </c>
      <c r="AL101" s="10">
        <f t="shared" si="10"/>
        <v>1</v>
      </c>
      <c r="AM101" s="10">
        <f t="shared" si="11"/>
        <v>0</v>
      </c>
      <c r="AN101" s="10">
        <f t="shared" si="12"/>
        <v>0</v>
      </c>
      <c r="AO101" s="10" t="s">
        <v>24</v>
      </c>
      <c r="AP101" s="10">
        <f t="shared" si="13"/>
        <v>0</v>
      </c>
      <c r="AQ101" s="10" t="s">
        <v>25</v>
      </c>
      <c r="AR101" s="10">
        <f t="shared" si="14"/>
        <v>0</v>
      </c>
      <c r="AS101" s="10" t="s">
        <v>26</v>
      </c>
      <c r="AT101" s="10">
        <f t="shared" si="15"/>
        <v>1</v>
      </c>
      <c r="AU101" s="10">
        <f t="shared" si="16"/>
        <v>0</v>
      </c>
      <c r="AV101" s="11">
        <v>25.687485000000002</v>
      </c>
      <c r="AW101" s="11">
        <v>85.75</v>
      </c>
      <c r="AX101" s="11">
        <v>9.8333890000000004</v>
      </c>
      <c r="AY101" s="10">
        <v>102</v>
      </c>
      <c r="AZ101" t="s">
        <v>105</v>
      </c>
      <c r="BA101" s="17">
        <f t="shared" si="17"/>
        <v>0</v>
      </c>
      <c r="BB101" s="17">
        <f t="shared" si="18"/>
        <v>0</v>
      </c>
      <c r="BC101" s="17">
        <f t="shared" si="19"/>
        <v>1</v>
      </c>
      <c r="BG101" s="14">
        <v>1</v>
      </c>
      <c r="BH101" s="14">
        <v>0</v>
      </c>
      <c r="BI101" s="14">
        <v>0</v>
      </c>
      <c r="BJ101" s="14">
        <v>0</v>
      </c>
      <c r="BK101" s="14">
        <v>0</v>
      </c>
      <c r="BL101" s="14">
        <v>1</v>
      </c>
      <c r="BM101" s="14">
        <v>0</v>
      </c>
      <c r="BN101" s="14">
        <v>0</v>
      </c>
      <c r="BO101" s="14">
        <v>0</v>
      </c>
      <c r="BP101" s="14">
        <v>1</v>
      </c>
      <c r="BQ101" s="11">
        <v>25.687485000000002</v>
      </c>
      <c r="BR101" s="11">
        <v>85.75</v>
      </c>
      <c r="BS101" s="11">
        <v>9.8333890000000004</v>
      </c>
      <c r="BT101" s="10">
        <v>102</v>
      </c>
    </row>
    <row r="102" spans="1:72" s="96" customFormat="1">
      <c r="A102" s="14"/>
      <c r="B102" s="87"/>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64"/>
      <c r="AK102" s="10" t="s">
        <v>29</v>
      </c>
      <c r="AL102" s="10">
        <f t="shared" si="10"/>
        <v>1</v>
      </c>
      <c r="AM102" s="10">
        <f t="shared" si="11"/>
        <v>0</v>
      </c>
      <c r="AN102" s="10">
        <f t="shared" si="12"/>
        <v>0</v>
      </c>
      <c r="AO102" s="10" t="s">
        <v>24</v>
      </c>
      <c r="AP102" s="10">
        <f t="shared" si="13"/>
        <v>0</v>
      </c>
      <c r="AQ102" s="10" t="s">
        <v>11</v>
      </c>
      <c r="AR102" s="10">
        <f t="shared" si="14"/>
        <v>1</v>
      </c>
      <c r="AS102" s="10" t="s">
        <v>26</v>
      </c>
      <c r="AT102" s="10">
        <f t="shared" si="15"/>
        <v>1</v>
      </c>
      <c r="AU102" s="10">
        <f t="shared" si="16"/>
        <v>0</v>
      </c>
      <c r="AV102" s="11">
        <v>25.500015000000001</v>
      </c>
      <c r="AW102" s="11">
        <v>71.695599999999999</v>
      </c>
      <c r="AX102" s="11">
        <v>21.739757999999998</v>
      </c>
      <c r="AY102" s="10">
        <v>91</v>
      </c>
      <c r="AZ102" t="s">
        <v>104</v>
      </c>
      <c r="BA102" s="17">
        <f t="shared" si="17"/>
        <v>0</v>
      </c>
      <c r="BB102" s="17">
        <f t="shared" si="18"/>
        <v>0</v>
      </c>
      <c r="BC102" s="17">
        <f t="shared" si="19"/>
        <v>0</v>
      </c>
      <c r="BG102" s="96">
        <v>1</v>
      </c>
      <c r="BH102" s="96">
        <v>0</v>
      </c>
      <c r="BI102" s="96">
        <v>0</v>
      </c>
      <c r="BJ102" s="96">
        <v>0</v>
      </c>
      <c r="BK102" s="96">
        <v>1</v>
      </c>
      <c r="BL102" s="96">
        <v>1</v>
      </c>
      <c r="BM102" s="96">
        <v>0</v>
      </c>
      <c r="BN102" s="96">
        <v>0</v>
      </c>
      <c r="BO102" s="96">
        <v>0</v>
      </c>
      <c r="BP102" s="96">
        <v>0</v>
      </c>
      <c r="BQ102" s="11">
        <v>25.500015000000001</v>
      </c>
      <c r="BR102" s="11">
        <v>71.695599999999999</v>
      </c>
      <c r="BS102" s="11">
        <v>21.739757999999998</v>
      </c>
      <c r="BT102" s="10">
        <v>91</v>
      </c>
    </row>
    <row r="103" spans="1:72" ht="20.149999999999999" customHeight="1">
      <c r="B103" s="87"/>
      <c r="AH103" s="64"/>
      <c r="AK103" s="10" t="s">
        <v>29</v>
      </c>
      <c r="AL103" s="10">
        <f t="shared" si="10"/>
        <v>1</v>
      </c>
      <c r="AM103" s="10">
        <f t="shared" si="11"/>
        <v>0</v>
      </c>
      <c r="AN103" s="10">
        <f t="shared" si="12"/>
        <v>0</v>
      </c>
      <c r="AO103" s="10" t="s">
        <v>24</v>
      </c>
      <c r="AP103" s="10">
        <f t="shared" si="13"/>
        <v>0</v>
      </c>
      <c r="AQ103" s="10" t="s">
        <v>11</v>
      </c>
      <c r="AR103" s="10">
        <f t="shared" si="14"/>
        <v>1</v>
      </c>
      <c r="AS103" s="10" t="s">
        <v>26</v>
      </c>
      <c r="AT103" s="10">
        <f t="shared" si="15"/>
        <v>1</v>
      </c>
      <c r="AU103" s="10">
        <f t="shared" si="16"/>
        <v>0</v>
      </c>
      <c r="AV103" s="11">
        <v>24.449984999999998</v>
      </c>
      <c r="AW103" s="11">
        <v>73.916700000000006</v>
      </c>
      <c r="AX103" s="11">
        <v>18.416892999999998</v>
      </c>
      <c r="AY103" s="10">
        <v>48</v>
      </c>
      <c r="AZ103" t="s">
        <v>106</v>
      </c>
      <c r="BA103" s="17">
        <f t="shared" si="17"/>
        <v>0</v>
      </c>
      <c r="BB103" s="17">
        <f t="shared" si="18"/>
        <v>1</v>
      </c>
      <c r="BC103" s="17">
        <f t="shared" si="19"/>
        <v>0</v>
      </c>
      <c r="BG103" s="14">
        <v>1</v>
      </c>
      <c r="BH103" s="14">
        <v>0</v>
      </c>
      <c r="BI103" s="14">
        <v>0</v>
      </c>
      <c r="BJ103" s="14">
        <v>0</v>
      </c>
      <c r="BK103" s="14">
        <v>1</v>
      </c>
      <c r="BL103" s="14">
        <v>1</v>
      </c>
      <c r="BM103" s="14">
        <v>0</v>
      </c>
      <c r="BN103" s="14">
        <v>0</v>
      </c>
      <c r="BO103" s="14">
        <v>1</v>
      </c>
      <c r="BP103" s="14">
        <v>0</v>
      </c>
      <c r="BQ103" s="11">
        <v>24.449984999999998</v>
      </c>
      <c r="BR103" s="11">
        <v>73.916700000000006</v>
      </c>
      <c r="BS103" s="11">
        <v>18.416892999999998</v>
      </c>
      <c r="BT103" s="10">
        <v>48</v>
      </c>
    </row>
    <row r="104" spans="1:72" ht="20.149999999999999" customHeight="1">
      <c r="B104" s="87"/>
      <c r="Y104" s="97"/>
      <c r="Z104" s="97"/>
      <c r="AA104" s="97"/>
      <c r="AB104" s="97"/>
      <c r="AC104" s="97"/>
      <c r="AD104" s="97"/>
      <c r="AE104" s="97"/>
      <c r="AF104" s="97"/>
      <c r="AG104" s="97"/>
      <c r="AH104" s="64"/>
      <c r="AK104" s="10" t="s">
        <v>29</v>
      </c>
      <c r="AL104" s="10">
        <f t="shared" si="10"/>
        <v>1</v>
      </c>
      <c r="AM104" s="10">
        <f t="shared" si="11"/>
        <v>0</v>
      </c>
      <c r="AN104" s="10">
        <f t="shared" si="12"/>
        <v>0</v>
      </c>
      <c r="AO104" s="10" t="s">
        <v>24</v>
      </c>
      <c r="AP104" s="10">
        <f t="shared" si="13"/>
        <v>0</v>
      </c>
      <c r="AQ104" s="10" t="s">
        <v>11</v>
      </c>
      <c r="AR104" s="10">
        <f t="shared" si="14"/>
        <v>1</v>
      </c>
      <c r="AS104" s="10" t="s">
        <v>26</v>
      </c>
      <c r="AT104" s="10">
        <f t="shared" si="15"/>
        <v>1</v>
      </c>
      <c r="AU104" s="10">
        <f t="shared" si="16"/>
        <v>0</v>
      </c>
      <c r="AV104" s="11">
        <v>26.512515</v>
      </c>
      <c r="AW104" s="11">
        <v>81.916699999999992</v>
      </c>
      <c r="AX104" s="11">
        <v>16.791338999999997</v>
      </c>
      <c r="AY104" s="10">
        <v>58</v>
      </c>
      <c r="AZ104" t="s">
        <v>106</v>
      </c>
      <c r="BA104" s="17">
        <f t="shared" si="17"/>
        <v>0</v>
      </c>
      <c r="BB104" s="17">
        <f t="shared" si="18"/>
        <v>1</v>
      </c>
      <c r="BC104" s="17">
        <f t="shared" si="19"/>
        <v>0</v>
      </c>
      <c r="BG104" s="14">
        <v>1</v>
      </c>
      <c r="BH104" s="14">
        <v>0</v>
      </c>
      <c r="BI104" s="14">
        <v>0</v>
      </c>
      <c r="BJ104" s="14">
        <v>0</v>
      </c>
      <c r="BK104" s="14">
        <v>1</v>
      </c>
      <c r="BL104" s="14">
        <v>1</v>
      </c>
      <c r="BM104" s="14">
        <v>0</v>
      </c>
      <c r="BN104" s="14">
        <v>0</v>
      </c>
      <c r="BO104" s="14">
        <v>1</v>
      </c>
      <c r="BP104" s="14">
        <v>0</v>
      </c>
      <c r="BQ104" s="11">
        <v>26.512515</v>
      </c>
      <c r="BR104" s="11">
        <v>81.916699999999992</v>
      </c>
      <c r="BS104" s="11">
        <v>16.791338999999997</v>
      </c>
      <c r="BT104" s="10">
        <v>58</v>
      </c>
    </row>
    <row r="105" spans="1:72" ht="20.149999999999999" customHeight="1">
      <c r="B105" s="87"/>
      <c r="Y105" s="97"/>
      <c r="Z105" s="97"/>
      <c r="AA105" s="97"/>
      <c r="AB105" s="97"/>
      <c r="AC105" s="97"/>
      <c r="AD105" s="97"/>
      <c r="AE105" s="97"/>
      <c r="AF105" s="97"/>
      <c r="AG105" s="97"/>
      <c r="AH105" s="64"/>
      <c r="AK105" s="10" t="s">
        <v>29</v>
      </c>
      <c r="AL105" s="10">
        <f t="shared" si="10"/>
        <v>1</v>
      </c>
      <c r="AM105" s="10">
        <f t="shared" si="11"/>
        <v>0</v>
      </c>
      <c r="AN105" s="10">
        <f t="shared" si="12"/>
        <v>0</v>
      </c>
      <c r="AO105" s="10" t="s">
        <v>24</v>
      </c>
      <c r="AP105" s="10">
        <f t="shared" si="13"/>
        <v>0</v>
      </c>
      <c r="AQ105" s="10" t="s">
        <v>11</v>
      </c>
      <c r="AR105" s="10">
        <f t="shared" si="14"/>
        <v>1</v>
      </c>
      <c r="AS105" s="10" t="s">
        <v>27</v>
      </c>
      <c r="AT105" s="10">
        <f t="shared" si="15"/>
        <v>0</v>
      </c>
      <c r="AU105" s="10">
        <f t="shared" si="16"/>
        <v>0</v>
      </c>
      <c r="AV105" s="11">
        <v>24.787485</v>
      </c>
      <c r="AW105" s="11">
        <v>54.041700000000006</v>
      </c>
      <c r="AX105" s="11">
        <v>7.4169</v>
      </c>
      <c r="AY105" s="10">
        <v>73</v>
      </c>
      <c r="AZ105" t="s">
        <v>104</v>
      </c>
      <c r="BA105" s="17">
        <f t="shared" si="17"/>
        <v>0</v>
      </c>
      <c r="BB105" s="17">
        <f t="shared" si="18"/>
        <v>0</v>
      </c>
      <c r="BC105" s="17">
        <f t="shared" si="19"/>
        <v>0</v>
      </c>
      <c r="BG105" s="14">
        <v>1</v>
      </c>
      <c r="BH105" s="14">
        <v>0</v>
      </c>
      <c r="BI105" s="14">
        <v>0</v>
      </c>
      <c r="BJ105" s="14">
        <v>0</v>
      </c>
      <c r="BK105" s="14">
        <v>1</v>
      </c>
      <c r="BL105" s="14">
        <v>0</v>
      </c>
      <c r="BM105" s="14">
        <v>0</v>
      </c>
      <c r="BN105" s="14">
        <v>0</v>
      </c>
      <c r="BO105" s="14">
        <v>0</v>
      </c>
      <c r="BP105" s="14">
        <v>0</v>
      </c>
      <c r="BQ105" s="11">
        <v>24.787485</v>
      </c>
      <c r="BR105" s="11">
        <v>54.041700000000006</v>
      </c>
      <c r="BS105" s="11">
        <v>7.4169</v>
      </c>
      <c r="BT105" s="10">
        <v>73</v>
      </c>
    </row>
    <row r="106" spans="1:72" ht="20.149999999999999" customHeight="1">
      <c r="B106" s="87"/>
      <c r="C106" s="268" t="s">
        <v>261</v>
      </c>
      <c r="L106" s="269" t="s">
        <v>263</v>
      </c>
      <c r="Y106" s="272" t="s">
        <v>276</v>
      </c>
      <c r="Z106" s="97"/>
      <c r="AA106" s="97"/>
      <c r="AB106" s="97"/>
      <c r="AC106" s="97"/>
      <c r="AD106" s="97"/>
      <c r="AE106" s="97"/>
      <c r="AF106" s="97"/>
      <c r="AG106" s="97"/>
      <c r="AH106" s="64"/>
      <c r="AK106" s="10" t="s">
        <v>29</v>
      </c>
      <c r="AL106" s="10">
        <f t="shared" si="10"/>
        <v>1</v>
      </c>
      <c r="AM106" s="10">
        <f t="shared" si="11"/>
        <v>0</v>
      </c>
      <c r="AN106" s="10">
        <f t="shared" si="12"/>
        <v>0</v>
      </c>
      <c r="AO106" s="10" t="s">
        <v>7</v>
      </c>
      <c r="AP106" s="10">
        <f t="shared" si="13"/>
        <v>1</v>
      </c>
      <c r="AQ106" s="10" t="s">
        <v>25</v>
      </c>
      <c r="AR106" s="10">
        <f t="shared" si="14"/>
        <v>0</v>
      </c>
      <c r="AS106" s="10" t="s">
        <v>27</v>
      </c>
      <c r="AT106" s="10">
        <f t="shared" si="15"/>
        <v>0</v>
      </c>
      <c r="AU106" s="10">
        <f t="shared" si="16"/>
        <v>0</v>
      </c>
      <c r="AV106" s="11">
        <v>22.800014999999998</v>
      </c>
      <c r="AW106" s="11">
        <v>67.125</v>
      </c>
      <c r="AX106" s="11">
        <v>15.167124999999999</v>
      </c>
      <c r="AY106" s="10">
        <v>104</v>
      </c>
      <c r="AZ106" t="s">
        <v>105</v>
      </c>
      <c r="BA106" s="17">
        <f t="shared" si="17"/>
        <v>0</v>
      </c>
      <c r="BB106" s="17">
        <f t="shared" si="18"/>
        <v>0</v>
      </c>
      <c r="BC106" s="17">
        <f t="shared" si="19"/>
        <v>1</v>
      </c>
      <c r="BG106" s="14">
        <v>1</v>
      </c>
      <c r="BH106" s="14">
        <v>0</v>
      </c>
      <c r="BI106" s="14">
        <v>0</v>
      </c>
      <c r="BJ106" s="14">
        <v>1</v>
      </c>
      <c r="BK106" s="14">
        <v>0</v>
      </c>
      <c r="BL106" s="14">
        <v>0</v>
      </c>
      <c r="BM106" s="14">
        <v>0</v>
      </c>
      <c r="BN106" s="14">
        <v>0</v>
      </c>
      <c r="BO106" s="14">
        <v>0</v>
      </c>
      <c r="BP106" s="14">
        <v>1</v>
      </c>
      <c r="BQ106" s="11">
        <v>22.800014999999998</v>
      </c>
      <c r="BR106" s="11">
        <v>67.125</v>
      </c>
      <c r="BS106" s="11">
        <v>15.167124999999999</v>
      </c>
      <c r="BT106" s="10">
        <v>104</v>
      </c>
    </row>
    <row r="107" spans="1:72" ht="20.149999999999999" customHeight="1">
      <c r="B107" s="87"/>
      <c r="C107" s="93" t="s">
        <v>245</v>
      </c>
      <c r="K107" s="93" t="s">
        <v>246</v>
      </c>
      <c r="M107" s="98"/>
      <c r="Y107" s="93" t="s">
        <v>247</v>
      </c>
      <c r="Z107" s="93"/>
      <c r="AA107" s="93"/>
      <c r="AB107" s="93"/>
      <c r="AC107" s="93"/>
      <c r="AD107" s="93"/>
      <c r="AE107" s="93"/>
      <c r="AF107" s="93"/>
      <c r="AG107" s="93"/>
      <c r="AK107" s="10" t="s">
        <v>29</v>
      </c>
      <c r="AL107" s="10">
        <f t="shared" si="10"/>
        <v>1</v>
      </c>
      <c r="AM107" s="10">
        <f t="shared" si="11"/>
        <v>0</v>
      </c>
      <c r="AN107" s="10">
        <f t="shared" si="12"/>
        <v>0</v>
      </c>
      <c r="AO107" s="10" t="s">
        <v>24</v>
      </c>
      <c r="AP107" s="10">
        <f t="shared" si="13"/>
        <v>0</v>
      </c>
      <c r="AQ107" s="10" t="s">
        <v>25</v>
      </c>
      <c r="AR107" s="10">
        <f t="shared" si="14"/>
        <v>0</v>
      </c>
      <c r="AS107" s="10" t="s">
        <v>28</v>
      </c>
      <c r="AT107" s="10">
        <f t="shared" si="15"/>
        <v>0</v>
      </c>
      <c r="AU107" s="10">
        <f t="shared" si="16"/>
        <v>1</v>
      </c>
      <c r="AV107" s="11">
        <v>23.025015</v>
      </c>
      <c r="AW107" s="11">
        <v>88.833300000000008</v>
      </c>
      <c r="AX107" s="11">
        <v>22.834136000000001</v>
      </c>
      <c r="AY107" s="10">
        <v>101</v>
      </c>
      <c r="AZ107" t="s">
        <v>105</v>
      </c>
      <c r="BA107" s="17">
        <f t="shared" si="17"/>
        <v>0</v>
      </c>
      <c r="BB107" s="17">
        <f t="shared" si="18"/>
        <v>0</v>
      </c>
      <c r="BC107" s="17">
        <f t="shared" si="19"/>
        <v>1</v>
      </c>
      <c r="BG107" s="14">
        <v>1</v>
      </c>
      <c r="BH107" s="14">
        <v>0</v>
      </c>
      <c r="BI107" s="14">
        <v>0</v>
      </c>
      <c r="BJ107" s="14">
        <v>0</v>
      </c>
      <c r="BK107" s="14">
        <v>0</v>
      </c>
      <c r="BL107" s="14">
        <v>0</v>
      </c>
      <c r="BM107" s="14">
        <v>1</v>
      </c>
      <c r="BN107" s="14">
        <v>0</v>
      </c>
      <c r="BO107" s="14">
        <v>0</v>
      </c>
      <c r="BP107" s="14">
        <v>1</v>
      </c>
      <c r="BQ107" s="11">
        <v>23.025015</v>
      </c>
      <c r="BR107" s="11">
        <v>88.833300000000008</v>
      </c>
      <c r="BS107" s="11">
        <v>22.834136000000001</v>
      </c>
      <c r="BT107" s="10">
        <v>101</v>
      </c>
    </row>
    <row r="108" spans="1:72" ht="57.5" customHeight="1" thickBot="1">
      <c r="B108" s="90"/>
      <c r="C108" s="91"/>
      <c r="D108" s="91"/>
      <c r="E108" s="91"/>
      <c r="F108" s="91"/>
      <c r="G108" s="91"/>
      <c r="H108" s="91"/>
      <c r="I108" s="91"/>
      <c r="J108" s="91"/>
      <c r="K108" s="91"/>
      <c r="L108" s="273"/>
      <c r="M108" s="274"/>
      <c r="N108" s="91"/>
      <c r="O108" s="91"/>
      <c r="P108" s="91"/>
      <c r="Q108" s="91"/>
      <c r="R108" s="91"/>
      <c r="S108" s="91"/>
      <c r="T108" s="91"/>
      <c r="U108" s="91"/>
      <c r="V108" s="273"/>
      <c r="W108" s="273"/>
      <c r="X108" s="91"/>
      <c r="Y108" s="91"/>
      <c r="Z108" s="91"/>
      <c r="AA108" s="91"/>
      <c r="AB108" s="91"/>
      <c r="AC108" s="91"/>
      <c r="AD108" s="91"/>
      <c r="AE108" s="91"/>
      <c r="AF108" s="91"/>
      <c r="AG108" s="91"/>
      <c r="AH108" s="92"/>
      <c r="AK108" s="10" t="s">
        <v>29</v>
      </c>
      <c r="AL108" s="10">
        <f t="shared" si="10"/>
        <v>1</v>
      </c>
      <c r="AM108" s="10">
        <f t="shared" si="11"/>
        <v>0</v>
      </c>
      <c r="AN108" s="10">
        <f t="shared" si="12"/>
        <v>0</v>
      </c>
      <c r="AO108" s="10" t="s">
        <v>24</v>
      </c>
      <c r="AP108" s="10">
        <f t="shared" si="13"/>
        <v>0</v>
      </c>
      <c r="AQ108" s="10" t="s">
        <v>25</v>
      </c>
      <c r="AR108" s="10">
        <f t="shared" si="14"/>
        <v>0</v>
      </c>
      <c r="AS108" s="10" t="s">
        <v>27</v>
      </c>
      <c r="AT108" s="10">
        <f t="shared" si="15"/>
        <v>0</v>
      </c>
      <c r="AU108" s="10">
        <f t="shared" si="16"/>
        <v>0</v>
      </c>
      <c r="AV108" s="11">
        <v>24.037514999999999</v>
      </c>
      <c r="AW108" s="11">
        <v>47.958300000000001</v>
      </c>
      <c r="AX108" s="11">
        <v>20.334232</v>
      </c>
      <c r="AY108" s="10">
        <v>91</v>
      </c>
      <c r="AZ108" t="s">
        <v>104</v>
      </c>
      <c r="BA108" s="17">
        <f t="shared" si="17"/>
        <v>0</v>
      </c>
      <c r="BB108" s="17">
        <f t="shared" si="18"/>
        <v>0</v>
      </c>
      <c r="BC108" s="17">
        <f t="shared" si="19"/>
        <v>0</v>
      </c>
      <c r="BG108" s="14">
        <v>1</v>
      </c>
      <c r="BH108" s="14">
        <v>0</v>
      </c>
      <c r="BI108" s="14">
        <v>0</v>
      </c>
      <c r="BJ108" s="14">
        <v>0</v>
      </c>
      <c r="BK108" s="14">
        <v>0</v>
      </c>
      <c r="BL108" s="14">
        <v>0</v>
      </c>
      <c r="BM108" s="14">
        <v>0</v>
      </c>
      <c r="BN108" s="14">
        <v>0</v>
      </c>
      <c r="BO108" s="14">
        <v>0</v>
      </c>
      <c r="BP108" s="14">
        <v>0</v>
      </c>
      <c r="BQ108" s="11">
        <v>24.037514999999999</v>
      </c>
      <c r="BR108" s="11">
        <v>47.958300000000001</v>
      </c>
      <c r="BS108" s="11">
        <v>20.334232</v>
      </c>
      <c r="BT108" s="10">
        <v>91</v>
      </c>
    </row>
    <row r="109" spans="1:72" ht="20.149999999999999" customHeight="1">
      <c r="AK109" s="10" t="s">
        <v>29</v>
      </c>
      <c r="AL109" s="10">
        <f t="shared" si="10"/>
        <v>1</v>
      </c>
      <c r="AM109" s="10">
        <f t="shared" si="11"/>
        <v>0</v>
      </c>
      <c r="AN109" s="10">
        <f t="shared" si="12"/>
        <v>0</v>
      </c>
      <c r="AO109" s="10" t="s">
        <v>24</v>
      </c>
      <c r="AP109" s="10">
        <f t="shared" si="13"/>
        <v>0</v>
      </c>
      <c r="AQ109" s="10" t="s">
        <v>11</v>
      </c>
      <c r="AR109" s="10">
        <f t="shared" si="14"/>
        <v>1</v>
      </c>
      <c r="AS109" s="10" t="s">
        <v>27</v>
      </c>
      <c r="AT109" s="10">
        <f t="shared" si="15"/>
        <v>0</v>
      </c>
      <c r="AU109" s="10">
        <f t="shared" si="16"/>
        <v>0</v>
      </c>
      <c r="AV109" s="11">
        <v>23.962499999999999</v>
      </c>
      <c r="AW109" s="11">
        <v>54.25</v>
      </c>
      <c r="AX109" s="11">
        <v>10.958988999999999</v>
      </c>
      <c r="AY109" s="10">
        <v>95</v>
      </c>
      <c r="AZ109" t="s">
        <v>104</v>
      </c>
      <c r="BA109" s="17">
        <f t="shared" si="17"/>
        <v>0</v>
      </c>
      <c r="BB109" s="17">
        <f t="shared" si="18"/>
        <v>0</v>
      </c>
      <c r="BC109" s="17">
        <f t="shared" si="19"/>
        <v>0</v>
      </c>
      <c r="BG109" s="14">
        <v>1</v>
      </c>
      <c r="BH109" s="14">
        <v>0</v>
      </c>
      <c r="BI109" s="14">
        <v>0</v>
      </c>
      <c r="BJ109" s="14">
        <v>0</v>
      </c>
      <c r="BK109" s="14">
        <v>1</v>
      </c>
      <c r="BL109" s="14">
        <v>0</v>
      </c>
      <c r="BM109" s="14">
        <v>0</v>
      </c>
      <c r="BN109" s="14">
        <v>0</v>
      </c>
      <c r="BO109" s="14">
        <v>0</v>
      </c>
      <c r="BP109" s="14">
        <v>0</v>
      </c>
      <c r="BQ109" s="11">
        <v>23.962499999999999</v>
      </c>
      <c r="BR109" s="11">
        <v>54.25</v>
      </c>
      <c r="BS109" s="11">
        <v>10.958988999999999</v>
      </c>
      <c r="BT109" s="10">
        <v>95</v>
      </c>
    </row>
    <row r="110" spans="1:72" ht="20.149999999999999" customHeight="1">
      <c r="D110" s="99"/>
      <c r="E110" s="99"/>
      <c r="G110" s="99"/>
      <c r="H110" s="99"/>
      <c r="J110" s="99"/>
      <c r="K110" s="99"/>
      <c r="AK110" s="10" t="s">
        <v>29</v>
      </c>
      <c r="AL110" s="10">
        <f t="shared" si="10"/>
        <v>1</v>
      </c>
      <c r="AM110" s="10">
        <f t="shared" si="11"/>
        <v>0</v>
      </c>
      <c r="AN110" s="10">
        <f t="shared" si="12"/>
        <v>0</v>
      </c>
      <c r="AO110" s="10" t="s">
        <v>24</v>
      </c>
      <c r="AP110" s="10">
        <f t="shared" si="13"/>
        <v>0</v>
      </c>
      <c r="AQ110" s="10" t="s">
        <v>11</v>
      </c>
      <c r="AR110" s="10">
        <f t="shared" si="14"/>
        <v>1</v>
      </c>
      <c r="AS110" s="10" t="s">
        <v>26</v>
      </c>
      <c r="AT110" s="10">
        <f t="shared" si="15"/>
        <v>1</v>
      </c>
      <c r="AU110" s="10">
        <f t="shared" si="16"/>
        <v>0</v>
      </c>
      <c r="AV110" s="11">
        <v>24.378254999999999</v>
      </c>
      <c r="AW110" s="11">
        <v>66.583299999999994</v>
      </c>
      <c r="AX110" s="11">
        <v>10.584057</v>
      </c>
      <c r="AY110" s="10">
        <v>48</v>
      </c>
      <c r="AZ110" t="s">
        <v>106</v>
      </c>
      <c r="BA110" s="17">
        <f t="shared" si="17"/>
        <v>0</v>
      </c>
      <c r="BB110" s="17">
        <f t="shared" si="18"/>
        <v>1</v>
      </c>
      <c r="BC110" s="17">
        <f t="shared" si="19"/>
        <v>0</v>
      </c>
      <c r="BG110" s="14">
        <v>1</v>
      </c>
      <c r="BH110" s="14">
        <v>0</v>
      </c>
      <c r="BI110" s="14">
        <v>0</v>
      </c>
      <c r="BJ110" s="14">
        <v>0</v>
      </c>
      <c r="BK110" s="14">
        <v>1</v>
      </c>
      <c r="BL110" s="14">
        <v>1</v>
      </c>
      <c r="BM110" s="14">
        <v>0</v>
      </c>
      <c r="BN110" s="14">
        <v>0</v>
      </c>
      <c r="BO110" s="14">
        <v>1</v>
      </c>
      <c r="BP110" s="14">
        <v>0</v>
      </c>
      <c r="BQ110" s="11">
        <v>24.378254999999999</v>
      </c>
      <c r="BR110" s="11">
        <v>66.583299999999994</v>
      </c>
      <c r="BS110" s="11">
        <v>10.584057</v>
      </c>
      <c r="BT110" s="10">
        <v>48</v>
      </c>
    </row>
    <row r="111" spans="1:72" ht="20.149999999999999" customHeight="1" thickBot="1">
      <c r="A111" s="100" t="s">
        <v>76</v>
      </c>
      <c r="B111" s="96"/>
      <c r="C111" s="101"/>
      <c r="D111" s="96"/>
      <c r="E111" s="102" t="s">
        <v>77</v>
      </c>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c r="AE111" s="96"/>
      <c r="AF111" s="96"/>
      <c r="AG111" s="96"/>
      <c r="AH111" s="96"/>
      <c r="AK111" s="10" t="s">
        <v>29</v>
      </c>
      <c r="AL111" s="10">
        <f t="shared" si="10"/>
        <v>1</v>
      </c>
      <c r="AM111" s="10">
        <f t="shared" si="11"/>
        <v>0</v>
      </c>
      <c r="AN111" s="10">
        <f t="shared" si="12"/>
        <v>0</v>
      </c>
      <c r="AO111" s="10" t="s">
        <v>24</v>
      </c>
      <c r="AP111" s="10">
        <f t="shared" si="13"/>
        <v>0</v>
      </c>
      <c r="AQ111" s="10" t="s">
        <v>11</v>
      </c>
      <c r="AR111" s="10">
        <f t="shared" si="14"/>
        <v>1</v>
      </c>
      <c r="AS111" s="10" t="s">
        <v>27</v>
      </c>
      <c r="AT111" s="10">
        <f t="shared" si="15"/>
        <v>0</v>
      </c>
      <c r="AU111" s="10">
        <f t="shared" si="16"/>
        <v>0</v>
      </c>
      <c r="AV111" s="11">
        <v>21.412485</v>
      </c>
      <c r="AW111" s="11">
        <v>61.416699999999999</v>
      </c>
      <c r="AX111" s="11">
        <v>16.208974999999999</v>
      </c>
      <c r="AY111" s="10">
        <v>83</v>
      </c>
      <c r="AZ111" t="s">
        <v>104</v>
      </c>
      <c r="BA111" s="17">
        <f t="shared" si="17"/>
        <v>0</v>
      </c>
      <c r="BB111" s="17">
        <f t="shared" si="18"/>
        <v>0</v>
      </c>
      <c r="BC111" s="17">
        <f t="shared" si="19"/>
        <v>0</v>
      </c>
      <c r="BG111" s="14">
        <v>1</v>
      </c>
      <c r="BH111" s="14">
        <v>0</v>
      </c>
      <c r="BI111" s="14">
        <v>0</v>
      </c>
      <c r="BJ111" s="14">
        <v>0</v>
      </c>
      <c r="BK111" s="14">
        <v>1</v>
      </c>
      <c r="BL111" s="14">
        <v>0</v>
      </c>
      <c r="BM111" s="14">
        <v>0</v>
      </c>
      <c r="BN111" s="14">
        <v>0</v>
      </c>
      <c r="BO111" s="14">
        <v>0</v>
      </c>
      <c r="BP111" s="14">
        <v>0</v>
      </c>
      <c r="BQ111" s="11">
        <v>21.412485</v>
      </c>
      <c r="BR111" s="11">
        <v>61.416699999999999</v>
      </c>
      <c r="BS111" s="11">
        <v>16.208974999999999</v>
      </c>
      <c r="BT111" s="10">
        <v>83</v>
      </c>
    </row>
    <row r="112" spans="1:72" ht="20.149999999999999" customHeight="1">
      <c r="C112" s="147"/>
      <c r="D112" s="147" t="s">
        <v>108</v>
      </c>
      <c r="E112" s="147" t="s">
        <v>109</v>
      </c>
      <c r="F112" s="147" t="s">
        <v>110</v>
      </c>
      <c r="G112" s="147" t="s">
        <v>111</v>
      </c>
      <c r="H112" s="147" t="s">
        <v>112</v>
      </c>
      <c r="I112" s="147" t="s">
        <v>113</v>
      </c>
      <c r="J112" s="147" t="s">
        <v>114</v>
      </c>
      <c r="K112" s="147" t="s">
        <v>117</v>
      </c>
      <c r="L112" s="147" t="s">
        <v>118</v>
      </c>
      <c r="M112" s="147" t="s">
        <v>116</v>
      </c>
      <c r="N112" s="147" t="s">
        <v>15</v>
      </c>
      <c r="O112" s="147" t="s">
        <v>0</v>
      </c>
      <c r="P112" s="147" t="s">
        <v>18</v>
      </c>
      <c r="Q112" s="147" t="s">
        <v>39</v>
      </c>
      <c r="AK112" s="10" t="s">
        <v>29</v>
      </c>
      <c r="AL112" s="10">
        <f t="shared" si="10"/>
        <v>1</v>
      </c>
      <c r="AM112" s="10">
        <f t="shared" si="11"/>
        <v>0</v>
      </c>
      <c r="AN112" s="10">
        <f t="shared" si="12"/>
        <v>0</v>
      </c>
      <c r="AO112" s="10" t="s">
        <v>24</v>
      </c>
      <c r="AP112" s="10">
        <f t="shared" si="13"/>
        <v>0</v>
      </c>
      <c r="AQ112" s="10" t="s">
        <v>11</v>
      </c>
      <c r="AR112" s="10">
        <f t="shared" si="14"/>
        <v>1</v>
      </c>
      <c r="AS112" s="10" t="s">
        <v>27</v>
      </c>
      <c r="AT112" s="10">
        <f t="shared" si="15"/>
        <v>0</v>
      </c>
      <c r="AU112" s="10">
        <f t="shared" si="16"/>
        <v>0</v>
      </c>
      <c r="AV112" s="11">
        <v>19.237500000000001</v>
      </c>
      <c r="AW112" s="11">
        <v>40.708299999999994</v>
      </c>
      <c r="AX112" s="11">
        <v>21.792286000000001</v>
      </c>
      <c r="AY112" s="10">
        <v>87</v>
      </c>
      <c r="AZ112" t="s">
        <v>104</v>
      </c>
      <c r="BA112" s="17">
        <f t="shared" si="17"/>
        <v>0</v>
      </c>
      <c r="BB112" s="17">
        <f t="shared" si="18"/>
        <v>0</v>
      </c>
      <c r="BC112" s="17">
        <f t="shared" si="19"/>
        <v>0</v>
      </c>
      <c r="BG112" s="14">
        <v>1</v>
      </c>
      <c r="BH112" s="14">
        <v>0</v>
      </c>
      <c r="BI112" s="14">
        <v>0</v>
      </c>
      <c r="BJ112" s="14">
        <v>0</v>
      </c>
      <c r="BK112" s="14">
        <v>1</v>
      </c>
      <c r="BL112" s="14">
        <v>0</v>
      </c>
      <c r="BM112" s="14">
        <v>0</v>
      </c>
      <c r="BN112" s="14">
        <v>0</v>
      </c>
      <c r="BO112" s="14">
        <v>0</v>
      </c>
      <c r="BP112" s="14">
        <v>0</v>
      </c>
      <c r="BQ112" s="11">
        <v>19.237500000000001</v>
      </c>
      <c r="BR112" s="11">
        <v>40.708299999999994</v>
      </c>
      <c r="BS112" s="11">
        <v>21.792286000000001</v>
      </c>
      <c r="BT112" s="10">
        <v>87</v>
      </c>
    </row>
    <row r="113" spans="3:72" ht="20.149999999999999" customHeight="1">
      <c r="C113" t="s">
        <v>108</v>
      </c>
      <c r="D113" s="79">
        <v>1</v>
      </c>
      <c r="E113" s="79"/>
      <c r="F113" s="79"/>
      <c r="G113" s="79"/>
      <c r="H113" s="79"/>
      <c r="I113" s="79"/>
      <c r="J113" s="79"/>
      <c r="K113" s="79"/>
      <c r="L113" s="79"/>
      <c r="M113" s="79"/>
      <c r="N113" s="79"/>
      <c r="O113" s="79"/>
      <c r="P113" s="79"/>
      <c r="Q113" s="79"/>
      <c r="AK113" s="10" t="s">
        <v>29</v>
      </c>
      <c r="AL113" s="10">
        <f t="shared" si="10"/>
        <v>1</v>
      </c>
      <c r="AM113" s="10">
        <f t="shared" si="11"/>
        <v>0</v>
      </c>
      <c r="AN113" s="10">
        <f t="shared" si="12"/>
        <v>0</v>
      </c>
      <c r="AO113" s="10" t="s">
        <v>24</v>
      </c>
      <c r="AP113" s="10">
        <f t="shared" si="13"/>
        <v>0</v>
      </c>
      <c r="AQ113" s="10" t="s">
        <v>11</v>
      </c>
      <c r="AR113" s="10">
        <f t="shared" si="14"/>
        <v>1</v>
      </c>
      <c r="AS113" s="10" t="s">
        <v>26</v>
      </c>
      <c r="AT113" s="10">
        <f t="shared" si="15"/>
        <v>1</v>
      </c>
      <c r="AU113" s="10">
        <f t="shared" si="16"/>
        <v>0</v>
      </c>
      <c r="AV113" s="11">
        <v>19.012499999999999</v>
      </c>
      <c r="AW113" s="11">
        <v>72.958299999999994</v>
      </c>
      <c r="AX113" s="11">
        <v>14.707906999999999</v>
      </c>
      <c r="AY113" s="10">
        <v>86</v>
      </c>
      <c r="AZ113" t="s">
        <v>104</v>
      </c>
      <c r="BA113" s="17">
        <f t="shared" si="17"/>
        <v>0</v>
      </c>
      <c r="BB113" s="17">
        <f t="shared" si="18"/>
        <v>0</v>
      </c>
      <c r="BC113" s="17">
        <f t="shared" si="19"/>
        <v>0</v>
      </c>
      <c r="BG113" s="14">
        <v>1</v>
      </c>
      <c r="BH113" s="14">
        <v>0</v>
      </c>
      <c r="BI113" s="14">
        <v>0</v>
      </c>
      <c r="BJ113" s="14">
        <v>0</v>
      </c>
      <c r="BK113" s="14">
        <v>1</v>
      </c>
      <c r="BL113" s="14">
        <v>1</v>
      </c>
      <c r="BM113" s="14">
        <v>0</v>
      </c>
      <c r="BN113" s="14">
        <v>0</v>
      </c>
      <c r="BO113" s="14">
        <v>0</v>
      </c>
      <c r="BP113" s="14">
        <v>0</v>
      </c>
      <c r="BQ113" s="11">
        <v>19.012499999999999</v>
      </c>
      <c r="BR113" s="11">
        <v>72.958299999999994</v>
      </c>
      <c r="BS113" s="11">
        <v>14.707906999999999</v>
      </c>
      <c r="BT113" s="10">
        <v>86</v>
      </c>
    </row>
    <row r="114" spans="3:72" ht="20.149999999999999" customHeight="1">
      <c r="C114" t="s">
        <v>109</v>
      </c>
      <c r="D114" s="79">
        <v>-0.33699633699633741</v>
      </c>
      <c r="E114" s="79">
        <v>1</v>
      </c>
      <c r="F114" s="79"/>
      <c r="G114" s="79"/>
      <c r="H114" s="79"/>
      <c r="I114" s="79"/>
      <c r="J114" s="79"/>
      <c r="K114" s="79"/>
      <c r="L114" s="79"/>
      <c r="M114" s="79"/>
      <c r="N114" s="79"/>
      <c r="O114" s="79"/>
      <c r="P114" s="79"/>
      <c r="Q114" s="79"/>
      <c r="AK114" s="10" t="s">
        <v>29</v>
      </c>
      <c r="AL114" s="10">
        <f t="shared" si="10"/>
        <v>1</v>
      </c>
      <c r="AM114" s="10">
        <f t="shared" si="11"/>
        <v>0</v>
      </c>
      <c r="AN114" s="10">
        <f t="shared" si="12"/>
        <v>0</v>
      </c>
      <c r="AO114" s="10" t="s">
        <v>24</v>
      </c>
      <c r="AP114" s="10">
        <f t="shared" si="13"/>
        <v>0</v>
      </c>
      <c r="AQ114" s="10" t="s">
        <v>25</v>
      </c>
      <c r="AR114" s="10">
        <f t="shared" si="14"/>
        <v>0</v>
      </c>
      <c r="AS114" s="10" t="s">
        <v>26</v>
      </c>
      <c r="AT114" s="10">
        <f t="shared" si="15"/>
        <v>1</v>
      </c>
      <c r="AU114" s="10">
        <f t="shared" si="16"/>
        <v>0</v>
      </c>
      <c r="AV114" s="11">
        <v>18.975014999999999</v>
      </c>
      <c r="AW114" s="11">
        <v>88.791699999999992</v>
      </c>
      <c r="AX114" s="11">
        <v>15.458575000000002</v>
      </c>
      <c r="AY114" s="10">
        <v>87</v>
      </c>
      <c r="AZ114" t="s">
        <v>104</v>
      </c>
      <c r="BA114" s="17">
        <f t="shared" si="17"/>
        <v>0</v>
      </c>
      <c r="BB114" s="17">
        <f t="shared" si="18"/>
        <v>0</v>
      </c>
      <c r="BC114" s="17">
        <f t="shared" si="19"/>
        <v>0</v>
      </c>
      <c r="BG114" s="14">
        <v>1</v>
      </c>
      <c r="BH114" s="14">
        <v>0</v>
      </c>
      <c r="BI114" s="14">
        <v>0</v>
      </c>
      <c r="BJ114" s="14">
        <v>0</v>
      </c>
      <c r="BK114" s="14">
        <v>0</v>
      </c>
      <c r="BL114" s="14">
        <v>1</v>
      </c>
      <c r="BM114" s="14">
        <v>0</v>
      </c>
      <c r="BN114" s="14">
        <v>0</v>
      </c>
      <c r="BO114" s="14">
        <v>0</v>
      </c>
      <c r="BP114" s="14">
        <v>0</v>
      </c>
      <c r="BQ114" s="11">
        <v>18.975014999999999</v>
      </c>
      <c r="BR114" s="11">
        <v>88.791699999999992</v>
      </c>
      <c r="BS114" s="11">
        <v>15.458575000000002</v>
      </c>
      <c r="BT114" s="10">
        <v>87</v>
      </c>
    </row>
    <row r="115" spans="3:72" ht="20.149999999999999" customHeight="1">
      <c r="C115" t="s">
        <v>110</v>
      </c>
      <c r="D115" s="79">
        <v>-0.33454766643816536</v>
      </c>
      <c r="E115" s="79">
        <v>-0.3345476664381643</v>
      </c>
      <c r="F115" s="79">
        <v>1</v>
      </c>
      <c r="G115" s="79"/>
      <c r="H115" s="79"/>
      <c r="I115" s="79"/>
      <c r="J115" s="79"/>
      <c r="K115" s="79"/>
      <c r="L115" s="79"/>
      <c r="M115" s="79"/>
      <c r="N115" s="79"/>
      <c r="O115" s="79"/>
      <c r="P115" s="79"/>
      <c r="Q115" s="79"/>
      <c r="AK115" s="10" t="s">
        <v>29</v>
      </c>
      <c r="AL115" s="10">
        <f t="shared" si="10"/>
        <v>1</v>
      </c>
      <c r="AM115" s="10">
        <f t="shared" si="11"/>
        <v>0</v>
      </c>
      <c r="AN115" s="10">
        <f t="shared" si="12"/>
        <v>0</v>
      </c>
      <c r="AO115" s="10" t="s">
        <v>24</v>
      </c>
      <c r="AP115" s="10">
        <f t="shared" si="13"/>
        <v>0</v>
      </c>
      <c r="AQ115" s="10" t="s">
        <v>25</v>
      </c>
      <c r="AR115" s="10">
        <f t="shared" si="14"/>
        <v>0</v>
      </c>
      <c r="AS115" s="10" t="s">
        <v>26</v>
      </c>
      <c r="AT115" s="10">
        <f t="shared" si="15"/>
        <v>1</v>
      </c>
      <c r="AU115" s="10">
        <f t="shared" si="16"/>
        <v>0</v>
      </c>
      <c r="AV115" s="11">
        <v>20.849985</v>
      </c>
      <c r="AW115" s="11">
        <v>81.083300000000008</v>
      </c>
      <c r="AX115" s="11">
        <v>12.875725000000001</v>
      </c>
      <c r="AY115" s="10">
        <v>84</v>
      </c>
      <c r="AZ115" t="s">
        <v>104</v>
      </c>
      <c r="BA115" s="17">
        <f t="shared" si="17"/>
        <v>0</v>
      </c>
      <c r="BB115" s="17">
        <f t="shared" si="18"/>
        <v>0</v>
      </c>
      <c r="BC115" s="17">
        <f t="shared" si="19"/>
        <v>0</v>
      </c>
      <c r="BG115" s="14">
        <v>1</v>
      </c>
      <c r="BH115" s="14">
        <v>0</v>
      </c>
      <c r="BI115" s="14">
        <v>0</v>
      </c>
      <c r="BJ115" s="14">
        <v>0</v>
      </c>
      <c r="BK115" s="14">
        <v>0</v>
      </c>
      <c r="BL115" s="14">
        <v>1</v>
      </c>
      <c r="BM115" s="14">
        <v>0</v>
      </c>
      <c r="BN115" s="14">
        <v>0</v>
      </c>
      <c r="BO115" s="14">
        <v>0</v>
      </c>
      <c r="BP115" s="14">
        <v>0</v>
      </c>
      <c r="BQ115" s="11">
        <v>20.849985</v>
      </c>
      <c r="BR115" s="11">
        <v>81.083300000000008</v>
      </c>
      <c r="BS115" s="11">
        <v>12.875725000000001</v>
      </c>
      <c r="BT115" s="10">
        <v>84</v>
      </c>
    </row>
    <row r="116" spans="3:72" ht="20.149999999999999" customHeight="1">
      <c r="C116" t="s">
        <v>111</v>
      </c>
      <c r="D116" s="79">
        <v>-2.012167764655301E-2</v>
      </c>
      <c r="E116" s="79">
        <v>-5.8776479441247177E-2</v>
      </c>
      <c r="F116" s="79">
        <v>5.8459155249654136E-2</v>
      </c>
      <c r="G116" s="79">
        <v>1</v>
      </c>
      <c r="H116" s="79"/>
      <c r="I116" s="79"/>
      <c r="J116" s="79"/>
      <c r="K116" s="79"/>
      <c r="L116" s="79"/>
      <c r="M116" s="79"/>
      <c r="N116" s="79"/>
      <c r="O116" s="79"/>
      <c r="P116" s="79"/>
      <c r="Q116" s="79"/>
      <c r="AK116" s="10" t="s">
        <v>29</v>
      </c>
      <c r="AL116" s="10">
        <f t="shared" si="10"/>
        <v>1</v>
      </c>
      <c r="AM116" s="10">
        <f t="shared" si="11"/>
        <v>0</v>
      </c>
      <c r="AN116" s="10">
        <f t="shared" si="12"/>
        <v>0</v>
      </c>
      <c r="AO116" s="10" t="s">
        <v>24</v>
      </c>
      <c r="AP116" s="10">
        <f t="shared" si="13"/>
        <v>0</v>
      </c>
      <c r="AQ116" s="10" t="s">
        <v>11</v>
      </c>
      <c r="AR116" s="10">
        <f t="shared" si="14"/>
        <v>1</v>
      </c>
      <c r="AS116" s="10" t="s">
        <v>27</v>
      </c>
      <c r="AT116" s="10">
        <f t="shared" si="15"/>
        <v>0</v>
      </c>
      <c r="AU116" s="10">
        <f t="shared" si="16"/>
        <v>0</v>
      </c>
      <c r="AV116" s="11">
        <v>21.225014999999999</v>
      </c>
      <c r="AW116" s="11">
        <v>77.666700000000006</v>
      </c>
      <c r="AX116" s="11">
        <v>12.417311</v>
      </c>
      <c r="AY116" s="10">
        <v>94</v>
      </c>
      <c r="AZ116" t="s">
        <v>104</v>
      </c>
      <c r="BA116" s="17">
        <f t="shared" si="17"/>
        <v>0</v>
      </c>
      <c r="BB116" s="17">
        <f t="shared" si="18"/>
        <v>0</v>
      </c>
      <c r="BC116" s="17">
        <f t="shared" si="19"/>
        <v>0</v>
      </c>
      <c r="BG116" s="14">
        <v>1</v>
      </c>
      <c r="BH116" s="14">
        <v>0</v>
      </c>
      <c r="BI116" s="14">
        <v>0</v>
      </c>
      <c r="BJ116" s="14">
        <v>0</v>
      </c>
      <c r="BK116" s="14">
        <v>1</v>
      </c>
      <c r="BL116" s="14">
        <v>0</v>
      </c>
      <c r="BM116" s="14">
        <v>0</v>
      </c>
      <c r="BN116" s="14">
        <v>0</v>
      </c>
      <c r="BO116" s="14">
        <v>0</v>
      </c>
      <c r="BP116" s="14">
        <v>0</v>
      </c>
      <c r="BQ116" s="11">
        <v>21.225014999999999</v>
      </c>
      <c r="BR116" s="11">
        <v>77.666700000000006</v>
      </c>
      <c r="BS116" s="11">
        <v>12.417311</v>
      </c>
      <c r="BT116" s="10">
        <v>94</v>
      </c>
    </row>
    <row r="117" spans="3:72" ht="20.149999999999999" customHeight="1">
      <c r="C117" t="s">
        <v>112</v>
      </c>
      <c r="D117" s="79">
        <v>1.3397024113385093E-2</v>
      </c>
      <c r="E117" s="79">
        <v>2.698011800612285E-2</v>
      </c>
      <c r="F117" s="79">
        <v>-1.811452024882643E-2</v>
      </c>
      <c r="G117" s="79">
        <v>-0.24746108207197509</v>
      </c>
      <c r="H117" s="79">
        <v>1</v>
      </c>
      <c r="I117" s="79"/>
      <c r="J117" s="79"/>
      <c r="K117" s="79"/>
      <c r="L117" s="79"/>
      <c r="M117" s="79"/>
      <c r="N117" s="79"/>
      <c r="O117" s="79"/>
      <c r="P117" s="79"/>
      <c r="Q117" s="79"/>
      <c r="AK117" s="10" t="s">
        <v>29</v>
      </c>
      <c r="AL117" s="10">
        <f t="shared" si="10"/>
        <v>1</v>
      </c>
      <c r="AM117" s="10">
        <f t="shared" si="11"/>
        <v>0</v>
      </c>
      <c r="AN117" s="10">
        <f t="shared" si="12"/>
        <v>0</v>
      </c>
      <c r="AO117" s="10" t="s">
        <v>24</v>
      </c>
      <c r="AP117" s="10">
        <f t="shared" si="13"/>
        <v>0</v>
      </c>
      <c r="AQ117" s="10" t="s">
        <v>11</v>
      </c>
      <c r="AR117" s="10">
        <f t="shared" si="14"/>
        <v>1</v>
      </c>
      <c r="AS117" s="10" t="s">
        <v>27</v>
      </c>
      <c r="AT117" s="10">
        <f t="shared" si="15"/>
        <v>0</v>
      </c>
      <c r="AU117" s="10">
        <f t="shared" si="16"/>
        <v>0</v>
      </c>
      <c r="AV117" s="11">
        <v>21.787514999999999</v>
      </c>
      <c r="AW117" s="11">
        <v>72.916700000000006</v>
      </c>
      <c r="AX117" s="11">
        <v>21.875500000000002</v>
      </c>
      <c r="AY117" s="10">
        <v>78</v>
      </c>
      <c r="AZ117" t="s">
        <v>104</v>
      </c>
      <c r="BA117" s="17">
        <f t="shared" si="17"/>
        <v>0</v>
      </c>
      <c r="BB117" s="17">
        <f t="shared" si="18"/>
        <v>0</v>
      </c>
      <c r="BC117" s="17">
        <f t="shared" si="19"/>
        <v>0</v>
      </c>
      <c r="BG117" s="14">
        <v>1</v>
      </c>
      <c r="BH117" s="14">
        <v>0</v>
      </c>
      <c r="BI117" s="14">
        <v>0</v>
      </c>
      <c r="BJ117" s="14">
        <v>0</v>
      </c>
      <c r="BK117" s="14">
        <v>1</v>
      </c>
      <c r="BL117" s="14">
        <v>0</v>
      </c>
      <c r="BM117" s="14">
        <v>0</v>
      </c>
      <c r="BN117" s="14">
        <v>0</v>
      </c>
      <c r="BO117" s="14">
        <v>0</v>
      </c>
      <c r="BP117" s="14">
        <v>0</v>
      </c>
      <c r="BQ117" s="11">
        <v>21.787514999999999</v>
      </c>
      <c r="BR117" s="11">
        <v>72.916700000000006</v>
      </c>
      <c r="BS117" s="11">
        <v>21.875500000000002</v>
      </c>
      <c r="BT117" s="10">
        <v>78</v>
      </c>
    </row>
    <row r="118" spans="3:72" ht="20.149999999999999" customHeight="1">
      <c r="C118" t="s">
        <v>113</v>
      </c>
      <c r="D118" s="79">
        <v>0.10318847815305489</v>
      </c>
      <c r="E118" s="79">
        <v>-0.13662344312942629</v>
      </c>
      <c r="F118" s="79">
        <v>2.7878494379894963E-2</v>
      </c>
      <c r="G118" s="79">
        <v>2.1359404501325032E-2</v>
      </c>
      <c r="H118" s="79">
        <v>6.3115124033031031E-2</v>
      </c>
      <c r="I118" s="79">
        <v>1</v>
      </c>
      <c r="J118" s="79"/>
      <c r="K118" s="79"/>
      <c r="L118" s="79"/>
      <c r="M118" s="79"/>
      <c r="N118" s="79"/>
      <c r="O118" s="79"/>
      <c r="P118" s="79"/>
      <c r="Q118" s="79"/>
      <c r="AK118" s="10" t="s">
        <v>29</v>
      </c>
      <c r="AL118" s="10">
        <f t="shared" si="10"/>
        <v>1</v>
      </c>
      <c r="AM118" s="10">
        <f t="shared" si="11"/>
        <v>0</v>
      </c>
      <c r="AN118" s="10">
        <f t="shared" si="12"/>
        <v>0</v>
      </c>
      <c r="AO118" s="10" t="s">
        <v>24</v>
      </c>
      <c r="AP118" s="10">
        <f t="shared" si="13"/>
        <v>0</v>
      </c>
      <c r="AQ118" s="10" t="s">
        <v>11</v>
      </c>
      <c r="AR118" s="10">
        <f t="shared" si="14"/>
        <v>1</v>
      </c>
      <c r="AS118" s="10" t="s">
        <v>26</v>
      </c>
      <c r="AT118" s="10">
        <f t="shared" si="15"/>
        <v>1</v>
      </c>
      <c r="AU118" s="10">
        <f t="shared" si="16"/>
        <v>0</v>
      </c>
      <c r="AV118" s="11">
        <v>21.15</v>
      </c>
      <c r="AW118" s="11">
        <v>83.541699999999992</v>
      </c>
      <c r="AX118" s="11">
        <v>20.917399999999997</v>
      </c>
      <c r="AY118" s="10">
        <v>53</v>
      </c>
      <c r="AZ118" t="s">
        <v>106</v>
      </c>
      <c r="BA118" s="17">
        <f t="shared" si="17"/>
        <v>0</v>
      </c>
      <c r="BB118" s="17">
        <f t="shared" si="18"/>
        <v>1</v>
      </c>
      <c r="BC118" s="17">
        <f t="shared" si="19"/>
        <v>0</v>
      </c>
      <c r="BG118" s="14">
        <v>1</v>
      </c>
      <c r="BH118" s="14">
        <v>0</v>
      </c>
      <c r="BI118" s="14">
        <v>0</v>
      </c>
      <c r="BJ118" s="14">
        <v>0</v>
      </c>
      <c r="BK118" s="14">
        <v>1</v>
      </c>
      <c r="BL118" s="14">
        <v>1</v>
      </c>
      <c r="BM118" s="14">
        <v>0</v>
      </c>
      <c r="BN118" s="14">
        <v>0</v>
      </c>
      <c r="BO118" s="14">
        <v>1</v>
      </c>
      <c r="BP118" s="14">
        <v>0</v>
      </c>
      <c r="BQ118" s="11">
        <v>21.15</v>
      </c>
      <c r="BR118" s="11">
        <v>83.541699999999992</v>
      </c>
      <c r="BS118" s="11">
        <v>20.917399999999997</v>
      </c>
      <c r="BT118" s="10">
        <v>53</v>
      </c>
    </row>
    <row r="119" spans="3:72" ht="20.149999999999999" customHeight="1">
      <c r="C119" t="s">
        <v>114</v>
      </c>
      <c r="D119" s="79">
        <v>-2.481932529148154E-2</v>
      </c>
      <c r="E119" s="79">
        <v>-0.12017778562191019</v>
      </c>
      <c r="F119" s="79">
        <v>0.1678129992522415</v>
      </c>
      <c r="G119" s="79">
        <v>-3.4745409204160971E-2</v>
      </c>
      <c r="H119" s="79">
        <v>8.0988714291870129E-2</v>
      </c>
      <c r="I119" s="79">
        <v>-0.14849571733748937</v>
      </c>
      <c r="J119" s="79">
        <v>1</v>
      </c>
      <c r="K119" s="79"/>
      <c r="L119" s="79"/>
      <c r="M119" s="79"/>
      <c r="N119" s="79"/>
      <c r="O119" s="79"/>
      <c r="P119" s="79"/>
      <c r="Q119" s="79"/>
      <c r="AK119" s="10" t="s">
        <v>29</v>
      </c>
      <c r="AL119" s="10">
        <f t="shared" si="10"/>
        <v>1</v>
      </c>
      <c r="AM119" s="10">
        <f t="shared" si="11"/>
        <v>0</v>
      </c>
      <c r="AN119" s="10">
        <f t="shared" si="12"/>
        <v>0</v>
      </c>
      <c r="AO119" s="10" t="s">
        <v>24</v>
      </c>
      <c r="AP119" s="10">
        <f t="shared" si="13"/>
        <v>0</v>
      </c>
      <c r="AQ119" s="10" t="s">
        <v>11</v>
      </c>
      <c r="AR119" s="10">
        <f t="shared" si="14"/>
        <v>1</v>
      </c>
      <c r="AS119" s="10" t="s">
        <v>26</v>
      </c>
      <c r="AT119" s="10">
        <f t="shared" si="15"/>
        <v>1</v>
      </c>
      <c r="AU119" s="10">
        <f t="shared" si="16"/>
        <v>0</v>
      </c>
      <c r="AV119" s="11">
        <v>14.887485</v>
      </c>
      <c r="AW119" s="11">
        <v>70.083300000000008</v>
      </c>
      <c r="AX119" s="11">
        <v>21.500836000000003</v>
      </c>
      <c r="AY119" s="10">
        <v>75</v>
      </c>
      <c r="AZ119" t="s">
        <v>104</v>
      </c>
      <c r="BA119" s="17">
        <f t="shared" si="17"/>
        <v>0</v>
      </c>
      <c r="BB119" s="17">
        <f t="shared" si="18"/>
        <v>0</v>
      </c>
      <c r="BC119" s="17">
        <f t="shared" si="19"/>
        <v>0</v>
      </c>
      <c r="BG119" s="14">
        <v>1</v>
      </c>
      <c r="BH119" s="14">
        <v>0</v>
      </c>
      <c r="BI119" s="14">
        <v>0</v>
      </c>
      <c r="BJ119" s="14">
        <v>0</v>
      </c>
      <c r="BK119" s="14">
        <v>1</v>
      </c>
      <c r="BL119" s="14">
        <v>1</v>
      </c>
      <c r="BM119" s="14">
        <v>0</v>
      </c>
      <c r="BN119" s="14">
        <v>0</v>
      </c>
      <c r="BO119" s="14">
        <v>0</v>
      </c>
      <c r="BP119" s="14">
        <v>0</v>
      </c>
      <c r="BQ119" s="11">
        <v>14.887485</v>
      </c>
      <c r="BR119" s="11">
        <v>70.083300000000008</v>
      </c>
      <c r="BS119" s="11">
        <v>21.500836000000003</v>
      </c>
      <c r="BT119" s="10">
        <v>75</v>
      </c>
    </row>
    <row r="120" spans="3:72" ht="20.149999999999999" customHeight="1">
      <c r="C120" t="s">
        <v>117</v>
      </c>
      <c r="D120" s="79">
        <v>-0.23129964409878495</v>
      </c>
      <c r="E120" s="79">
        <v>0.60760556914115293</v>
      </c>
      <c r="F120" s="79">
        <v>-9.1011512690113788E-2</v>
      </c>
      <c r="G120" s="79">
        <v>-7.7806600375683443E-3</v>
      </c>
      <c r="H120" s="79">
        <v>1.7185664471019234E-2</v>
      </c>
      <c r="I120" s="79">
        <v>-8.6389260982411342E-2</v>
      </c>
      <c r="J120" s="79">
        <v>-4.2958665606721409E-2</v>
      </c>
      <c r="K120" s="79">
        <v>1</v>
      </c>
      <c r="L120" s="79"/>
      <c r="M120" s="79"/>
      <c r="N120" s="79"/>
      <c r="O120" s="79"/>
      <c r="P120" s="79"/>
      <c r="Q120" s="79"/>
      <c r="AK120" s="10" t="s">
        <v>29</v>
      </c>
      <c r="AL120" s="10">
        <f t="shared" si="10"/>
        <v>1</v>
      </c>
      <c r="AM120" s="10">
        <f t="shared" si="11"/>
        <v>0</v>
      </c>
      <c r="AN120" s="10">
        <f t="shared" si="12"/>
        <v>0</v>
      </c>
      <c r="AO120" s="10" t="s">
        <v>24</v>
      </c>
      <c r="AP120" s="10">
        <f t="shared" si="13"/>
        <v>0</v>
      </c>
      <c r="AQ120" s="10" t="s">
        <v>11</v>
      </c>
      <c r="AR120" s="10">
        <f t="shared" si="14"/>
        <v>1</v>
      </c>
      <c r="AS120" s="10" t="s">
        <v>27</v>
      </c>
      <c r="AT120" s="10">
        <f t="shared" si="15"/>
        <v>0</v>
      </c>
      <c r="AU120" s="10">
        <f t="shared" si="16"/>
        <v>0</v>
      </c>
      <c r="AV120" s="11">
        <v>11.437514999999999</v>
      </c>
      <c r="AW120" s="11">
        <v>45.708300000000001</v>
      </c>
      <c r="AX120" s="11">
        <v>16.084220999999999</v>
      </c>
      <c r="AY120" s="10">
        <v>12</v>
      </c>
      <c r="AZ120" t="s">
        <v>107</v>
      </c>
      <c r="BA120" s="17">
        <f t="shared" si="17"/>
        <v>1</v>
      </c>
      <c r="BB120" s="17">
        <f t="shared" si="18"/>
        <v>0</v>
      </c>
      <c r="BC120" s="17">
        <f t="shared" si="19"/>
        <v>0</v>
      </c>
      <c r="BG120" s="14">
        <v>1</v>
      </c>
      <c r="BH120" s="14">
        <v>0</v>
      </c>
      <c r="BI120" s="14">
        <v>0</v>
      </c>
      <c r="BJ120" s="14">
        <v>0</v>
      </c>
      <c r="BK120" s="14">
        <v>1</v>
      </c>
      <c r="BL120" s="14">
        <v>0</v>
      </c>
      <c r="BM120" s="14">
        <v>0</v>
      </c>
      <c r="BN120" s="14">
        <v>1</v>
      </c>
      <c r="BO120" s="14">
        <v>0</v>
      </c>
      <c r="BP120" s="14">
        <v>0</v>
      </c>
      <c r="BQ120" s="11">
        <v>11.437514999999999</v>
      </c>
      <c r="BR120" s="11">
        <v>45.708300000000001</v>
      </c>
      <c r="BS120" s="11">
        <v>16.084220999999999</v>
      </c>
      <c r="BT120" s="10">
        <v>12</v>
      </c>
    </row>
    <row r="121" spans="3:72" ht="20.149999999999999" customHeight="1">
      <c r="C121" t="s">
        <v>118</v>
      </c>
      <c r="D121" s="79">
        <v>8.8614070579265004E-3</v>
      </c>
      <c r="E121" s="79">
        <v>8.8614070579265611E-3</v>
      </c>
      <c r="F121" s="79">
        <v>0.25612154597993275</v>
      </c>
      <c r="G121" s="79">
        <v>-8.8526670571085261E-3</v>
      </c>
      <c r="H121" s="79">
        <v>2.1581040469585408E-2</v>
      </c>
      <c r="I121" s="79">
        <v>9.0238880111046527E-2</v>
      </c>
      <c r="J121" s="79">
        <v>-4.4132690795301299E-2</v>
      </c>
      <c r="K121" s="79">
        <v>-0.28294752726883238</v>
      </c>
      <c r="L121" s="79">
        <v>1</v>
      </c>
      <c r="M121" s="79"/>
      <c r="N121" s="79"/>
      <c r="O121" s="79"/>
      <c r="P121" s="79"/>
      <c r="Q121" s="79"/>
      <c r="AK121" s="10" t="s">
        <v>29</v>
      </c>
      <c r="AL121" s="10">
        <f t="shared" si="10"/>
        <v>1</v>
      </c>
      <c r="AM121" s="10">
        <f t="shared" si="11"/>
        <v>0</v>
      </c>
      <c r="AN121" s="10">
        <f t="shared" si="12"/>
        <v>0</v>
      </c>
      <c r="AO121" s="10" t="s">
        <v>24</v>
      </c>
      <c r="AP121" s="10">
        <f t="shared" si="13"/>
        <v>0</v>
      </c>
      <c r="AQ121" s="10" t="s">
        <v>25</v>
      </c>
      <c r="AR121" s="10">
        <f t="shared" si="14"/>
        <v>0</v>
      </c>
      <c r="AS121" s="10" t="s">
        <v>27</v>
      </c>
      <c r="AT121" s="10">
        <f t="shared" si="15"/>
        <v>0</v>
      </c>
      <c r="AU121" s="10">
        <f t="shared" si="16"/>
        <v>0</v>
      </c>
      <c r="AV121" s="11">
        <v>14.362514999999998</v>
      </c>
      <c r="AW121" s="11">
        <v>50.333300000000001</v>
      </c>
      <c r="AX121" s="11">
        <v>15.750025000000001</v>
      </c>
      <c r="AY121" s="10">
        <v>67</v>
      </c>
      <c r="AZ121" t="s">
        <v>106</v>
      </c>
      <c r="BA121" s="17">
        <f t="shared" si="17"/>
        <v>0</v>
      </c>
      <c r="BB121" s="17">
        <f t="shared" si="18"/>
        <v>1</v>
      </c>
      <c r="BC121" s="17">
        <f t="shared" si="19"/>
        <v>0</v>
      </c>
      <c r="BG121" s="14">
        <v>1</v>
      </c>
      <c r="BH121" s="14">
        <v>0</v>
      </c>
      <c r="BI121" s="14">
        <v>0</v>
      </c>
      <c r="BJ121" s="14">
        <v>0</v>
      </c>
      <c r="BK121" s="14">
        <v>0</v>
      </c>
      <c r="BL121" s="14">
        <v>0</v>
      </c>
      <c r="BM121" s="14">
        <v>0</v>
      </c>
      <c r="BN121" s="14">
        <v>0</v>
      </c>
      <c r="BO121" s="14">
        <v>1</v>
      </c>
      <c r="BP121" s="14">
        <v>0</v>
      </c>
      <c r="BQ121" s="11">
        <v>14.362514999999998</v>
      </c>
      <c r="BR121" s="11">
        <v>50.333300000000001</v>
      </c>
      <c r="BS121" s="11">
        <v>15.750025000000001</v>
      </c>
      <c r="BT121" s="10">
        <v>67</v>
      </c>
    </row>
    <row r="122" spans="3:72" ht="20.149999999999999" customHeight="1">
      <c r="C122" t="s">
        <v>116</v>
      </c>
      <c r="D122" s="79">
        <v>6.4746607559954719E-2</v>
      </c>
      <c r="E122" s="79">
        <v>-0.20078723243311888</v>
      </c>
      <c r="F122" s="79">
        <v>-0.13782800731595507</v>
      </c>
      <c r="G122" s="79">
        <v>5.0608520002206968E-2</v>
      </c>
      <c r="H122" s="79">
        <v>-8.9963929973829806E-2</v>
      </c>
      <c r="I122" s="79">
        <v>-2.3393994057269388E-2</v>
      </c>
      <c r="J122" s="79">
        <v>6.2423687652623384E-2</v>
      </c>
      <c r="K122" s="79">
        <v>-0.18325087919886057</v>
      </c>
      <c r="L122" s="79">
        <v>-0.18471698993324709</v>
      </c>
      <c r="M122" s="79">
        <v>1</v>
      </c>
      <c r="N122" s="79"/>
      <c r="O122" s="79"/>
      <c r="P122" s="79"/>
      <c r="Q122" s="79"/>
      <c r="AK122" s="10" t="s">
        <v>29</v>
      </c>
      <c r="AL122" s="10">
        <f t="shared" si="10"/>
        <v>1</v>
      </c>
      <c r="AM122" s="10">
        <f t="shared" si="11"/>
        <v>0</v>
      </c>
      <c r="AN122" s="10">
        <f t="shared" si="12"/>
        <v>0</v>
      </c>
      <c r="AO122" s="10" t="s">
        <v>24</v>
      </c>
      <c r="AP122" s="10">
        <f t="shared" si="13"/>
        <v>0</v>
      </c>
      <c r="AQ122" s="10" t="s">
        <v>25</v>
      </c>
      <c r="AR122" s="10">
        <f t="shared" si="14"/>
        <v>0</v>
      </c>
      <c r="AS122" s="10" t="s">
        <v>26</v>
      </c>
      <c r="AT122" s="10">
        <f t="shared" si="15"/>
        <v>1</v>
      </c>
      <c r="AU122" s="10">
        <f t="shared" si="16"/>
        <v>0</v>
      </c>
      <c r="AV122" s="11">
        <v>15.3</v>
      </c>
      <c r="AW122" s="11">
        <v>76.208299999999994</v>
      </c>
      <c r="AX122" s="11">
        <v>7.125718</v>
      </c>
      <c r="AY122" s="10">
        <v>73</v>
      </c>
      <c r="AZ122" t="s">
        <v>104</v>
      </c>
      <c r="BA122" s="17">
        <f t="shared" si="17"/>
        <v>0</v>
      </c>
      <c r="BB122" s="17">
        <f t="shared" si="18"/>
        <v>0</v>
      </c>
      <c r="BC122" s="17">
        <f t="shared" si="19"/>
        <v>0</v>
      </c>
      <c r="BG122" s="14">
        <v>1</v>
      </c>
      <c r="BH122" s="14">
        <v>0</v>
      </c>
      <c r="BI122" s="14">
        <v>0</v>
      </c>
      <c r="BJ122" s="14">
        <v>0</v>
      </c>
      <c r="BK122" s="14">
        <v>0</v>
      </c>
      <c r="BL122" s="14">
        <v>1</v>
      </c>
      <c r="BM122" s="14">
        <v>0</v>
      </c>
      <c r="BN122" s="14">
        <v>0</v>
      </c>
      <c r="BO122" s="14">
        <v>0</v>
      </c>
      <c r="BP122" s="14">
        <v>0</v>
      </c>
      <c r="BQ122" s="11">
        <v>15.3</v>
      </c>
      <c r="BR122" s="11">
        <v>76.208299999999994</v>
      </c>
      <c r="BS122" s="11">
        <v>7.125718</v>
      </c>
      <c r="BT122" s="10">
        <v>73</v>
      </c>
    </row>
    <row r="123" spans="3:72" ht="20.149999999999999" customHeight="1">
      <c r="C123" t="s">
        <v>15</v>
      </c>
      <c r="D123" s="79">
        <v>3.030976023483303E-2</v>
      </c>
      <c r="E123" s="79">
        <v>-0.66822806971523163</v>
      </c>
      <c r="F123" s="79">
        <v>-6.0625553101468256E-2</v>
      </c>
      <c r="G123" s="79">
        <v>4.1923554843044789E-2</v>
      </c>
      <c r="H123" s="79">
        <v>-8.5919489083010857E-3</v>
      </c>
      <c r="I123" s="79">
        <v>8.5147215382293417E-2</v>
      </c>
      <c r="J123" s="79">
        <v>7.1978600388529698E-2</v>
      </c>
      <c r="K123" s="79">
        <v>-0.61608841340308618</v>
      </c>
      <c r="L123" s="79">
        <v>-0.22641395493994254</v>
      </c>
      <c r="M123" s="79">
        <v>0.28682644839520627</v>
      </c>
      <c r="N123" s="79">
        <v>1</v>
      </c>
      <c r="O123" s="79"/>
      <c r="P123" s="79"/>
      <c r="Q123" s="79"/>
      <c r="AK123" s="10" t="s">
        <v>29</v>
      </c>
      <c r="AL123" s="10">
        <f t="shared" si="10"/>
        <v>1</v>
      </c>
      <c r="AM123" s="10">
        <f t="shared" si="11"/>
        <v>0</v>
      </c>
      <c r="AN123" s="10">
        <f t="shared" si="12"/>
        <v>0</v>
      </c>
      <c r="AO123" s="10" t="s">
        <v>24</v>
      </c>
      <c r="AP123" s="10">
        <f t="shared" si="13"/>
        <v>0</v>
      </c>
      <c r="AQ123" s="10" t="s">
        <v>11</v>
      </c>
      <c r="AR123" s="10">
        <f t="shared" si="14"/>
        <v>1</v>
      </c>
      <c r="AS123" s="10" t="s">
        <v>26</v>
      </c>
      <c r="AT123" s="10">
        <f t="shared" si="15"/>
        <v>1</v>
      </c>
      <c r="AU123" s="10">
        <f t="shared" si="16"/>
        <v>0</v>
      </c>
      <c r="AV123" s="11">
        <v>18.037485</v>
      </c>
      <c r="AW123" s="11">
        <v>73</v>
      </c>
      <c r="AX123" s="11">
        <v>12.291418</v>
      </c>
      <c r="AY123" s="10">
        <v>81</v>
      </c>
      <c r="AZ123" t="s">
        <v>104</v>
      </c>
      <c r="BA123" s="17">
        <f t="shared" si="17"/>
        <v>0</v>
      </c>
      <c r="BB123" s="17">
        <f t="shared" si="18"/>
        <v>0</v>
      </c>
      <c r="BC123" s="17">
        <f t="shared" si="19"/>
        <v>0</v>
      </c>
      <c r="BG123" s="14">
        <v>1</v>
      </c>
      <c r="BH123" s="14">
        <v>0</v>
      </c>
      <c r="BI123" s="14">
        <v>0</v>
      </c>
      <c r="BJ123" s="14">
        <v>0</v>
      </c>
      <c r="BK123" s="14">
        <v>1</v>
      </c>
      <c r="BL123" s="14">
        <v>1</v>
      </c>
      <c r="BM123" s="14">
        <v>0</v>
      </c>
      <c r="BN123" s="14">
        <v>0</v>
      </c>
      <c r="BO123" s="14">
        <v>0</v>
      </c>
      <c r="BP123" s="14">
        <v>0</v>
      </c>
      <c r="BQ123" s="11">
        <v>18.037485</v>
      </c>
      <c r="BR123" s="11">
        <v>73</v>
      </c>
      <c r="BS123" s="11">
        <v>12.291418</v>
      </c>
      <c r="BT123" s="10">
        <v>81</v>
      </c>
    </row>
    <row r="124" spans="3:72" ht="20.149999999999999" customHeight="1">
      <c r="C124" t="s">
        <v>0</v>
      </c>
      <c r="D124" s="79">
        <v>2.5379834230120277E-2</v>
      </c>
      <c r="E124" s="79">
        <v>-0.15752783653486163</v>
      </c>
      <c r="F124" s="79">
        <v>0.30347372279824913</v>
      </c>
      <c r="G124" s="79">
        <v>-3.0896100960646239E-2</v>
      </c>
      <c r="H124" s="79">
        <v>3.4249681281617768E-2</v>
      </c>
      <c r="I124" s="79">
        <v>0.4546391231538654</v>
      </c>
      <c r="J124" s="79">
        <v>0.29400162421126386</v>
      </c>
      <c r="K124" s="79">
        <v>-9.5572600489658641E-3</v>
      </c>
      <c r="L124" s="79">
        <v>0.20493196948047895</v>
      </c>
      <c r="M124" s="79">
        <v>-3.5386442411438429E-2</v>
      </c>
      <c r="N124" s="79">
        <v>-7.6140044747733018E-2</v>
      </c>
      <c r="O124" s="79">
        <v>1</v>
      </c>
      <c r="P124" s="79"/>
      <c r="Q124" s="79"/>
      <c r="AK124" s="10" t="s">
        <v>29</v>
      </c>
      <c r="AL124" s="10">
        <f t="shared" si="10"/>
        <v>1</v>
      </c>
      <c r="AM124" s="10">
        <f t="shared" si="11"/>
        <v>0</v>
      </c>
      <c r="AN124" s="10">
        <f t="shared" si="12"/>
        <v>0</v>
      </c>
      <c r="AO124" s="10" t="s">
        <v>24</v>
      </c>
      <c r="AP124" s="10">
        <f t="shared" si="13"/>
        <v>0</v>
      </c>
      <c r="AQ124" s="10" t="s">
        <v>11</v>
      </c>
      <c r="AR124" s="10">
        <f t="shared" si="14"/>
        <v>1</v>
      </c>
      <c r="AS124" s="10" t="s">
        <v>26</v>
      </c>
      <c r="AT124" s="10">
        <f t="shared" si="15"/>
        <v>1</v>
      </c>
      <c r="AU124" s="10">
        <f t="shared" si="16"/>
        <v>0</v>
      </c>
      <c r="AV124" s="11">
        <v>16.987500000000001</v>
      </c>
      <c r="AW124" s="11">
        <v>69.708299999999994</v>
      </c>
      <c r="AX124" s="11">
        <v>22.958689</v>
      </c>
      <c r="AY124" s="10">
        <v>83</v>
      </c>
      <c r="AZ124" t="s">
        <v>104</v>
      </c>
      <c r="BA124" s="17">
        <f t="shared" si="17"/>
        <v>0</v>
      </c>
      <c r="BB124" s="17">
        <f t="shared" si="18"/>
        <v>0</v>
      </c>
      <c r="BC124" s="17">
        <f t="shared" si="19"/>
        <v>0</v>
      </c>
      <c r="BG124" s="14">
        <v>1</v>
      </c>
      <c r="BH124" s="14">
        <v>0</v>
      </c>
      <c r="BI124" s="14">
        <v>0</v>
      </c>
      <c r="BJ124" s="14">
        <v>0</v>
      </c>
      <c r="BK124" s="14">
        <v>1</v>
      </c>
      <c r="BL124" s="14">
        <v>1</v>
      </c>
      <c r="BM124" s="14">
        <v>0</v>
      </c>
      <c r="BN124" s="14">
        <v>0</v>
      </c>
      <c r="BO124" s="14">
        <v>0</v>
      </c>
      <c r="BP124" s="14">
        <v>0</v>
      </c>
      <c r="BQ124" s="11">
        <v>16.987500000000001</v>
      </c>
      <c r="BR124" s="11">
        <v>69.708299999999994</v>
      </c>
      <c r="BS124" s="11">
        <v>22.958689</v>
      </c>
      <c r="BT124" s="10">
        <v>83</v>
      </c>
    </row>
    <row r="125" spans="3:72" ht="20.149999999999999" customHeight="1">
      <c r="C125" t="s">
        <v>18</v>
      </c>
      <c r="D125" s="79">
        <v>0.20886045840257642</v>
      </c>
      <c r="E125" s="79">
        <v>-8.4572805554113631E-2</v>
      </c>
      <c r="F125" s="79">
        <v>-0.16110353178452005</v>
      </c>
      <c r="G125" s="79">
        <v>7.3444131527142286E-4</v>
      </c>
      <c r="H125" s="79">
        <v>1.1954931835995409E-2</v>
      </c>
      <c r="I125" s="79">
        <v>3.9562936612954902E-2</v>
      </c>
      <c r="J125" s="79">
        <v>0.11002739535146759</v>
      </c>
      <c r="K125" s="79">
        <v>-6.8406555890714607E-2</v>
      </c>
      <c r="L125" s="79">
        <v>-0.1121629874564854</v>
      </c>
      <c r="M125" s="79">
        <v>9.4198212813985799E-2</v>
      </c>
      <c r="N125" s="79">
        <v>0.12612719318636412</v>
      </c>
      <c r="O125" s="79">
        <v>-0.21571802302764689</v>
      </c>
      <c r="P125" s="79">
        <v>1</v>
      </c>
      <c r="Q125" s="79"/>
      <c r="AK125" s="10" t="s">
        <v>29</v>
      </c>
      <c r="AL125" s="10">
        <f t="shared" si="10"/>
        <v>1</v>
      </c>
      <c r="AM125" s="10">
        <f t="shared" si="11"/>
        <v>0</v>
      </c>
      <c r="AN125" s="10">
        <f t="shared" si="12"/>
        <v>0</v>
      </c>
      <c r="AO125" s="10" t="s">
        <v>24</v>
      </c>
      <c r="AP125" s="10">
        <f t="shared" si="13"/>
        <v>0</v>
      </c>
      <c r="AQ125" s="10" t="s">
        <v>11</v>
      </c>
      <c r="AR125" s="10">
        <f t="shared" si="14"/>
        <v>1</v>
      </c>
      <c r="AS125" s="10" t="s">
        <v>26</v>
      </c>
      <c r="AT125" s="10">
        <f t="shared" si="15"/>
        <v>1</v>
      </c>
      <c r="AU125" s="10">
        <f t="shared" si="16"/>
        <v>0</v>
      </c>
      <c r="AV125" s="11">
        <v>18.374984999999999</v>
      </c>
      <c r="AW125" s="11">
        <v>73.708300000000008</v>
      </c>
      <c r="AX125" s="11">
        <v>22.042732000000001</v>
      </c>
      <c r="AY125" s="10">
        <v>79</v>
      </c>
      <c r="AZ125" t="s">
        <v>104</v>
      </c>
      <c r="BA125" s="17">
        <f t="shared" si="17"/>
        <v>0</v>
      </c>
      <c r="BB125" s="17">
        <f t="shared" si="18"/>
        <v>0</v>
      </c>
      <c r="BC125" s="17">
        <f t="shared" si="19"/>
        <v>0</v>
      </c>
      <c r="BG125" s="14">
        <v>1</v>
      </c>
      <c r="BH125" s="14">
        <v>0</v>
      </c>
      <c r="BI125" s="14">
        <v>0</v>
      </c>
      <c r="BJ125" s="14">
        <v>0</v>
      </c>
      <c r="BK125" s="14">
        <v>1</v>
      </c>
      <c r="BL125" s="14">
        <v>1</v>
      </c>
      <c r="BM125" s="14">
        <v>0</v>
      </c>
      <c r="BN125" s="14">
        <v>0</v>
      </c>
      <c r="BO125" s="14">
        <v>0</v>
      </c>
      <c r="BP125" s="14">
        <v>0</v>
      </c>
      <c r="BQ125" s="11">
        <v>18.374984999999999</v>
      </c>
      <c r="BR125" s="11">
        <v>73.708300000000008</v>
      </c>
      <c r="BS125" s="11">
        <v>22.042732000000001</v>
      </c>
      <c r="BT125" s="10">
        <v>79</v>
      </c>
    </row>
    <row r="126" spans="3:72" ht="20.149999999999999" customHeight="1" thickBot="1">
      <c r="C126" s="146" t="s">
        <v>39</v>
      </c>
      <c r="D126" s="148">
        <v>0.20568526972681572</v>
      </c>
      <c r="E126" s="148">
        <v>-0.62079036382101371</v>
      </c>
      <c r="F126" s="148">
        <v>-7.0879498850865336E-2</v>
      </c>
      <c r="G126" s="148">
        <v>5.5389715194662195E-2</v>
      </c>
      <c r="H126" s="148">
        <v>-4.4728298517098961E-2</v>
      </c>
      <c r="I126" s="148">
        <v>5.6687576587851327E-2</v>
      </c>
      <c r="J126" s="148">
        <v>5.0794962073566777E-2</v>
      </c>
      <c r="K126" s="148">
        <v>-0.77644699380221727</v>
      </c>
      <c r="L126" s="148">
        <v>-0.27377055438193881</v>
      </c>
      <c r="M126" s="148">
        <v>0.47042073201293766</v>
      </c>
      <c r="N126" s="148">
        <v>0.77147061194873179</v>
      </c>
      <c r="O126" s="148">
        <v>-8.0936497499485893E-2</v>
      </c>
      <c r="P126" s="148">
        <v>0.13701667243930643</v>
      </c>
      <c r="Q126" s="148">
        <v>1</v>
      </c>
      <c r="AK126" s="10" t="s">
        <v>29</v>
      </c>
      <c r="AL126" s="10">
        <f t="shared" si="10"/>
        <v>1</v>
      </c>
      <c r="AM126" s="10">
        <f t="shared" si="11"/>
        <v>0</v>
      </c>
      <c r="AN126" s="10">
        <f t="shared" si="12"/>
        <v>0</v>
      </c>
      <c r="AO126" s="10" t="s">
        <v>24</v>
      </c>
      <c r="AP126" s="10">
        <f t="shared" si="13"/>
        <v>0</v>
      </c>
      <c r="AQ126" s="10" t="s">
        <v>11</v>
      </c>
      <c r="AR126" s="10">
        <f t="shared" si="14"/>
        <v>1</v>
      </c>
      <c r="AS126" s="10" t="s">
        <v>27</v>
      </c>
      <c r="AT126" s="10">
        <f t="shared" si="15"/>
        <v>0</v>
      </c>
      <c r="AU126" s="10">
        <f t="shared" si="16"/>
        <v>0</v>
      </c>
      <c r="AV126" s="11">
        <v>18.149985000000001</v>
      </c>
      <c r="AW126" s="11">
        <v>44.416699999999999</v>
      </c>
      <c r="AX126" s="11">
        <v>19.791263999999998</v>
      </c>
      <c r="AY126" s="10">
        <v>81</v>
      </c>
      <c r="AZ126" t="s">
        <v>104</v>
      </c>
      <c r="BA126" s="17">
        <f t="shared" si="17"/>
        <v>0</v>
      </c>
      <c r="BB126" s="17">
        <f t="shared" si="18"/>
        <v>0</v>
      </c>
      <c r="BC126" s="17">
        <f t="shared" si="19"/>
        <v>0</v>
      </c>
      <c r="BG126" s="14">
        <v>1</v>
      </c>
      <c r="BH126" s="14">
        <v>0</v>
      </c>
      <c r="BI126" s="14">
        <v>0</v>
      </c>
      <c r="BJ126" s="14">
        <v>0</v>
      </c>
      <c r="BK126" s="14">
        <v>1</v>
      </c>
      <c r="BL126" s="14">
        <v>0</v>
      </c>
      <c r="BM126" s="14">
        <v>0</v>
      </c>
      <c r="BN126" s="14">
        <v>0</v>
      </c>
      <c r="BO126" s="14">
        <v>0</v>
      </c>
      <c r="BP126" s="14">
        <v>0</v>
      </c>
      <c r="BQ126" s="11">
        <v>18.149985000000001</v>
      </c>
      <c r="BR126" s="11">
        <v>44.416699999999999</v>
      </c>
      <c r="BS126" s="11">
        <v>19.791263999999998</v>
      </c>
      <c r="BT126" s="10">
        <v>81</v>
      </c>
    </row>
    <row r="127" spans="3:72" ht="20.149999999999999" customHeight="1">
      <c r="AK127" s="10" t="s">
        <v>29</v>
      </c>
      <c r="AL127" s="10">
        <f t="shared" si="10"/>
        <v>1</v>
      </c>
      <c r="AM127" s="10">
        <f t="shared" si="11"/>
        <v>0</v>
      </c>
      <c r="AN127" s="10">
        <f t="shared" si="12"/>
        <v>0</v>
      </c>
      <c r="AO127" s="10" t="s">
        <v>24</v>
      </c>
      <c r="AP127" s="10">
        <f t="shared" si="13"/>
        <v>0</v>
      </c>
      <c r="AQ127" s="10" t="s">
        <v>11</v>
      </c>
      <c r="AR127" s="10">
        <f t="shared" si="14"/>
        <v>1</v>
      </c>
      <c r="AS127" s="10" t="s">
        <v>27</v>
      </c>
      <c r="AT127" s="10">
        <f t="shared" si="15"/>
        <v>0</v>
      </c>
      <c r="AU127" s="10">
        <f t="shared" si="16"/>
        <v>0</v>
      </c>
      <c r="AV127" s="11">
        <v>14.700014999999999</v>
      </c>
      <c r="AW127" s="11">
        <v>59</v>
      </c>
      <c r="AX127" s="11">
        <v>15.292482</v>
      </c>
      <c r="AY127" s="10">
        <v>78</v>
      </c>
      <c r="AZ127" t="s">
        <v>104</v>
      </c>
      <c r="BA127" s="17">
        <f t="shared" si="17"/>
        <v>0</v>
      </c>
      <c r="BB127" s="17">
        <f t="shared" si="18"/>
        <v>0</v>
      </c>
      <c r="BC127" s="17">
        <f t="shared" si="19"/>
        <v>0</v>
      </c>
      <c r="BG127" s="14">
        <v>1</v>
      </c>
      <c r="BH127" s="14">
        <v>0</v>
      </c>
      <c r="BI127" s="14">
        <v>0</v>
      </c>
      <c r="BJ127" s="14">
        <v>0</v>
      </c>
      <c r="BK127" s="14">
        <v>1</v>
      </c>
      <c r="BL127" s="14">
        <v>0</v>
      </c>
      <c r="BM127" s="14">
        <v>0</v>
      </c>
      <c r="BN127" s="14">
        <v>0</v>
      </c>
      <c r="BO127" s="14">
        <v>0</v>
      </c>
      <c r="BP127" s="14">
        <v>0</v>
      </c>
      <c r="BQ127" s="11">
        <v>14.700014999999999</v>
      </c>
      <c r="BR127" s="11">
        <v>59</v>
      </c>
      <c r="BS127" s="11">
        <v>15.292482</v>
      </c>
      <c r="BT127" s="10">
        <v>78</v>
      </c>
    </row>
    <row r="128" spans="3:72" ht="20.149999999999999" customHeight="1">
      <c r="AK128" s="10" t="s">
        <v>29</v>
      </c>
      <c r="AL128" s="10">
        <f t="shared" si="10"/>
        <v>1</v>
      </c>
      <c r="AM128" s="10">
        <f t="shared" si="11"/>
        <v>0</v>
      </c>
      <c r="AN128" s="10">
        <f t="shared" si="12"/>
        <v>0</v>
      </c>
      <c r="AO128" s="10" t="s">
        <v>24</v>
      </c>
      <c r="AP128" s="10">
        <f t="shared" si="13"/>
        <v>0</v>
      </c>
      <c r="AQ128" s="10" t="s">
        <v>25</v>
      </c>
      <c r="AR128" s="10">
        <f t="shared" si="14"/>
        <v>0</v>
      </c>
      <c r="AS128" s="10" t="s">
        <v>27</v>
      </c>
      <c r="AT128" s="10">
        <f t="shared" si="15"/>
        <v>0</v>
      </c>
      <c r="AU128" s="10">
        <f t="shared" si="16"/>
        <v>0</v>
      </c>
      <c r="AV128" s="11">
        <v>15.674985</v>
      </c>
      <c r="AW128" s="11">
        <v>54.125</v>
      </c>
      <c r="AX128" s="11">
        <v>10.750150000000001</v>
      </c>
      <c r="AY128" s="10">
        <v>73</v>
      </c>
      <c r="AZ128" t="s">
        <v>104</v>
      </c>
      <c r="BA128" s="17">
        <f t="shared" si="17"/>
        <v>0</v>
      </c>
      <c r="BB128" s="17">
        <f t="shared" si="18"/>
        <v>0</v>
      </c>
      <c r="BC128" s="17">
        <f t="shared" si="19"/>
        <v>0</v>
      </c>
      <c r="BG128" s="14">
        <v>1</v>
      </c>
      <c r="BH128" s="14">
        <v>0</v>
      </c>
      <c r="BI128" s="14">
        <v>0</v>
      </c>
      <c r="BJ128" s="14">
        <v>0</v>
      </c>
      <c r="BK128" s="14">
        <v>0</v>
      </c>
      <c r="BL128" s="14">
        <v>0</v>
      </c>
      <c r="BM128" s="14">
        <v>0</v>
      </c>
      <c r="BN128" s="14">
        <v>0</v>
      </c>
      <c r="BO128" s="14">
        <v>0</v>
      </c>
      <c r="BP128" s="14">
        <v>0</v>
      </c>
      <c r="BQ128" s="11">
        <v>15.674985</v>
      </c>
      <c r="BR128" s="11">
        <v>54.125</v>
      </c>
      <c r="BS128" s="11">
        <v>10.750150000000001</v>
      </c>
      <c r="BT128" s="10">
        <v>73</v>
      </c>
    </row>
    <row r="129" spans="4:72" ht="20.149999999999999" customHeight="1">
      <c r="D129" s="9" t="s">
        <v>39</v>
      </c>
      <c r="E129" s="9" t="s">
        <v>15</v>
      </c>
      <c r="F129" s="9" t="s">
        <v>0</v>
      </c>
      <c r="G129" s="9" t="s">
        <v>39</v>
      </c>
      <c r="AK129" s="10" t="s">
        <v>29</v>
      </c>
      <c r="AL129" s="10">
        <f t="shared" si="10"/>
        <v>1</v>
      </c>
      <c r="AM129" s="10">
        <f t="shared" si="11"/>
        <v>0</v>
      </c>
      <c r="AN129" s="10">
        <f t="shared" si="12"/>
        <v>0</v>
      </c>
      <c r="AO129" s="10" t="s">
        <v>24</v>
      </c>
      <c r="AP129" s="10">
        <f t="shared" si="13"/>
        <v>0</v>
      </c>
      <c r="AQ129" s="10" t="s">
        <v>25</v>
      </c>
      <c r="AR129" s="10">
        <f t="shared" si="14"/>
        <v>0</v>
      </c>
      <c r="AS129" s="10" t="s">
        <v>27</v>
      </c>
      <c r="AT129" s="10">
        <f t="shared" si="15"/>
        <v>0</v>
      </c>
      <c r="AU129" s="10">
        <f t="shared" si="16"/>
        <v>0</v>
      </c>
      <c r="AV129" s="11">
        <v>17.775000000000002</v>
      </c>
      <c r="AW129" s="11">
        <v>63.166699999999999</v>
      </c>
      <c r="AX129" s="11">
        <v>5.0007124999999997</v>
      </c>
      <c r="AY129" s="10">
        <v>80</v>
      </c>
      <c r="AZ129" t="s">
        <v>104</v>
      </c>
      <c r="BA129" s="17">
        <f t="shared" si="17"/>
        <v>0</v>
      </c>
      <c r="BB129" s="17">
        <f t="shared" si="18"/>
        <v>0</v>
      </c>
      <c r="BC129" s="17">
        <f t="shared" si="19"/>
        <v>0</v>
      </c>
      <c r="BG129" s="14">
        <v>1</v>
      </c>
      <c r="BH129" s="14">
        <v>0</v>
      </c>
      <c r="BI129" s="14">
        <v>0</v>
      </c>
      <c r="BJ129" s="14">
        <v>0</v>
      </c>
      <c r="BK129" s="14">
        <v>0</v>
      </c>
      <c r="BL129" s="14">
        <v>0</v>
      </c>
      <c r="BM129" s="14">
        <v>0</v>
      </c>
      <c r="BN129" s="14">
        <v>0</v>
      </c>
      <c r="BO129" s="14">
        <v>0</v>
      </c>
      <c r="BP129" s="14">
        <v>0</v>
      </c>
      <c r="BQ129" s="11">
        <v>17.775000000000002</v>
      </c>
      <c r="BR129" s="11">
        <v>63.166699999999999</v>
      </c>
      <c r="BS129" s="11">
        <v>5.0007124999999997</v>
      </c>
      <c r="BT129" s="10">
        <v>80</v>
      </c>
    </row>
    <row r="130" spans="4:72" ht="20.149999999999999" customHeight="1">
      <c r="D130" s="10">
        <v>93</v>
      </c>
      <c r="E130" s="11">
        <v>32.250015000000005</v>
      </c>
      <c r="F130" s="11">
        <v>80.583300000000008</v>
      </c>
      <c r="G130" s="10">
        <v>93</v>
      </c>
      <c r="AK130" s="10" t="s">
        <v>29</v>
      </c>
      <c r="AL130" s="10">
        <f t="shared" si="10"/>
        <v>1</v>
      </c>
      <c r="AM130" s="10">
        <f t="shared" si="11"/>
        <v>0</v>
      </c>
      <c r="AN130" s="10">
        <f t="shared" si="12"/>
        <v>0</v>
      </c>
      <c r="AO130" s="10" t="s">
        <v>24</v>
      </c>
      <c r="AP130" s="10">
        <f t="shared" si="13"/>
        <v>0</v>
      </c>
      <c r="AQ130" s="10" t="s">
        <v>11</v>
      </c>
      <c r="AR130" s="10">
        <f t="shared" si="14"/>
        <v>1</v>
      </c>
      <c r="AS130" s="10" t="s">
        <v>27</v>
      </c>
      <c r="AT130" s="10">
        <f t="shared" si="15"/>
        <v>0</v>
      </c>
      <c r="AU130" s="10">
        <f t="shared" si="16"/>
        <v>0</v>
      </c>
      <c r="AV130" s="11">
        <v>18.374984999999999</v>
      </c>
      <c r="AW130" s="11">
        <v>58.875</v>
      </c>
      <c r="AX130" s="11">
        <v>11.792</v>
      </c>
      <c r="AY130" s="10">
        <v>85</v>
      </c>
      <c r="AZ130" t="s">
        <v>104</v>
      </c>
      <c r="BA130" s="17">
        <f t="shared" si="17"/>
        <v>0</v>
      </c>
      <c r="BB130" s="17">
        <f t="shared" si="18"/>
        <v>0</v>
      </c>
      <c r="BC130" s="17">
        <f t="shared" si="19"/>
        <v>0</v>
      </c>
      <c r="BG130" s="14">
        <v>1</v>
      </c>
      <c r="BH130" s="14">
        <v>0</v>
      </c>
      <c r="BI130" s="14">
        <v>0</v>
      </c>
      <c r="BJ130" s="14">
        <v>0</v>
      </c>
      <c r="BK130" s="14">
        <v>1</v>
      </c>
      <c r="BL130" s="14">
        <v>0</v>
      </c>
      <c r="BM130" s="14">
        <v>0</v>
      </c>
      <c r="BN130" s="14">
        <v>0</v>
      </c>
      <c r="BO130" s="14">
        <v>0</v>
      </c>
      <c r="BP130" s="14">
        <v>0</v>
      </c>
      <c r="BQ130" s="11">
        <v>18.374984999999999</v>
      </c>
      <c r="BR130" s="11">
        <v>58.875</v>
      </c>
      <c r="BS130" s="11">
        <v>11.792</v>
      </c>
      <c r="BT130" s="10">
        <v>85</v>
      </c>
    </row>
    <row r="131" spans="4:72" ht="20.149999999999999" customHeight="1" thickBot="1">
      <c r="D131" s="10">
        <v>121</v>
      </c>
      <c r="E131" s="11">
        <v>32.700015</v>
      </c>
      <c r="F131" s="11">
        <v>69.608699999999999</v>
      </c>
      <c r="G131" s="10">
        <v>121</v>
      </c>
      <c r="AK131" s="10" t="s">
        <v>29</v>
      </c>
      <c r="AL131" s="10">
        <f t="shared" ref="AL131:AL194" si="20">IF(AK131="autumn",1,0)</f>
        <v>1</v>
      </c>
      <c r="AM131" s="10">
        <f t="shared" ref="AM131:AM194" si="21">IF(AK131="winter",1,0)</f>
        <v>0</v>
      </c>
      <c r="AN131" s="10">
        <f t="shared" ref="AN131:AN194" si="22">IF(AK131="spring",1,0)</f>
        <v>0</v>
      </c>
      <c r="AO131" s="10" t="s">
        <v>24</v>
      </c>
      <c r="AP131" s="10">
        <f t="shared" ref="AP131:AP194" si="23">IF(AO131="holiday",1,0)</f>
        <v>0</v>
      </c>
      <c r="AQ131" s="10" t="s">
        <v>11</v>
      </c>
      <c r="AR131" s="10">
        <f t="shared" ref="AR131:AR194" si="24">IF(AQ131="workingday",1,0)</f>
        <v>1</v>
      </c>
      <c r="AS131" s="10" t="s">
        <v>27</v>
      </c>
      <c r="AT131" s="10">
        <f t="shared" ref="AT131:AT194" si="25">IF(AS131="cloudy",1,0)</f>
        <v>0</v>
      </c>
      <c r="AU131" s="10">
        <f t="shared" ref="AU131:AU194" si="26">IF(AS131="rain",1,0)</f>
        <v>0</v>
      </c>
      <c r="AV131" s="11">
        <v>18</v>
      </c>
      <c r="AW131" s="11">
        <v>48.916699999999999</v>
      </c>
      <c r="AX131" s="11">
        <v>7.7499569999999993</v>
      </c>
      <c r="AY131" s="10">
        <v>82</v>
      </c>
      <c r="AZ131" t="s">
        <v>104</v>
      </c>
      <c r="BA131" s="17">
        <f t="shared" ref="BA131:BA194" si="27">IF(AZ131="queit",1,0)</f>
        <v>0</v>
      </c>
      <c r="BB131" s="17">
        <f t="shared" ref="BB131:BB194" si="28">IF(AZ131="Modest",1,0)</f>
        <v>0</v>
      </c>
      <c r="BC131" s="17">
        <f t="shared" ref="BC131:BC194" si="29">IF(AZ131="busy",1,0)</f>
        <v>0</v>
      </c>
      <c r="BG131" s="14">
        <v>1</v>
      </c>
      <c r="BH131" s="14">
        <v>0</v>
      </c>
      <c r="BI131" s="14">
        <v>0</v>
      </c>
      <c r="BJ131" s="14">
        <v>0</v>
      </c>
      <c r="BK131" s="14">
        <v>1</v>
      </c>
      <c r="BL131" s="14">
        <v>0</v>
      </c>
      <c r="BM131" s="14">
        <v>0</v>
      </c>
      <c r="BN131" s="14">
        <v>0</v>
      </c>
      <c r="BO131" s="14">
        <v>0</v>
      </c>
      <c r="BP131" s="14">
        <v>0</v>
      </c>
      <c r="BQ131" s="11">
        <v>18</v>
      </c>
      <c r="BR131" s="11">
        <v>48.916699999999999</v>
      </c>
      <c r="BS131" s="11">
        <v>7.7499569999999993</v>
      </c>
      <c r="BT131" s="10">
        <v>82</v>
      </c>
    </row>
    <row r="132" spans="4:72" ht="20.149999999999999" customHeight="1">
      <c r="D132" s="10">
        <v>94</v>
      </c>
      <c r="E132" s="11">
        <v>33.600014999999999</v>
      </c>
      <c r="F132" s="11">
        <v>43.7273</v>
      </c>
      <c r="G132" s="10">
        <v>94</v>
      </c>
      <c r="J132" s="147"/>
      <c r="K132" s="147" t="s">
        <v>108</v>
      </c>
      <c r="L132" s="147" t="s">
        <v>109</v>
      </c>
      <c r="M132" s="147" t="s">
        <v>110</v>
      </c>
      <c r="N132" s="147" t="s">
        <v>111</v>
      </c>
      <c r="O132" s="147" t="s">
        <v>112</v>
      </c>
      <c r="P132" s="147" t="s">
        <v>113</v>
      </c>
      <c r="Q132" s="147" t="s">
        <v>114</v>
      </c>
      <c r="R132" s="147" t="s">
        <v>117</v>
      </c>
      <c r="S132" s="147" t="s">
        <v>118</v>
      </c>
      <c r="T132" s="147" t="s">
        <v>116</v>
      </c>
      <c r="U132" s="147" t="s">
        <v>15</v>
      </c>
      <c r="V132" s="147" t="s">
        <v>0</v>
      </c>
      <c r="W132" s="147" t="s">
        <v>18</v>
      </c>
      <c r="X132" s="147" t="s">
        <v>39</v>
      </c>
      <c r="AK132" s="10" t="s">
        <v>29</v>
      </c>
      <c r="AL132" s="10">
        <f t="shared" si="20"/>
        <v>1</v>
      </c>
      <c r="AM132" s="10">
        <f t="shared" si="21"/>
        <v>0</v>
      </c>
      <c r="AN132" s="10">
        <f t="shared" si="22"/>
        <v>0</v>
      </c>
      <c r="AO132" s="10" t="s">
        <v>24</v>
      </c>
      <c r="AP132" s="10">
        <f t="shared" si="23"/>
        <v>0</v>
      </c>
      <c r="AQ132" s="10" t="s">
        <v>11</v>
      </c>
      <c r="AR132" s="10">
        <f t="shared" si="24"/>
        <v>1</v>
      </c>
      <c r="AS132" s="10" t="s">
        <v>27</v>
      </c>
      <c r="AT132" s="10">
        <f t="shared" si="25"/>
        <v>0</v>
      </c>
      <c r="AU132" s="10">
        <f t="shared" si="26"/>
        <v>0</v>
      </c>
      <c r="AV132" s="11">
        <v>17.100000000000001</v>
      </c>
      <c r="AW132" s="11">
        <v>63.291699999999992</v>
      </c>
      <c r="AX132" s="11">
        <v>8.0830140000000004</v>
      </c>
      <c r="AY132" s="10">
        <v>59</v>
      </c>
      <c r="AZ132" t="s">
        <v>106</v>
      </c>
      <c r="BA132" s="17">
        <f t="shared" si="27"/>
        <v>0</v>
      </c>
      <c r="BB132" s="17">
        <f t="shared" si="28"/>
        <v>1</v>
      </c>
      <c r="BC132" s="17">
        <f t="shared" si="29"/>
        <v>0</v>
      </c>
      <c r="BG132" s="14">
        <v>1</v>
      </c>
      <c r="BH132" s="14">
        <v>0</v>
      </c>
      <c r="BI132" s="14">
        <v>0</v>
      </c>
      <c r="BJ132" s="14">
        <v>0</v>
      </c>
      <c r="BK132" s="14">
        <v>1</v>
      </c>
      <c r="BL132" s="14">
        <v>0</v>
      </c>
      <c r="BM132" s="14">
        <v>0</v>
      </c>
      <c r="BN132" s="14">
        <v>0</v>
      </c>
      <c r="BO132" s="14">
        <v>1</v>
      </c>
      <c r="BP132" s="14">
        <v>0</v>
      </c>
      <c r="BQ132" s="11">
        <v>17.100000000000001</v>
      </c>
      <c r="BR132" s="11">
        <v>63.291699999999992</v>
      </c>
      <c r="BS132" s="11">
        <v>8.0830140000000004</v>
      </c>
      <c r="BT132" s="10">
        <v>59</v>
      </c>
    </row>
    <row r="133" spans="4:72" ht="20.149999999999999" customHeight="1">
      <c r="D133" s="10">
        <v>93</v>
      </c>
      <c r="E133" s="11">
        <v>32.4</v>
      </c>
      <c r="F133" s="11">
        <v>59.043500000000002</v>
      </c>
      <c r="G133" s="10">
        <v>93</v>
      </c>
      <c r="J133" t="s">
        <v>108</v>
      </c>
      <c r="K133" s="79">
        <v>1</v>
      </c>
      <c r="L133" s="79"/>
      <c r="M133" s="79"/>
      <c r="N133" s="79"/>
      <c r="O133" s="79"/>
      <c r="P133" s="79"/>
      <c r="Q133" s="79"/>
      <c r="R133" s="79"/>
      <c r="S133" s="79"/>
      <c r="T133" s="79"/>
      <c r="U133" s="79"/>
      <c r="V133" s="79"/>
      <c r="W133" s="79"/>
      <c r="X133" s="79"/>
      <c r="AK133" s="10" t="s">
        <v>29</v>
      </c>
      <c r="AL133" s="10">
        <f t="shared" si="20"/>
        <v>1</v>
      </c>
      <c r="AM133" s="10">
        <f t="shared" si="21"/>
        <v>0</v>
      </c>
      <c r="AN133" s="10">
        <f t="shared" si="22"/>
        <v>0</v>
      </c>
      <c r="AO133" s="10" t="s">
        <v>24</v>
      </c>
      <c r="AP133" s="10">
        <f t="shared" si="23"/>
        <v>0</v>
      </c>
      <c r="AQ133" s="10" t="s">
        <v>11</v>
      </c>
      <c r="AR133" s="10">
        <f t="shared" si="24"/>
        <v>1</v>
      </c>
      <c r="AS133" s="10" t="s">
        <v>27</v>
      </c>
      <c r="AT133" s="10">
        <f t="shared" si="25"/>
        <v>0</v>
      </c>
      <c r="AU133" s="10">
        <f t="shared" si="26"/>
        <v>0</v>
      </c>
      <c r="AV133" s="11">
        <v>14.587515</v>
      </c>
      <c r="AW133" s="11">
        <v>74.75</v>
      </c>
      <c r="AX133" s="11">
        <v>12.707689</v>
      </c>
      <c r="AY133" s="10">
        <v>68</v>
      </c>
      <c r="AZ133" t="s">
        <v>106</v>
      </c>
      <c r="BA133" s="17">
        <f t="shared" si="27"/>
        <v>0</v>
      </c>
      <c r="BB133" s="17">
        <f t="shared" si="28"/>
        <v>1</v>
      </c>
      <c r="BC133" s="17">
        <f t="shared" si="29"/>
        <v>0</v>
      </c>
      <c r="BG133" s="14">
        <v>1</v>
      </c>
      <c r="BH133" s="14">
        <v>0</v>
      </c>
      <c r="BI133" s="14">
        <v>0</v>
      </c>
      <c r="BJ133" s="14">
        <v>0</v>
      </c>
      <c r="BK133" s="14">
        <v>1</v>
      </c>
      <c r="BL133" s="14">
        <v>0</v>
      </c>
      <c r="BM133" s="14">
        <v>0</v>
      </c>
      <c r="BN133" s="14">
        <v>0</v>
      </c>
      <c r="BO133" s="14">
        <v>1</v>
      </c>
      <c r="BP133" s="14">
        <v>0</v>
      </c>
      <c r="BQ133" s="11">
        <v>14.587515</v>
      </c>
      <c r="BR133" s="11">
        <v>74.75</v>
      </c>
      <c r="BS133" s="11">
        <v>12.707689</v>
      </c>
      <c r="BT133" s="10">
        <v>68</v>
      </c>
    </row>
    <row r="134" spans="4:72" ht="20.149999999999999" customHeight="1">
      <c r="D134" s="10">
        <v>92</v>
      </c>
      <c r="E134" s="11">
        <v>33.75</v>
      </c>
      <c r="F134" s="11">
        <v>43.695699999999995</v>
      </c>
      <c r="G134" s="10">
        <v>92</v>
      </c>
      <c r="J134" t="s">
        <v>109</v>
      </c>
      <c r="K134" s="79">
        <v>-0.33699633699633741</v>
      </c>
      <c r="L134" s="79">
        <v>1</v>
      </c>
      <c r="M134" s="79"/>
      <c r="N134" s="79"/>
      <c r="O134" s="79"/>
      <c r="P134" s="79"/>
      <c r="Q134" s="79"/>
      <c r="R134" s="79"/>
      <c r="S134" s="79"/>
      <c r="T134" s="79"/>
      <c r="U134" s="79"/>
      <c r="V134" s="79"/>
      <c r="W134" s="79"/>
      <c r="X134" s="79"/>
      <c r="AK134" s="10" t="s">
        <v>29</v>
      </c>
      <c r="AL134" s="10">
        <f t="shared" si="20"/>
        <v>1</v>
      </c>
      <c r="AM134" s="10">
        <f t="shared" si="21"/>
        <v>0</v>
      </c>
      <c r="AN134" s="10">
        <f t="shared" si="22"/>
        <v>0</v>
      </c>
      <c r="AO134" s="10" t="s">
        <v>24</v>
      </c>
      <c r="AP134" s="10">
        <f t="shared" si="23"/>
        <v>0</v>
      </c>
      <c r="AQ134" s="10" t="s">
        <v>11</v>
      </c>
      <c r="AR134" s="10">
        <f t="shared" si="24"/>
        <v>1</v>
      </c>
      <c r="AS134" s="10" t="s">
        <v>26</v>
      </c>
      <c r="AT134" s="10">
        <f t="shared" si="25"/>
        <v>1</v>
      </c>
      <c r="AU134" s="10">
        <f t="shared" si="26"/>
        <v>0</v>
      </c>
      <c r="AV134" s="11">
        <v>16.050015000000002</v>
      </c>
      <c r="AW134" s="11">
        <v>86.333300000000008</v>
      </c>
      <c r="AX134" s="11">
        <v>12.041575</v>
      </c>
      <c r="AY134" s="10">
        <v>82</v>
      </c>
      <c r="AZ134" t="s">
        <v>104</v>
      </c>
      <c r="BA134" s="17">
        <f t="shared" si="27"/>
        <v>0</v>
      </c>
      <c r="BB134" s="17">
        <f t="shared" si="28"/>
        <v>0</v>
      </c>
      <c r="BC134" s="17">
        <f t="shared" si="29"/>
        <v>0</v>
      </c>
      <c r="BG134" s="14">
        <v>1</v>
      </c>
      <c r="BH134" s="14">
        <v>0</v>
      </c>
      <c r="BI134" s="14">
        <v>0</v>
      </c>
      <c r="BJ134" s="14">
        <v>0</v>
      </c>
      <c r="BK134" s="14">
        <v>1</v>
      </c>
      <c r="BL134" s="14">
        <v>1</v>
      </c>
      <c r="BM134" s="14">
        <v>0</v>
      </c>
      <c r="BN134" s="14">
        <v>0</v>
      </c>
      <c r="BO134" s="14">
        <v>0</v>
      </c>
      <c r="BP134" s="14">
        <v>0</v>
      </c>
      <c r="BQ134" s="11">
        <v>16.050015000000002</v>
      </c>
      <c r="BR134" s="11">
        <v>86.333300000000008</v>
      </c>
      <c r="BS134" s="11">
        <v>12.041575</v>
      </c>
      <c r="BT134" s="10">
        <v>82</v>
      </c>
    </row>
    <row r="135" spans="4:72" ht="20.149999999999999" customHeight="1">
      <c r="D135" s="10">
        <v>81</v>
      </c>
      <c r="E135" s="11">
        <v>31.912514999999999</v>
      </c>
      <c r="F135" s="11">
        <v>51.826099999999997</v>
      </c>
      <c r="G135" s="10">
        <v>81</v>
      </c>
      <c r="J135" t="s">
        <v>110</v>
      </c>
      <c r="K135" s="79">
        <v>-0.33454766643816536</v>
      </c>
      <c r="L135" s="79">
        <v>-0.3345476664381643</v>
      </c>
      <c r="M135" s="79">
        <v>1</v>
      </c>
      <c r="N135" s="79"/>
      <c r="O135" s="79"/>
      <c r="P135" s="79"/>
      <c r="Q135" s="79"/>
      <c r="R135" s="79"/>
      <c r="S135" s="79"/>
      <c r="T135" s="79"/>
      <c r="U135" s="79"/>
      <c r="V135" s="79"/>
      <c r="W135" s="79"/>
      <c r="X135" s="79"/>
      <c r="AK135" s="10" t="s">
        <v>29</v>
      </c>
      <c r="AL135" s="10">
        <f t="shared" si="20"/>
        <v>1</v>
      </c>
      <c r="AM135" s="10">
        <f t="shared" si="21"/>
        <v>0</v>
      </c>
      <c r="AN135" s="10">
        <f t="shared" si="22"/>
        <v>0</v>
      </c>
      <c r="AO135" s="10" t="s">
        <v>24</v>
      </c>
      <c r="AP135" s="10">
        <f t="shared" si="23"/>
        <v>0</v>
      </c>
      <c r="AQ135" s="10" t="s">
        <v>25</v>
      </c>
      <c r="AR135" s="10">
        <f t="shared" si="24"/>
        <v>0</v>
      </c>
      <c r="AS135" s="10" t="s">
        <v>26</v>
      </c>
      <c r="AT135" s="10">
        <f t="shared" si="25"/>
        <v>1</v>
      </c>
      <c r="AU135" s="10">
        <f t="shared" si="26"/>
        <v>0</v>
      </c>
      <c r="AV135" s="11">
        <v>19.837484999999997</v>
      </c>
      <c r="AW135" s="11">
        <v>92.25</v>
      </c>
      <c r="AX135" s="11">
        <v>9.0416499999999989</v>
      </c>
      <c r="AY135" s="10">
        <v>74</v>
      </c>
      <c r="AZ135" t="s">
        <v>104</v>
      </c>
      <c r="BA135" s="17">
        <f t="shared" si="27"/>
        <v>0</v>
      </c>
      <c r="BB135" s="17">
        <f t="shared" si="28"/>
        <v>0</v>
      </c>
      <c r="BC135" s="17">
        <f t="shared" si="29"/>
        <v>0</v>
      </c>
      <c r="BG135" s="14">
        <v>1</v>
      </c>
      <c r="BH135" s="14">
        <v>0</v>
      </c>
      <c r="BI135" s="14">
        <v>0</v>
      </c>
      <c r="BJ135" s="14">
        <v>0</v>
      </c>
      <c r="BK135" s="14">
        <v>0</v>
      </c>
      <c r="BL135" s="14">
        <v>1</v>
      </c>
      <c r="BM135" s="14">
        <v>0</v>
      </c>
      <c r="BN135" s="14">
        <v>0</v>
      </c>
      <c r="BO135" s="14">
        <v>0</v>
      </c>
      <c r="BP135" s="14">
        <v>0</v>
      </c>
      <c r="BQ135" s="11">
        <v>19.837484999999997</v>
      </c>
      <c r="BR135" s="11">
        <v>92.25</v>
      </c>
      <c r="BS135" s="11">
        <v>9.0416499999999989</v>
      </c>
      <c r="BT135" s="10">
        <v>74</v>
      </c>
    </row>
    <row r="136" spans="4:72" ht="20.149999999999999" customHeight="1">
      <c r="D136" s="10">
        <v>107</v>
      </c>
      <c r="E136" s="11">
        <v>32.999985000000002</v>
      </c>
      <c r="F136" s="11">
        <v>49.869599999999998</v>
      </c>
      <c r="G136" s="10">
        <v>107</v>
      </c>
      <c r="J136" t="s">
        <v>111</v>
      </c>
      <c r="K136" s="79">
        <v>-2.012167764655301E-2</v>
      </c>
      <c r="L136" s="79">
        <v>-5.8776479441247177E-2</v>
      </c>
      <c r="M136" s="79">
        <v>5.8459155249654136E-2</v>
      </c>
      <c r="N136" s="79">
        <v>1</v>
      </c>
      <c r="O136" s="79"/>
      <c r="P136" s="79"/>
      <c r="Q136" s="79"/>
      <c r="R136" s="79"/>
      <c r="S136" s="79"/>
      <c r="T136" s="79"/>
      <c r="U136" s="79"/>
      <c r="V136" s="79"/>
      <c r="W136" s="79"/>
      <c r="X136" s="79"/>
      <c r="AK136" s="10" t="s">
        <v>29</v>
      </c>
      <c r="AL136" s="10">
        <f t="shared" si="20"/>
        <v>1</v>
      </c>
      <c r="AM136" s="10">
        <f t="shared" si="21"/>
        <v>0</v>
      </c>
      <c r="AN136" s="10">
        <f t="shared" si="22"/>
        <v>0</v>
      </c>
      <c r="AO136" s="10" t="s">
        <v>24</v>
      </c>
      <c r="AP136" s="10">
        <f t="shared" si="23"/>
        <v>0</v>
      </c>
      <c r="AQ136" s="10" t="s">
        <v>25</v>
      </c>
      <c r="AR136" s="10">
        <f t="shared" si="24"/>
        <v>0</v>
      </c>
      <c r="AS136" s="10" t="s">
        <v>26</v>
      </c>
      <c r="AT136" s="10">
        <f t="shared" si="25"/>
        <v>1</v>
      </c>
      <c r="AU136" s="10">
        <f t="shared" si="26"/>
        <v>0</v>
      </c>
      <c r="AV136" s="11">
        <v>23.85</v>
      </c>
      <c r="AW136" s="11">
        <v>86.708300000000008</v>
      </c>
      <c r="AX136" s="11">
        <v>10.249593000000001</v>
      </c>
      <c r="AY136" s="10">
        <v>90</v>
      </c>
      <c r="AZ136" t="s">
        <v>104</v>
      </c>
      <c r="BA136" s="17">
        <f t="shared" si="27"/>
        <v>0</v>
      </c>
      <c r="BB136" s="17">
        <f t="shared" si="28"/>
        <v>0</v>
      </c>
      <c r="BC136" s="17">
        <f t="shared" si="29"/>
        <v>0</v>
      </c>
      <c r="BG136" s="14">
        <v>1</v>
      </c>
      <c r="BH136" s="14">
        <v>0</v>
      </c>
      <c r="BI136" s="14">
        <v>0</v>
      </c>
      <c r="BJ136" s="14">
        <v>0</v>
      </c>
      <c r="BK136" s="14">
        <v>0</v>
      </c>
      <c r="BL136" s="14">
        <v>1</v>
      </c>
      <c r="BM136" s="14">
        <v>0</v>
      </c>
      <c r="BN136" s="14">
        <v>0</v>
      </c>
      <c r="BO136" s="14">
        <v>0</v>
      </c>
      <c r="BP136" s="14">
        <v>0</v>
      </c>
      <c r="BQ136" s="11">
        <v>23.85</v>
      </c>
      <c r="BR136" s="11">
        <v>86.708300000000008</v>
      </c>
      <c r="BS136" s="11">
        <v>10.249593000000001</v>
      </c>
      <c r="BT136" s="10">
        <v>90</v>
      </c>
    </row>
    <row r="137" spans="4:72" ht="20.149999999999999" customHeight="1">
      <c r="D137" s="10">
        <v>98</v>
      </c>
      <c r="E137" s="11">
        <v>33.637500000000003</v>
      </c>
      <c r="F137" s="11">
        <v>53.583300000000001</v>
      </c>
      <c r="G137" s="10">
        <v>98</v>
      </c>
      <c r="J137" t="s">
        <v>112</v>
      </c>
      <c r="K137" s="79">
        <v>1.3397024113385093E-2</v>
      </c>
      <c r="L137" s="79">
        <v>2.698011800612285E-2</v>
      </c>
      <c r="M137" s="79">
        <v>-1.811452024882643E-2</v>
      </c>
      <c r="N137" s="79">
        <v>-0.24746108207197509</v>
      </c>
      <c r="O137" s="79">
        <v>1</v>
      </c>
      <c r="P137" s="79"/>
      <c r="Q137" s="79"/>
      <c r="R137" s="79"/>
      <c r="S137" s="79"/>
      <c r="T137" s="79"/>
      <c r="U137" s="79"/>
      <c r="V137" s="79"/>
      <c r="W137" s="79"/>
      <c r="X137" s="79"/>
      <c r="AK137" s="10" t="s">
        <v>29</v>
      </c>
      <c r="AL137" s="10">
        <f t="shared" si="20"/>
        <v>1</v>
      </c>
      <c r="AM137" s="10">
        <f t="shared" si="21"/>
        <v>0</v>
      </c>
      <c r="AN137" s="10">
        <f t="shared" si="22"/>
        <v>0</v>
      </c>
      <c r="AO137" s="10" t="s">
        <v>24</v>
      </c>
      <c r="AP137" s="10">
        <f t="shared" si="23"/>
        <v>0</v>
      </c>
      <c r="AQ137" s="10" t="s">
        <v>11</v>
      </c>
      <c r="AR137" s="10">
        <f t="shared" si="24"/>
        <v>1</v>
      </c>
      <c r="AS137" s="10" t="s">
        <v>27</v>
      </c>
      <c r="AT137" s="10">
        <f t="shared" si="25"/>
        <v>0</v>
      </c>
      <c r="AU137" s="10">
        <f t="shared" si="26"/>
        <v>0</v>
      </c>
      <c r="AV137" s="11">
        <v>23.85</v>
      </c>
      <c r="AW137" s="11">
        <v>78.791699999999992</v>
      </c>
      <c r="AX137" s="11">
        <v>8.5003570000000011</v>
      </c>
      <c r="AY137" s="10">
        <v>84</v>
      </c>
      <c r="AZ137" t="s">
        <v>104</v>
      </c>
      <c r="BA137" s="17">
        <f t="shared" si="27"/>
        <v>0</v>
      </c>
      <c r="BB137" s="17">
        <f t="shared" si="28"/>
        <v>0</v>
      </c>
      <c r="BC137" s="17">
        <f t="shared" si="29"/>
        <v>0</v>
      </c>
      <c r="BG137" s="14">
        <v>1</v>
      </c>
      <c r="BH137" s="14">
        <v>0</v>
      </c>
      <c r="BI137" s="14">
        <v>0</v>
      </c>
      <c r="BJ137" s="14">
        <v>0</v>
      </c>
      <c r="BK137" s="14">
        <v>1</v>
      </c>
      <c r="BL137" s="14">
        <v>0</v>
      </c>
      <c r="BM137" s="14">
        <v>0</v>
      </c>
      <c r="BN137" s="14">
        <v>0</v>
      </c>
      <c r="BO137" s="14">
        <v>0</v>
      </c>
      <c r="BP137" s="14">
        <v>0</v>
      </c>
      <c r="BQ137" s="11">
        <v>23.85</v>
      </c>
      <c r="BR137" s="11">
        <v>78.791699999999992</v>
      </c>
      <c r="BS137" s="11">
        <v>8.5003570000000011</v>
      </c>
      <c r="BT137" s="10">
        <v>84</v>
      </c>
    </row>
    <row r="138" spans="4:72" ht="20.149999999999999" customHeight="1">
      <c r="D138" s="10">
        <v>81</v>
      </c>
      <c r="E138" s="11">
        <v>34.3125</v>
      </c>
      <c r="F138" s="11">
        <v>43.416700000000006</v>
      </c>
      <c r="G138" s="10">
        <v>81</v>
      </c>
      <c r="J138" t="s">
        <v>113</v>
      </c>
      <c r="K138" s="79">
        <v>0.10318847815305489</v>
      </c>
      <c r="L138" s="79">
        <v>-0.13662344312942629</v>
      </c>
      <c r="M138" s="79">
        <v>2.7878494379894963E-2</v>
      </c>
      <c r="N138" s="79">
        <v>2.1359404501325032E-2</v>
      </c>
      <c r="O138" s="79">
        <v>6.3115124033031031E-2</v>
      </c>
      <c r="P138" s="79">
        <v>1</v>
      </c>
      <c r="Q138" s="79"/>
      <c r="R138" s="79"/>
      <c r="S138" s="79"/>
      <c r="T138" s="79"/>
      <c r="U138" s="79"/>
      <c r="V138" s="79"/>
      <c r="W138" s="79"/>
      <c r="X138" s="79"/>
      <c r="AK138" s="10" t="s">
        <v>29</v>
      </c>
      <c r="AL138" s="10">
        <f t="shared" si="20"/>
        <v>1</v>
      </c>
      <c r="AM138" s="10">
        <f t="shared" si="21"/>
        <v>0</v>
      </c>
      <c r="AN138" s="10">
        <f t="shared" si="22"/>
        <v>0</v>
      </c>
      <c r="AO138" s="10" t="s">
        <v>24</v>
      </c>
      <c r="AP138" s="10">
        <f t="shared" si="23"/>
        <v>0</v>
      </c>
      <c r="AQ138" s="10" t="s">
        <v>11</v>
      </c>
      <c r="AR138" s="10">
        <f t="shared" si="24"/>
        <v>1</v>
      </c>
      <c r="AS138" s="10" t="s">
        <v>26</v>
      </c>
      <c r="AT138" s="10">
        <f t="shared" si="25"/>
        <v>1</v>
      </c>
      <c r="AU138" s="10">
        <f t="shared" si="26"/>
        <v>0</v>
      </c>
      <c r="AV138" s="11">
        <v>20.550014999999998</v>
      </c>
      <c r="AW138" s="11">
        <v>83.791700000000006</v>
      </c>
      <c r="AX138" s="11">
        <v>18.582718</v>
      </c>
      <c r="AY138" s="10">
        <v>36</v>
      </c>
      <c r="AZ138" t="s">
        <v>107</v>
      </c>
      <c r="BA138" s="17">
        <f t="shared" si="27"/>
        <v>1</v>
      </c>
      <c r="BB138" s="17">
        <f t="shared" si="28"/>
        <v>0</v>
      </c>
      <c r="BC138" s="17">
        <f t="shared" si="29"/>
        <v>0</v>
      </c>
      <c r="BG138" s="14">
        <v>1</v>
      </c>
      <c r="BH138" s="14">
        <v>0</v>
      </c>
      <c r="BI138" s="14">
        <v>0</v>
      </c>
      <c r="BJ138" s="14">
        <v>0</v>
      </c>
      <c r="BK138" s="14">
        <v>1</v>
      </c>
      <c r="BL138" s="14">
        <v>1</v>
      </c>
      <c r="BM138" s="14">
        <v>0</v>
      </c>
      <c r="BN138" s="14">
        <v>1</v>
      </c>
      <c r="BO138" s="14">
        <v>0</v>
      </c>
      <c r="BP138" s="14">
        <v>0</v>
      </c>
      <c r="BQ138" s="11">
        <v>20.550014999999998</v>
      </c>
      <c r="BR138" s="11">
        <v>83.791700000000006</v>
      </c>
      <c r="BS138" s="11">
        <v>18.582718</v>
      </c>
      <c r="BT138" s="10">
        <v>36</v>
      </c>
    </row>
    <row r="139" spans="4:72" ht="20.149999999999999" customHeight="1">
      <c r="D139" s="10">
        <v>85</v>
      </c>
      <c r="E139" s="11">
        <v>35.737514999999995</v>
      </c>
      <c r="F139" s="11">
        <v>48.291699999999999</v>
      </c>
      <c r="G139" s="10">
        <v>85</v>
      </c>
      <c r="J139" t="s">
        <v>114</v>
      </c>
      <c r="K139" s="79">
        <v>-2.481932529148154E-2</v>
      </c>
      <c r="L139" s="79">
        <v>-0.12017778562191019</v>
      </c>
      <c r="M139" s="79">
        <v>0.1678129992522415</v>
      </c>
      <c r="N139" s="79">
        <v>-3.4745409204160971E-2</v>
      </c>
      <c r="O139" s="79">
        <v>8.0988714291870129E-2</v>
      </c>
      <c r="P139" s="79">
        <v>-0.14849571733748937</v>
      </c>
      <c r="Q139" s="79">
        <v>1</v>
      </c>
      <c r="R139" s="79"/>
      <c r="S139" s="79"/>
      <c r="T139" s="79"/>
      <c r="U139" s="79"/>
      <c r="V139" s="79"/>
      <c r="W139" s="79"/>
      <c r="X139" s="79"/>
      <c r="AK139" s="10" t="s">
        <v>29</v>
      </c>
      <c r="AL139" s="10">
        <f t="shared" si="20"/>
        <v>1</v>
      </c>
      <c r="AM139" s="10">
        <f t="shared" si="21"/>
        <v>0</v>
      </c>
      <c r="AN139" s="10">
        <f t="shared" si="22"/>
        <v>0</v>
      </c>
      <c r="AO139" s="10" t="s">
        <v>24</v>
      </c>
      <c r="AP139" s="10">
        <f t="shared" si="23"/>
        <v>0</v>
      </c>
      <c r="AQ139" s="10" t="s">
        <v>11</v>
      </c>
      <c r="AR139" s="10">
        <f t="shared" si="24"/>
        <v>1</v>
      </c>
      <c r="AS139" s="10" t="s">
        <v>26</v>
      </c>
      <c r="AT139" s="10">
        <f t="shared" si="25"/>
        <v>1</v>
      </c>
      <c r="AU139" s="10">
        <f t="shared" si="26"/>
        <v>0</v>
      </c>
      <c r="AV139" s="11">
        <v>15.375014999999999</v>
      </c>
      <c r="AW139" s="11">
        <v>87</v>
      </c>
      <c r="AX139" s="11">
        <v>13.499964</v>
      </c>
      <c r="AY139" s="10">
        <v>61</v>
      </c>
      <c r="AZ139" t="s">
        <v>106</v>
      </c>
      <c r="BA139" s="17">
        <f t="shared" si="27"/>
        <v>0</v>
      </c>
      <c r="BB139" s="17">
        <f t="shared" si="28"/>
        <v>1</v>
      </c>
      <c r="BC139" s="17">
        <f t="shared" si="29"/>
        <v>0</v>
      </c>
      <c r="BG139" s="14">
        <v>1</v>
      </c>
      <c r="BH139" s="14">
        <v>0</v>
      </c>
      <c r="BI139" s="14">
        <v>0</v>
      </c>
      <c r="BJ139" s="14">
        <v>0</v>
      </c>
      <c r="BK139" s="14">
        <v>1</v>
      </c>
      <c r="BL139" s="14">
        <v>1</v>
      </c>
      <c r="BM139" s="14">
        <v>0</v>
      </c>
      <c r="BN139" s="14">
        <v>0</v>
      </c>
      <c r="BO139" s="14">
        <v>1</v>
      </c>
      <c r="BP139" s="14">
        <v>0</v>
      </c>
      <c r="BQ139" s="11">
        <v>15.375014999999999</v>
      </c>
      <c r="BR139" s="11">
        <v>87</v>
      </c>
      <c r="BS139" s="11">
        <v>13.499964</v>
      </c>
      <c r="BT139" s="10">
        <v>61</v>
      </c>
    </row>
    <row r="140" spans="4:72" ht="20.149999999999999" customHeight="1">
      <c r="D140" s="10">
        <v>87</v>
      </c>
      <c r="E140" s="11">
        <v>33.600014999999999</v>
      </c>
      <c r="F140" s="11">
        <v>68.636399999999995</v>
      </c>
      <c r="G140" s="10">
        <v>87</v>
      </c>
      <c r="J140" t="s">
        <v>117</v>
      </c>
      <c r="K140" s="79">
        <v>-0.23129964409878495</v>
      </c>
      <c r="L140" s="79">
        <v>0.60760556914115293</v>
      </c>
      <c r="M140" s="79">
        <v>-9.1011512690113788E-2</v>
      </c>
      <c r="N140" s="79">
        <v>-7.7806600375683443E-3</v>
      </c>
      <c r="O140" s="79">
        <v>1.7185664471019234E-2</v>
      </c>
      <c r="P140" s="79">
        <v>-8.6389260982411342E-2</v>
      </c>
      <c r="Q140" s="79">
        <v>-4.2958665606721409E-2</v>
      </c>
      <c r="R140" s="79">
        <v>1</v>
      </c>
      <c r="S140" s="79"/>
      <c r="T140" s="79"/>
      <c r="U140" s="79"/>
      <c r="V140" s="79"/>
      <c r="W140" s="79"/>
      <c r="X140" s="79"/>
      <c r="AK140" s="10" t="s">
        <v>29</v>
      </c>
      <c r="AL140" s="10">
        <f t="shared" si="20"/>
        <v>1</v>
      </c>
      <c r="AM140" s="10">
        <f t="shared" si="21"/>
        <v>0</v>
      </c>
      <c r="AN140" s="10">
        <f t="shared" si="22"/>
        <v>0</v>
      </c>
      <c r="AO140" s="10" t="s">
        <v>24</v>
      </c>
      <c r="AP140" s="10">
        <f t="shared" si="23"/>
        <v>0</v>
      </c>
      <c r="AQ140" s="10" t="s">
        <v>11</v>
      </c>
      <c r="AR140" s="10">
        <f t="shared" si="24"/>
        <v>1</v>
      </c>
      <c r="AS140" s="10" t="s">
        <v>26</v>
      </c>
      <c r="AT140" s="10">
        <f t="shared" si="25"/>
        <v>1</v>
      </c>
      <c r="AU140" s="10">
        <f t="shared" si="26"/>
        <v>0</v>
      </c>
      <c r="AV140" s="11">
        <v>12.337515</v>
      </c>
      <c r="AW140" s="11">
        <v>82.958299999999994</v>
      </c>
      <c r="AX140" s="11">
        <v>7.2502710000000006</v>
      </c>
      <c r="AY140" s="10">
        <v>68</v>
      </c>
      <c r="AZ140" t="s">
        <v>106</v>
      </c>
      <c r="BA140" s="17">
        <f t="shared" si="27"/>
        <v>0</v>
      </c>
      <c r="BB140" s="17">
        <f t="shared" si="28"/>
        <v>1</v>
      </c>
      <c r="BC140" s="17">
        <f t="shared" si="29"/>
        <v>0</v>
      </c>
      <c r="BG140" s="14">
        <v>1</v>
      </c>
      <c r="BH140" s="14">
        <v>0</v>
      </c>
      <c r="BI140" s="14">
        <v>0</v>
      </c>
      <c r="BJ140" s="14">
        <v>0</v>
      </c>
      <c r="BK140" s="14">
        <v>1</v>
      </c>
      <c r="BL140" s="14">
        <v>1</v>
      </c>
      <c r="BM140" s="14">
        <v>0</v>
      </c>
      <c r="BN140" s="14">
        <v>0</v>
      </c>
      <c r="BO140" s="14">
        <v>1</v>
      </c>
      <c r="BP140" s="14">
        <v>0</v>
      </c>
      <c r="BQ140" s="11">
        <v>12.337515</v>
      </c>
      <c r="BR140" s="11">
        <v>82.958299999999994</v>
      </c>
      <c r="BS140" s="11">
        <v>7.2502710000000006</v>
      </c>
      <c r="BT140" s="10">
        <v>68</v>
      </c>
    </row>
    <row r="141" spans="4:72" ht="20.149999999999999" customHeight="1">
      <c r="D141" s="10">
        <v>102</v>
      </c>
      <c r="E141" s="11">
        <v>30.637485000000002</v>
      </c>
      <c r="F141" s="11">
        <v>59.954499999999996</v>
      </c>
      <c r="G141" s="10">
        <v>102</v>
      </c>
      <c r="J141" t="s">
        <v>118</v>
      </c>
      <c r="K141" s="79">
        <v>8.8614070579265004E-3</v>
      </c>
      <c r="L141" s="79">
        <v>8.8614070579265611E-3</v>
      </c>
      <c r="M141" s="79">
        <v>0.25612154597993275</v>
      </c>
      <c r="N141" s="79">
        <v>-8.8526670571085261E-3</v>
      </c>
      <c r="O141" s="79">
        <v>2.1581040469585408E-2</v>
      </c>
      <c r="P141" s="79">
        <v>9.0238880111046527E-2</v>
      </c>
      <c r="Q141" s="79">
        <v>-4.4132690795301299E-2</v>
      </c>
      <c r="R141" s="79">
        <v>-0.28294752726883238</v>
      </c>
      <c r="S141" s="79">
        <v>1</v>
      </c>
      <c r="T141" s="79"/>
      <c r="U141" s="79"/>
      <c r="V141" s="79"/>
      <c r="W141" s="79"/>
      <c r="X141" s="79"/>
      <c r="AK141" s="10" t="s">
        <v>29</v>
      </c>
      <c r="AL141" s="10">
        <f t="shared" si="20"/>
        <v>1</v>
      </c>
      <c r="AM141" s="10">
        <f t="shared" si="21"/>
        <v>0</v>
      </c>
      <c r="AN141" s="10">
        <f t="shared" si="22"/>
        <v>0</v>
      </c>
      <c r="AO141" s="10" t="s">
        <v>24</v>
      </c>
      <c r="AP141" s="10">
        <f t="shared" si="23"/>
        <v>0</v>
      </c>
      <c r="AQ141" s="10" t="s">
        <v>11</v>
      </c>
      <c r="AR141" s="10">
        <f t="shared" si="24"/>
        <v>1</v>
      </c>
      <c r="AS141" s="10" t="s">
        <v>27</v>
      </c>
      <c r="AT141" s="10">
        <f t="shared" si="25"/>
        <v>0</v>
      </c>
      <c r="AU141" s="10">
        <f t="shared" si="26"/>
        <v>0</v>
      </c>
      <c r="AV141" s="11">
        <v>14.812514999999999</v>
      </c>
      <c r="AW141" s="11">
        <v>71.958299999999994</v>
      </c>
      <c r="AX141" s="11">
        <v>8.3758710000000001</v>
      </c>
      <c r="AY141" s="10">
        <v>73</v>
      </c>
      <c r="AZ141" t="s">
        <v>104</v>
      </c>
      <c r="BA141" s="17">
        <f t="shared" si="27"/>
        <v>0</v>
      </c>
      <c r="BB141" s="17">
        <f t="shared" si="28"/>
        <v>0</v>
      </c>
      <c r="BC141" s="17">
        <f t="shared" si="29"/>
        <v>0</v>
      </c>
      <c r="BG141" s="14">
        <v>1</v>
      </c>
      <c r="BH141" s="14">
        <v>0</v>
      </c>
      <c r="BI141" s="14">
        <v>0</v>
      </c>
      <c r="BJ141" s="14">
        <v>0</v>
      </c>
      <c r="BK141" s="14">
        <v>1</v>
      </c>
      <c r="BL141" s="14">
        <v>0</v>
      </c>
      <c r="BM141" s="14">
        <v>0</v>
      </c>
      <c r="BN141" s="14">
        <v>0</v>
      </c>
      <c r="BO141" s="14">
        <v>0</v>
      </c>
      <c r="BP141" s="14">
        <v>0</v>
      </c>
      <c r="BQ141" s="11">
        <v>14.812514999999999</v>
      </c>
      <c r="BR141" s="11">
        <v>71.958299999999994</v>
      </c>
      <c r="BS141" s="11">
        <v>8.3758710000000001</v>
      </c>
      <c r="BT141" s="10">
        <v>73</v>
      </c>
    </row>
    <row r="142" spans="4:72" ht="20.149999999999999" customHeight="1">
      <c r="D142" s="10">
        <v>110</v>
      </c>
      <c r="E142" s="11">
        <v>29.849984999999997</v>
      </c>
      <c r="F142" s="11">
        <v>47.041699999999999</v>
      </c>
      <c r="G142" s="10">
        <v>110</v>
      </c>
      <c r="J142" t="s">
        <v>116</v>
      </c>
      <c r="K142" s="79">
        <v>6.4746607559954719E-2</v>
      </c>
      <c r="L142" s="79">
        <v>-0.20078723243311888</v>
      </c>
      <c r="M142" s="79">
        <v>-0.13782800731595507</v>
      </c>
      <c r="N142" s="79">
        <v>5.0608520002206968E-2</v>
      </c>
      <c r="O142" s="79">
        <v>-8.9963929973829806E-2</v>
      </c>
      <c r="P142" s="79">
        <v>-2.3393994057269388E-2</v>
      </c>
      <c r="Q142" s="79">
        <v>6.2423687652623384E-2</v>
      </c>
      <c r="R142" s="79">
        <v>-0.18325087919886057</v>
      </c>
      <c r="S142" s="79">
        <v>-0.18471698993324709</v>
      </c>
      <c r="T142" s="79">
        <v>1</v>
      </c>
      <c r="U142" s="79"/>
      <c r="V142" s="79"/>
      <c r="W142" s="79"/>
      <c r="X142" s="79"/>
      <c r="AK142" s="10" t="s">
        <v>29</v>
      </c>
      <c r="AL142" s="10">
        <f t="shared" si="20"/>
        <v>1</v>
      </c>
      <c r="AM142" s="10">
        <f t="shared" si="21"/>
        <v>0</v>
      </c>
      <c r="AN142" s="10">
        <f t="shared" si="22"/>
        <v>0</v>
      </c>
      <c r="AO142" s="10" t="s">
        <v>24</v>
      </c>
      <c r="AP142" s="10">
        <f t="shared" si="23"/>
        <v>0</v>
      </c>
      <c r="AQ142" s="10" t="s">
        <v>25</v>
      </c>
      <c r="AR142" s="10">
        <f t="shared" si="24"/>
        <v>0</v>
      </c>
      <c r="AS142" s="10" t="s">
        <v>27</v>
      </c>
      <c r="AT142" s="10">
        <f t="shared" si="25"/>
        <v>0</v>
      </c>
      <c r="AU142" s="10">
        <f t="shared" si="26"/>
        <v>0</v>
      </c>
      <c r="AV142" s="11">
        <v>20.849985</v>
      </c>
      <c r="AW142" s="11">
        <v>62.666699999999999</v>
      </c>
      <c r="AX142" s="11">
        <v>8.0835499999999989</v>
      </c>
      <c r="AY142" s="10">
        <v>71</v>
      </c>
      <c r="AZ142" t="s">
        <v>104</v>
      </c>
      <c r="BA142" s="17">
        <f t="shared" si="27"/>
        <v>0</v>
      </c>
      <c r="BB142" s="17">
        <f t="shared" si="28"/>
        <v>0</v>
      </c>
      <c r="BC142" s="17">
        <f t="shared" si="29"/>
        <v>0</v>
      </c>
      <c r="BG142" s="14">
        <v>1</v>
      </c>
      <c r="BH142" s="14">
        <v>0</v>
      </c>
      <c r="BI142" s="14">
        <v>0</v>
      </c>
      <c r="BJ142" s="14">
        <v>0</v>
      </c>
      <c r="BK142" s="14">
        <v>0</v>
      </c>
      <c r="BL142" s="14">
        <v>0</v>
      </c>
      <c r="BM142" s="14">
        <v>0</v>
      </c>
      <c r="BN142" s="14">
        <v>0</v>
      </c>
      <c r="BO142" s="14">
        <v>0</v>
      </c>
      <c r="BP142" s="14">
        <v>0</v>
      </c>
      <c r="BQ142" s="11">
        <v>20.849985</v>
      </c>
      <c r="BR142" s="11">
        <v>62.666699999999999</v>
      </c>
      <c r="BS142" s="11">
        <v>8.0835499999999989</v>
      </c>
      <c r="BT142" s="10">
        <v>71</v>
      </c>
    </row>
    <row r="143" spans="4:72" ht="20.149999999999999" customHeight="1">
      <c r="D143" s="10">
        <v>118</v>
      </c>
      <c r="E143" s="11">
        <v>30.900015</v>
      </c>
      <c r="F143" s="11">
        <v>53.782600000000002</v>
      </c>
      <c r="G143" s="10">
        <v>118</v>
      </c>
      <c r="J143" t="s">
        <v>15</v>
      </c>
      <c r="K143" s="79">
        <v>3.030976023483303E-2</v>
      </c>
      <c r="L143" s="79">
        <v>-0.66822806971523163</v>
      </c>
      <c r="M143" s="79">
        <v>-6.0625553101468256E-2</v>
      </c>
      <c r="N143" s="79">
        <v>4.1923554843044789E-2</v>
      </c>
      <c r="O143" s="79">
        <v>-8.5919489083010857E-3</v>
      </c>
      <c r="P143" s="79">
        <v>8.5147215382293417E-2</v>
      </c>
      <c r="Q143" s="79">
        <v>7.1978600388529698E-2</v>
      </c>
      <c r="R143" s="79">
        <v>-0.61608841340308618</v>
      </c>
      <c r="S143" s="79">
        <v>-0.22641395493994254</v>
      </c>
      <c r="T143" s="79">
        <v>0.28682644839520627</v>
      </c>
      <c r="U143" s="79">
        <v>1</v>
      </c>
      <c r="V143" s="79"/>
      <c r="W143" s="79"/>
      <c r="X143" s="79"/>
      <c r="AK143" s="10" t="s">
        <v>29</v>
      </c>
      <c r="AL143" s="10">
        <f t="shared" si="20"/>
        <v>1</v>
      </c>
      <c r="AM143" s="10">
        <f t="shared" si="21"/>
        <v>0</v>
      </c>
      <c r="AN143" s="10">
        <f t="shared" si="22"/>
        <v>0</v>
      </c>
      <c r="AO143" s="10" t="s">
        <v>24</v>
      </c>
      <c r="AP143" s="10">
        <f t="shared" si="23"/>
        <v>0</v>
      </c>
      <c r="AQ143" s="10" t="s">
        <v>25</v>
      </c>
      <c r="AR143" s="10">
        <f t="shared" si="24"/>
        <v>0</v>
      </c>
      <c r="AS143" s="10" t="s">
        <v>27</v>
      </c>
      <c r="AT143" s="10">
        <f t="shared" si="25"/>
        <v>0</v>
      </c>
      <c r="AU143" s="10">
        <f t="shared" si="26"/>
        <v>0</v>
      </c>
      <c r="AV143" s="11">
        <v>20.137499999999999</v>
      </c>
      <c r="AW143" s="11">
        <v>74.958299999999994</v>
      </c>
      <c r="AX143" s="11">
        <v>9.9165360000000007</v>
      </c>
      <c r="AY143" s="10">
        <v>55</v>
      </c>
      <c r="AZ143" t="s">
        <v>106</v>
      </c>
      <c r="BA143" s="17">
        <f t="shared" si="27"/>
        <v>0</v>
      </c>
      <c r="BB143" s="17">
        <f t="shared" si="28"/>
        <v>1</v>
      </c>
      <c r="BC143" s="17">
        <f t="shared" si="29"/>
        <v>0</v>
      </c>
      <c r="BG143" s="14">
        <v>1</v>
      </c>
      <c r="BH143" s="14">
        <v>0</v>
      </c>
      <c r="BI143" s="14">
        <v>0</v>
      </c>
      <c r="BJ143" s="14">
        <v>0</v>
      </c>
      <c r="BK143" s="14">
        <v>0</v>
      </c>
      <c r="BL143" s="14">
        <v>0</v>
      </c>
      <c r="BM143" s="14">
        <v>0</v>
      </c>
      <c r="BN143" s="14">
        <v>0</v>
      </c>
      <c r="BO143" s="14">
        <v>1</v>
      </c>
      <c r="BP143" s="14">
        <v>0</v>
      </c>
      <c r="BQ143" s="11">
        <v>20.137499999999999</v>
      </c>
      <c r="BR143" s="11">
        <v>74.958299999999994</v>
      </c>
      <c r="BS143" s="11">
        <v>9.9165360000000007</v>
      </c>
      <c r="BT143" s="10">
        <v>55</v>
      </c>
    </row>
    <row r="144" spans="4:72" ht="20.149999999999999" customHeight="1">
      <c r="D144" s="10">
        <v>106</v>
      </c>
      <c r="E144" s="11">
        <v>32.362515000000002</v>
      </c>
      <c r="F144" s="11">
        <v>49.875</v>
      </c>
      <c r="G144" s="10">
        <v>106</v>
      </c>
      <c r="J144" t="s">
        <v>0</v>
      </c>
      <c r="K144" s="79">
        <v>2.5379834230120277E-2</v>
      </c>
      <c r="L144" s="79">
        <v>-0.15752783653486163</v>
      </c>
      <c r="M144" s="79">
        <v>0.30347372279824913</v>
      </c>
      <c r="N144" s="79">
        <v>-3.0896100960646239E-2</v>
      </c>
      <c r="O144" s="79">
        <v>3.4249681281617768E-2</v>
      </c>
      <c r="P144" s="79">
        <v>0.4546391231538654</v>
      </c>
      <c r="Q144" s="79">
        <v>0.29400162421126386</v>
      </c>
      <c r="R144" s="79">
        <v>-9.5572600489658641E-3</v>
      </c>
      <c r="S144" s="79">
        <v>0.20493196948047895</v>
      </c>
      <c r="T144" s="79">
        <v>-3.5386442411438429E-2</v>
      </c>
      <c r="U144" s="79">
        <v>-7.6140044747733018E-2</v>
      </c>
      <c r="V144" s="79">
        <v>1</v>
      </c>
      <c r="W144" s="79"/>
      <c r="X144" s="79"/>
      <c r="AK144" s="10" t="s">
        <v>29</v>
      </c>
      <c r="AL144" s="10">
        <f t="shared" si="20"/>
        <v>1</v>
      </c>
      <c r="AM144" s="10">
        <f t="shared" si="21"/>
        <v>0</v>
      </c>
      <c r="AN144" s="10">
        <f t="shared" si="22"/>
        <v>0</v>
      </c>
      <c r="AO144" s="10" t="s">
        <v>24</v>
      </c>
      <c r="AP144" s="10">
        <f t="shared" si="23"/>
        <v>0</v>
      </c>
      <c r="AQ144" s="10" t="s">
        <v>11</v>
      </c>
      <c r="AR144" s="10">
        <f t="shared" si="24"/>
        <v>1</v>
      </c>
      <c r="AS144" s="10" t="s">
        <v>26</v>
      </c>
      <c r="AT144" s="10">
        <f t="shared" si="25"/>
        <v>1</v>
      </c>
      <c r="AU144" s="10">
        <f t="shared" si="26"/>
        <v>0</v>
      </c>
      <c r="AV144" s="11">
        <v>18.750015000000001</v>
      </c>
      <c r="AW144" s="11">
        <v>81</v>
      </c>
      <c r="AX144" s="11">
        <v>15.667413999999999</v>
      </c>
      <c r="AY144" s="10">
        <v>32</v>
      </c>
      <c r="AZ144" t="s">
        <v>107</v>
      </c>
      <c r="BA144" s="17">
        <f t="shared" si="27"/>
        <v>1</v>
      </c>
      <c r="BB144" s="17">
        <f t="shared" si="28"/>
        <v>0</v>
      </c>
      <c r="BC144" s="17">
        <f t="shared" si="29"/>
        <v>0</v>
      </c>
      <c r="BG144" s="14">
        <v>1</v>
      </c>
      <c r="BH144" s="14">
        <v>0</v>
      </c>
      <c r="BI144" s="14">
        <v>0</v>
      </c>
      <c r="BJ144" s="14">
        <v>0</v>
      </c>
      <c r="BK144" s="14">
        <v>1</v>
      </c>
      <c r="BL144" s="14">
        <v>1</v>
      </c>
      <c r="BM144" s="14">
        <v>0</v>
      </c>
      <c r="BN144" s="14">
        <v>1</v>
      </c>
      <c r="BO144" s="14">
        <v>0</v>
      </c>
      <c r="BP144" s="14">
        <v>0</v>
      </c>
      <c r="BQ144" s="11">
        <v>18.750015000000001</v>
      </c>
      <c r="BR144" s="11">
        <v>81</v>
      </c>
      <c r="BS144" s="11">
        <v>15.667413999999999</v>
      </c>
      <c r="BT144" s="10">
        <v>32</v>
      </c>
    </row>
    <row r="145" spans="4:72" ht="20.149999999999999" customHeight="1">
      <c r="D145" s="10">
        <v>89</v>
      </c>
      <c r="E145" s="11">
        <v>33.600014999999999</v>
      </c>
      <c r="F145" s="11">
        <v>48.375</v>
      </c>
      <c r="G145" s="10">
        <v>89</v>
      </c>
      <c r="J145" t="s">
        <v>18</v>
      </c>
      <c r="K145" s="79">
        <v>0.20886045840257642</v>
      </c>
      <c r="L145" s="79">
        <v>-8.4572805554113631E-2</v>
      </c>
      <c r="M145" s="79">
        <v>-0.16110353178452005</v>
      </c>
      <c r="N145" s="79">
        <v>7.3444131527142286E-4</v>
      </c>
      <c r="O145" s="79">
        <v>1.1954931835995409E-2</v>
      </c>
      <c r="P145" s="79">
        <v>3.9562936612954902E-2</v>
      </c>
      <c r="Q145" s="79">
        <v>0.11002739535146759</v>
      </c>
      <c r="R145" s="79">
        <v>-6.8406555890714607E-2</v>
      </c>
      <c r="S145" s="79">
        <v>-0.1121629874564854</v>
      </c>
      <c r="T145" s="79">
        <v>9.4198212813985799E-2</v>
      </c>
      <c r="U145" s="79">
        <v>0.12612719318636412</v>
      </c>
      <c r="V145" s="79">
        <v>-0.21571802302764689</v>
      </c>
      <c r="W145" s="79">
        <v>1</v>
      </c>
      <c r="X145" s="79"/>
      <c r="AK145" s="10" t="s">
        <v>29</v>
      </c>
      <c r="AL145" s="10">
        <f t="shared" si="20"/>
        <v>1</v>
      </c>
      <c r="AM145" s="10">
        <f t="shared" si="21"/>
        <v>0</v>
      </c>
      <c r="AN145" s="10">
        <f t="shared" si="22"/>
        <v>0</v>
      </c>
      <c r="AO145" s="10" t="s">
        <v>24</v>
      </c>
      <c r="AP145" s="10">
        <f t="shared" si="23"/>
        <v>0</v>
      </c>
      <c r="AQ145" s="10" t="s">
        <v>11</v>
      </c>
      <c r="AR145" s="10">
        <f t="shared" si="24"/>
        <v>1</v>
      </c>
      <c r="AS145" s="10" t="s">
        <v>26</v>
      </c>
      <c r="AT145" s="10">
        <f t="shared" si="25"/>
        <v>1</v>
      </c>
      <c r="AU145" s="10">
        <f t="shared" si="26"/>
        <v>0</v>
      </c>
      <c r="AV145" s="11">
        <v>19.837484999999997</v>
      </c>
      <c r="AW145" s="11">
        <v>74.083299999999994</v>
      </c>
      <c r="AX145" s="11">
        <v>13.875164</v>
      </c>
      <c r="AY145" s="10">
        <v>51</v>
      </c>
      <c r="AZ145" t="s">
        <v>106</v>
      </c>
      <c r="BA145" s="17">
        <f t="shared" si="27"/>
        <v>0</v>
      </c>
      <c r="BB145" s="17">
        <f t="shared" si="28"/>
        <v>1</v>
      </c>
      <c r="BC145" s="17">
        <f t="shared" si="29"/>
        <v>0</v>
      </c>
      <c r="BG145" s="14">
        <v>1</v>
      </c>
      <c r="BH145" s="14">
        <v>0</v>
      </c>
      <c r="BI145" s="14">
        <v>0</v>
      </c>
      <c r="BJ145" s="14">
        <v>0</v>
      </c>
      <c r="BK145" s="14">
        <v>1</v>
      </c>
      <c r="BL145" s="14">
        <v>1</v>
      </c>
      <c r="BM145" s="14">
        <v>0</v>
      </c>
      <c r="BN145" s="14">
        <v>0</v>
      </c>
      <c r="BO145" s="14">
        <v>1</v>
      </c>
      <c r="BP145" s="14">
        <v>0</v>
      </c>
      <c r="BQ145" s="11">
        <v>19.837484999999997</v>
      </c>
      <c r="BR145" s="11">
        <v>74.083299999999994</v>
      </c>
      <c r="BS145" s="11">
        <v>13.875164</v>
      </c>
      <c r="BT145" s="10">
        <v>51</v>
      </c>
    </row>
    <row r="146" spans="4:72" ht="20.149999999999999" customHeight="1" thickBot="1">
      <c r="D146" s="10">
        <v>91</v>
      </c>
      <c r="E146" s="11">
        <v>34.950015</v>
      </c>
      <c r="F146" s="11">
        <v>53.75</v>
      </c>
      <c r="G146" s="10">
        <v>91</v>
      </c>
      <c r="J146" s="146" t="s">
        <v>39</v>
      </c>
      <c r="K146" s="148">
        <v>0.20568526972681572</v>
      </c>
      <c r="L146" s="148">
        <v>-0.62079036382101371</v>
      </c>
      <c r="M146" s="148">
        <v>-7.0879498850865336E-2</v>
      </c>
      <c r="N146" s="148">
        <v>5.5389715194662195E-2</v>
      </c>
      <c r="O146" s="148">
        <v>-4.4728298517098961E-2</v>
      </c>
      <c r="P146" s="148">
        <v>5.6687576587851327E-2</v>
      </c>
      <c r="Q146" s="148">
        <v>5.0794962073566777E-2</v>
      </c>
      <c r="R146" s="148">
        <v>-0.77644699380221727</v>
      </c>
      <c r="S146" s="148">
        <v>-0.27377055438193881</v>
      </c>
      <c r="T146" s="148">
        <v>0.47042073201293766</v>
      </c>
      <c r="U146" s="148">
        <v>0.77147061194873179</v>
      </c>
      <c r="V146" s="148">
        <v>-8.0936497499485893E-2</v>
      </c>
      <c r="W146" s="148">
        <v>0.13701667243930643</v>
      </c>
      <c r="X146" s="148">
        <v>1</v>
      </c>
      <c r="AK146" s="10" t="s">
        <v>29</v>
      </c>
      <c r="AL146" s="10">
        <f t="shared" si="20"/>
        <v>1</v>
      </c>
      <c r="AM146" s="10">
        <f t="shared" si="21"/>
        <v>0</v>
      </c>
      <c r="AN146" s="10">
        <f t="shared" si="22"/>
        <v>0</v>
      </c>
      <c r="AO146" s="10" t="s">
        <v>24</v>
      </c>
      <c r="AP146" s="10">
        <f t="shared" si="23"/>
        <v>0</v>
      </c>
      <c r="AQ146" s="10" t="s">
        <v>11</v>
      </c>
      <c r="AR146" s="10">
        <f t="shared" si="24"/>
        <v>1</v>
      </c>
      <c r="AS146" s="10" t="s">
        <v>27</v>
      </c>
      <c r="AT146" s="10">
        <f t="shared" si="25"/>
        <v>0</v>
      </c>
      <c r="AU146" s="10">
        <f t="shared" si="26"/>
        <v>0</v>
      </c>
      <c r="AV146" s="11">
        <v>16.799985</v>
      </c>
      <c r="AW146" s="11">
        <v>69.625</v>
      </c>
      <c r="AX146" s="11">
        <v>10.333611000000001</v>
      </c>
      <c r="AY146" s="10">
        <v>30</v>
      </c>
      <c r="AZ146" t="s">
        <v>107</v>
      </c>
      <c r="BA146" s="17">
        <f t="shared" si="27"/>
        <v>1</v>
      </c>
      <c r="BB146" s="17">
        <f t="shared" si="28"/>
        <v>0</v>
      </c>
      <c r="BC146" s="17">
        <f t="shared" si="29"/>
        <v>0</v>
      </c>
      <c r="BG146" s="14">
        <v>1</v>
      </c>
      <c r="BH146" s="14">
        <v>0</v>
      </c>
      <c r="BI146" s="14">
        <v>0</v>
      </c>
      <c r="BJ146" s="14">
        <v>0</v>
      </c>
      <c r="BK146" s="14">
        <v>1</v>
      </c>
      <c r="BL146" s="14">
        <v>0</v>
      </c>
      <c r="BM146" s="14">
        <v>0</v>
      </c>
      <c r="BN146" s="14">
        <v>1</v>
      </c>
      <c r="BO146" s="14">
        <v>0</v>
      </c>
      <c r="BP146" s="14">
        <v>0</v>
      </c>
      <c r="BQ146" s="11">
        <v>16.799985</v>
      </c>
      <c r="BR146" s="11">
        <v>69.625</v>
      </c>
      <c r="BS146" s="11">
        <v>10.333611000000001</v>
      </c>
      <c r="BT146" s="10">
        <v>30</v>
      </c>
    </row>
    <row r="147" spans="4:72" ht="20.149999999999999" customHeight="1">
      <c r="D147" s="10">
        <v>87</v>
      </c>
      <c r="E147" s="11">
        <v>34.574985000000005</v>
      </c>
      <c r="F147" s="11">
        <v>86.166699999999992</v>
      </c>
      <c r="G147" s="10">
        <v>87</v>
      </c>
      <c r="AK147" s="10" t="s">
        <v>29</v>
      </c>
      <c r="AL147" s="10">
        <f t="shared" si="20"/>
        <v>1</v>
      </c>
      <c r="AM147" s="10">
        <f t="shared" si="21"/>
        <v>0</v>
      </c>
      <c r="AN147" s="10">
        <f t="shared" si="22"/>
        <v>0</v>
      </c>
      <c r="AO147" s="10" t="s">
        <v>24</v>
      </c>
      <c r="AP147" s="10">
        <f t="shared" si="23"/>
        <v>0</v>
      </c>
      <c r="AQ147" s="10" t="s">
        <v>11</v>
      </c>
      <c r="AR147" s="10">
        <f t="shared" si="24"/>
        <v>1</v>
      </c>
      <c r="AS147" s="10" t="s">
        <v>27</v>
      </c>
      <c r="AT147" s="10">
        <f t="shared" si="25"/>
        <v>0</v>
      </c>
      <c r="AU147" s="10">
        <f t="shared" si="26"/>
        <v>0</v>
      </c>
      <c r="AV147" s="11">
        <v>16.875</v>
      </c>
      <c r="AW147" s="11">
        <v>67.75</v>
      </c>
      <c r="AX147" s="11">
        <v>13.376014</v>
      </c>
      <c r="AY147" s="10">
        <v>56</v>
      </c>
      <c r="AZ147" t="s">
        <v>106</v>
      </c>
      <c r="BA147" s="17">
        <f t="shared" si="27"/>
        <v>0</v>
      </c>
      <c r="BB147" s="17">
        <f t="shared" si="28"/>
        <v>1</v>
      </c>
      <c r="BC147" s="17">
        <f t="shared" si="29"/>
        <v>0</v>
      </c>
      <c r="BG147" s="14">
        <v>1</v>
      </c>
      <c r="BH147" s="14">
        <v>0</v>
      </c>
      <c r="BI147" s="14">
        <v>0</v>
      </c>
      <c r="BJ147" s="14">
        <v>0</v>
      </c>
      <c r="BK147" s="14">
        <v>1</v>
      </c>
      <c r="BL147" s="14">
        <v>0</v>
      </c>
      <c r="BM147" s="14">
        <v>0</v>
      </c>
      <c r="BN147" s="14">
        <v>0</v>
      </c>
      <c r="BO147" s="14">
        <v>1</v>
      </c>
      <c r="BP147" s="14">
        <v>0</v>
      </c>
      <c r="BQ147" s="11">
        <v>16.875</v>
      </c>
      <c r="BR147" s="11">
        <v>67.75</v>
      </c>
      <c r="BS147" s="11">
        <v>13.376014</v>
      </c>
      <c r="BT147" s="10">
        <v>56</v>
      </c>
    </row>
    <row r="148" spans="4:72" ht="20.149999999999999" customHeight="1">
      <c r="D148" s="10">
        <v>76</v>
      </c>
      <c r="E148" s="11">
        <v>36.674999999999997</v>
      </c>
      <c r="F148" s="11">
        <v>74.173900000000003</v>
      </c>
      <c r="G148" s="10">
        <v>76</v>
      </c>
      <c r="AK148" s="10" t="s">
        <v>29</v>
      </c>
      <c r="AL148" s="10">
        <f t="shared" si="20"/>
        <v>1</v>
      </c>
      <c r="AM148" s="10">
        <f t="shared" si="21"/>
        <v>0</v>
      </c>
      <c r="AN148" s="10">
        <f t="shared" si="22"/>
        <v>0</v>
      </c>
      <c r="AO148" s="10" t="s">
        <v>24</v>
      </c>
      <c r="AP148" s="10">
        <f t="shared" si="23"/>
        <v>0</v>
      </c>
      <c r="AQ148" s="10" t="s">
        <v>11</v>
      </c>
      <c r="AR148" s="10">
        <f t="shared" si="24"/>
        <v>1</v>
      </c>
      <c r="AS148" s="10" t="s">
        <v>27</v>
      </c>
      <c r="AT148" s="10">
        <f t="shared" si="25"/>
        <v>0</v>
      </c>
      <c r="AU148" s="10">
        <f t="shared" si="26"/>
        <v>0</v>
      </c>
      <c r="AV148" s="11">
        <v>16.912485</v>
      </c>
      <c r="AW148" s="11">
        <v>65.375</v>
      </c>
      <c r="AX148" s="11">
        <v>16.125492999999999</v>
      </c>
      <c r="AY148" s="10">
        <v>61</v>
      </c>
      <c r="AZ148" t="s">
        <v>106</v>
      </c>
      <c r="BA148" s="17">
        <f t="shared" si="27"/>
        <v>0</v>
      </c>
      <c r="BB148" s="17">
        <f t="shared" si="28"/>
        <v>1</v>
      </c>
      <c r="BC148" s="17">
        <f t="shared" si="29"/>
        <v>0</v>
      </c>
      <c r="BG148" s="14">
        <v>1</v>
      </c>
      <c r="BH148" s="14">
        <v>0</v>
      </c>
      <c r="BI148" s="14">
        <v>0</v>
      </c>
      <c r="BJ148" s="14">
        <v>0</v>
      </c>
      <c r="BK148" s="14">
        <v>1</v>
      </c>
      <c r="BL148" s="14">
        <v>0</v>
      </c>
      <c r="BM148" s="14">
        <v>0</v>
      </c>
      <c r="BN148" s="14">
        <v>0</v>
      </c>
      <c r="BO148" s="14">
        <v>1</v>
      </c>
      <c r="BP148" s="14">
        <v>0</v>
      </c>
      <c r="BQ148" s="11">
        <v>16.912485</v>
      </c>
      <c r="BR148" s="11">
        <v>65.375</v>
      </c>
      <c r="BS148" s="11">
        <v>16.125492999999999</v>
      </c>
      <c r="BT148" s="10">
        <v>61</v>
      </c>
    </row>
    <row r="149" spans="4:72" ht="20.149999999999999" customHeight="1">
      <c r="D149" s="10">
        <v>68</v>
      </c>
      <c r="E149" s="11">
        <v>38.174985</v>
      </c>
      <c r="F149" s="11">
        <v>53.833299999999994</v>
      </c>
      <c r="G149" s="10">
        <v>68</v>
      </c>
      <c r="AK149" s="10" t="s">
        <v>29</v>
      </c>
      <c r="AL149" s="10">
        <f t="shared" si="20"/>
        <v>1</v>
      </c>
      <c r="AM149" s="10">
        <f t="shared" si="21"/>
        <v>0</v>
      </c>
      <c r="AN149" s="10">
        <f t="shared" si="22"/>
        <v>0</v>
      </c>
      <c r="AO149" s="10" t="s">
        <v>24</v>
      </c>
      <c r="AP149" s="10">
        <f t="shared" si="23"/>
        <v>0</v>
      </c>
      <c r="AQ149" s="10" t="s">
        <v>25</v>
      </c>
      <c r="AR149" s="10">
        <f t="shared" si="24"/>
        <v>0</v>
      </c>
      <c r="AS149" s="10" t="s">
        <v>27</v>
      </c>
      <c r="AT149" s="10">
        <f t="shared" si="25"/>
        <v>0</v>
      </c>
      <c r="AU149" s="10">
        <f t="shared" si="26"/>
        <v>0</v>
      </c>
      <c r="AV149" s="11">
        <v>20.662514999999999</v>
      </c>
      <c r="AW149" s="11">
        <v>72.958299999999994</v>
      </c>
      <c r="AX149" s="11">
        <v>15.416164</v>
      </c>
      <c r="AY149" s="10">
        <v>61</v>
      </c>
      <c r="AZ149" t="s">
        <v>106</v>
      </c>
      <c r="BA149" s="17">
        <f t="shared" si="27"/>
        <v>0</v>
      </c>
      <c r="BB149" s="17">
        <f t="shared" si="28"/>
        <v>1</v>
      </c>
      <c r="BC149" s="17">
        <f t="shared" si="29"/>
        <v>0</v>
      </c>
      <c r="BG149" s="14">
        <v>1</v>
      </c>
      <c r="BH149" s="14">
        <v>0</v>
      </c>
      <c r="BI149" s="14">
        <v>0</v>
      </c>
      <c r="BJ149" s="14">
        <v>0</v>
      </c>
      <c r="BK149" s="14">
        <v>0</v>
      </c>
      <c r="BL149" s="14">
        <v>0</v>
      </c>
      <c r="BM149" s="14">
        <v>0</v>
      </c>
      <c r="BN149" s="14">
        <v>0</v>
      </c>
      <c r="BO149" s="14">
        <v>1</v>
      </c>
      <c r="BP149" s="14">
        <v>0</v>
      </c>
      <c r="BQ149" s="11">
        <v>20.662514999999999</v>
      </c>
      <c r="BR149" s="11">
        <v>72.958299999999994</v>
      </c>
      <c r="BS149" s="11">
        <v>15.416164</v>
      </c>
      <c r="BT149" s="10">
        <v>61</v>
      </c>
    </row>
    <row r="150" spans="4:72" ht="20.149999999999999" customHeight="1">
      <c r="D150" s="10">
        <v>66</v>
      </c>
      <c r="E150" s="11">
        <v>38.212515000000003</v>
      </c>
      <c r="F150" s="11">
        <v>45.708300000000001</v>
      </c>
      <c r="G150" s="10">
        <v>66</v>
      </c>
      <c r="AK150" s="10" t="s">
        <v>29</v>
      </c>
      <c r="AL150" s="10">
        <f t="shared" si="20"/>
        <v>1</v>
      </c>
      <c r="AM150" s="10">
        <f t="shared" si="21"/>
        <v>0</v>
      </c>
      <c r="AN150" s="10">
        <f t="shared" si="22"/>
        <v>0</v>
      </c>
      <c r="AO150" s="10" t="s">
        <v>24</v>
      </c>
      <c r="AP150" s="10">
        <f t="shared" si="23"/>
        <v>0</v>
      </c>
      <c r="AQ150" s="10" t="s">
        <v>25</v>
      </c>
      <c r="AR150" s="10">
        <f t="shared" si="24"/>
        <v>0</v>
      </c>
      <c r="AS150" s="10" t="s">
        <v>27</v>
      </c>
      <c r="AT150" s="10">
        <f t="shared" si="25"/>
        <v>0</v>
      </c>
      <c r="AU150" s="10">
        <f t="shared" si="26"/>
        <v>0</v>
      </c>
      <c r="AV150" s="11">
        <v>22.656510000000001</v>
      </c>
      <c r="AW150" s="11">
        <v>81.875</v>
      </c>
      <c r="AX150" s="11">
        <v>14.333845999999999</v>
      </c>
      <c r="AY150" s="10">
        <v>77</v>
      </c>
      <c r="AZ150" t="s">
        <v>104</v>
      </c>
      <c r="BA150" s="17">
        <f t="shared" si="27"/>
        <v>0</v>
      </c>
      <c r="BB150" s="17">
        <f t="shared" si="28"/>
        <v>0</v>
      </c>
      <c r="BC150" s="17">
        <f t="shared" si="29"/>
        <v>0</v>
      </c>
      <c r="BG150" s="14">
        <v>1</v>
      </c>
      <c r="BH150" s="14">
        <v>0</v>
      </c>
      <c r="BI150" s="14">
        <v>0</v>
      </c>
      <c r="BJ150" s="14">
        <v>0</v>
      </c>
      <c r="BK150" s="14">
        <v>0</v>
      </c>
      <c r="BL150" s="14">
        <v>0</v>
      </c>
      <c r="BM150" s="14">
        <v>0</v>
      </c>
      <c r="BN150" s="14">
        <v>0</v>
      </c>
      <c r="BO150" s="14">
        <v>0</v>
      </c>
      <c r="BP150" s="14">
        <v>0</v>
      </c>
      <c r="BQ150" s="11">
        <v>22.656510000000001</v>
      </c>
      <c r="BR150" s="11">
        <v>81.875</v>
      </c>
      <c r="BS150" s="11">
        <v>14.333845999999999</v>
      </c>
      <c r="BT150" s="10">
        <v>77</v>
      </c>
    </row>
    <row r="151" spans="4:72" ht="20.149999999999999" customHeight="1">
      <c r="D151" s="10">
        <v>72</v>
      </c>
      <c r="E151" s="11">
        <v>37.35</v>
      </c>
      <c r="F151" s="11">
        <v>40</v>
      </c>
      <c r="G151" s="10">
        <v>72</v>
      </c>
      <c r="AK151" s="10" t="s">
        <v>29</v>
      </c>
      <c r="AL151" s="10">
        <f t="shared" si="20"/>
        <v>1</v>
      </c>
      <c r="AM151" s="10">
        <f t="shared" si="21"/>
        <v>0</v>
      </c>
      <c r="AN151" s="10">
        <f t="shared" si="22"/>
        <v>0</v>
      </c>
      <c r="AO151" s="10" t="s">
        <v>7</v>
      </c>
      <c r="AP151" s="10">
        <f t="shared" si="23"/>
        <v>1</v>
      </c>
      <c r="AQ151" s="10" t="s">
        <v>25</v>
      </c>
      <c r="AR151" s="10">
        <f t="shared" si="24"/>
        <v>0</v>
      </c>
      <c r="AS151" s="10" t="s">
        <v>27</v>
      </c>
      <c r="AT151" s="10">
        <f t="shared" si="25"/>
        <v>0</v>
      </c>
      <c r="AU151" s="10">
        <f t="shared" si="26"/>
        <v>0</v>
      </c>
      <c r="AV151" s="11">
        <v>20.624984999999999</v>
      </c>
      <c r="AW151" s="11">
        <v>68.5</v>
      </c>
      <c r="AX151" s="11">
        <v>8.7920750000000005</v>
      </c>
      <c r="AY151" s="10">
        <v>58</v>
      </c>
      <c r="AZ151" t="s">
        <v>106</v>
      </c>
      <c r="BA151" s="17">
        <f t="shared" si="27"/>
        <v>0</v>
      </c>
      <c r="BB151" s="17">
        <f t="shared" si="28"/>
        <v>1</v>
      </c>
      <c r="BC151" s="17">
        <f t="shared" si="29"/>
        <v>0</v>
      </c>
      <c r="BG151" s="14">
        <v>1</v>
      </c>
      <c r="BH151" s="14">
        <v>0</v>
      </c>
      <c r="BI151" s="14">
        <v>0</v>
      </c>
      <c r="BJ151" s="14">
        <v>1</v>
      </c>
      <c r="BK151" s="14">
        <v>0</v>
      </c>
      <c r="BL151" s="14">
        <v>0</v>
      </c>
      <c r="BM151" s="14">
        <v>0</v>
      </c>
      <c r="BN151" s="14">
        <v>0</v>
      </c>
      <c r="BO151" s="14">
        <v>1</v>
      </c>
      <c r="BP151" s="14">
        <v>0</v>
      </c>
      <c r="BQ151" s="11">
        <v>20.624984999999999</v>
      </c>
      <c r="BR151" s="11">
        <v>68.5</v>
      </c>
      <c r="BS151" s="11">
        <v>8.7920750000000005</v>
      </c>
      <c r="BT151" s="10">
        <v>58</v>
      </c>
    </row>
    <row r="152" spans="4:72" ht="20.149999999999999" customHeight="1">
      <c r="D152" s="10">
        <v>76</v>
      </c>
      <c r="E152" s="11">
        <v>33.449984999999998</v>
      </c>
      <c r="F152" s="11">
        <v>43.652200000000001</v>
      </c>
      <c r="G152" s="10">
        <v>76</v>
      </c>
      <c r="AK152" s="10" t="s">
        <v>29</v>
      </c>
      <c r="AL152" s="10">
        <f t="shared" si="20"/>
        <v>1</v>
      </c>
      <c r="AM152" s="10">
        <f t="shared" si="21"/>
        <v>0</v>
      </c>
      <c r="AN152" s="10">
        <f t="shared" si="22"/>
        <v>0</v>
      </c>
      <c r="AO152" s="10" t="s">
        <v>24</v>
      </c>
      <c r="AP152" s="10">
        <f t="shared" si="23"/>
        <v>0</v>
      </c>
      <c r="AQ152" s="10" t="s">
        <v>11</v>
      </c>
      <c r="AR152" s="10">
        <f t="shared" si="24"/>
        <v>1</v>
      </c>
      <c r="AS152" s="10" t="s">
        <v>27</v>
      </c>
      <c r="AT152" s="10">
        <f t="shared" si="25"/>
        <v>0</v>
      </c>
      <c r="AU152" s="10">
        <f t="shared" si="26"/>
        <v>0</v>
      </c>
      <c r="AV152" s="11">
        <v>14.625</v>
      </c>
      <c r="AW152" s="11">
        <v>63.666699999999999</v>
      </c>
      <c r="AX152" s="11">
        <v>7.4590429999999994</v>
      </c>
      <c r="AY152" s="10">
        <v>73</v>
      </c>
      <c r="AZ152" t="s">
        <v>104</v>
      </c>
      <c r="BA152" s="17">
        <f t="shared" si="27"/>
        <v>0</v>
      </c>
      <c r="BB152" s="17">
        <f t="shared" si="28"/>
        <v>0</v>
      </c>
      <c r="BC152" s="17">
        <f t="shared" si="29"/>
        <v>0</v>
      </c>
      <c r="BG152" s="14">
        <v>1</v>
      </c>
      <c r="BH152" s="14">
        <v>0</v>
      </c>
      <c r="BI152" s="14">
        <v>0</v>
      </c>
      <c r="BJ152" s="14">
        <v>0</v>
      </c>
      <c r="BK152" s="14">
        <v>1</v>
      </c>
      <c r="BL152" s="14">
        <v>0</v>
      </c>
      <c r="BM152" s="14">
        <v>0</v>
      </c>
      <c r="BN152" s="14">
        <v>0</v>
      </c>
      <c r="BO152" s="14">
        <v>0</v>
      </c>
      <c r="BP152" s="14">
        <v>0</v>
      </c>
      <c r="BQ152" s="11">
        <v>14.625</v>
      </c>
      <c r="BR152" s="11">
        <v>63.666699999999999</v>
      </c>
      <c r="BS152" s="11">
        <v>7.4590429999999994</v>
      </c>
      <c r="BT152" s="10">
        <v>73</v>
      </c>
    </row>
    <row r="153" spans="4:72" ht="20.149999999999999" customHeight="1">
      <c r="D153" s="10">
        <v>92</v>
      </c>
      <c r="E153" s="11">
        <v>34.725014999999999</v>
      </c>
      <c r="F153" s="11">
        <v>49.173899999999996</v>
      </c>
      <c r="G153" s="10">
        <v>92</v>
      </c>
      <c r="AK153" s="10" t="s">
        <v>30</v>
      </c>
      <c r="AL153" s="10">
        <f t="shared" si="20"/>
        <v>0</v>
      </c>
      <c r="AM153" s="10">
        <f t="shared" si="21"/>
        <v>1</v>
      </c>
      <c r="AN153" s="10">
        <f t="shared" si="22"/>
        <v>0</v>
      </c>
      <c r="AO153" s="10" t="s">
        <v>24</v>
      </c>
      <c r="AP153" s="10">
        <f t="shared" si="23"/>
        <v>0</v>
      </c>
      <c r="AQ153" s="10" t="s">
        <v>11</v>
      </c>
      <c r="AR153" s="10">
        <f t="shared" si="24"/>
        <v>1</v>
      </c>
      <c r="AS153" s="10" t="s">
        <v>26</v>
      </c>
      <c r="AT153" s="10">
        <f t="shared" si="25"/>
        <v>1</v>
      </c>
      <c r="AU153" s="10">
        <f t="shared" si="26"/>
        <v>0</v>
      </c>
      <c r="AV153" s="11">
        <v>14.0625</v>
      </c>
      <c r="AW153" s="11">
        <v>67.708299999999994</v>
      </c>
      <c r="AX153" s="11">
        <v>13.875164</v>
      </c>
      <c r="AY153" s="10">
        <v>75</v>
      </c>
      <c r="AZ153" t="s">
        <v>104</v>
      </c>
      <c r="BA153" s="17">
        <f t="shared" si="27"/>
        <v>0</v>
      </c>
      <c r="BB153" s="17">
        <f t="shared" si="28"/>
        <v>0</v>
      </c>
      <c r="BC153" s="17">
        <f t="shared" si="29"/>
        <v>0</v>
      </c>
      <c r="BG153" s="14">
        <v>0</v>
      </c>
      <c r="BH153" s="14">
        <v>1</v>
      </c>
      <c r="BI153" s="14">
        <v>0</v>
      </c>
      <c r="BJ153" s="14">
        <v>0</v>
      </c>
      <c r="BK153" s="14">
        <v>1</v>
      </c>
      <c r="BL153" s="14">
        <v>1</v>
      </c>
      <c r="BM153" s="14">
        <v>0</v>
      </c>
      <c r="BN153" s="14">
        <v>0</v>
      </c>
      <c r="BO153" s="14">
        <v>0</v>
      </c>
      <c r="BP153" s="14">
        <v>0</v>
      </c>
      <c r="BQ153" s="11">
        <v>14.0625</v>
      </c>
      <c r="BR153" s="11">
        <v>67.708299999999994</v>
      </c>
      <c r="BS153" s="11">
        <v>13.875164</v>
      </c>
      <c r="BT153" s="10">
        <v>75</v>
      </c>
    </row>
    <row r="154" spans="4:72" ht="20.149999999999999" customHeight="1">
      <c r="D154" s="10">
        <v>93</v>
      </c>
      <c r="E154" s="11">
        <v>34.875</v>
      </c>
      <c r="F154" s="11">
        <v>61.695699999999995</v>
      </c>
      <c r="G154" s="10">
        <v>93</v>
      </c>
      <c r="AK154" s="10" t="s">
        <v>30</v>
      </c>
      <c r="AL154" s="10">
        <f t="shared" si="20"/>
        <v>0</v>
      </c>
      <c r="AM154" s="10">
        <f t="shared" si="21"/>
        <v>1</v>
      </c>
      <c r="AN154" s="10">
        <f t="shared" si="22"/>
        <v>0</v>
      </c>
      <c r="AO154" s="10" t="s">
        <v>24</v>
      </c>
      <c r="AP154" s="10">
        <f t="shared" si="23"/>
        <v>0</v>
      </c>
      <c r="AQ154" s="10" t="s">
        <v>11</v>
      </c>
      <c r="AR154" s="10">
        <f t="shared" si="24"/>
        <v>1</v>
      </c>
      <c r="AS154" s="10" t="s">
        <v>27</v>
      </c>
      <c r="AT154" s="10">
        <f t="shared" si="25"/>
        <v>0</v>
      </c>
      <c r="AU154" s="10">
        <f t="shared" si="26"/>
        <v>0</v>
      </c>
      <c r="AV154" s="11">
        <v>14.137514999999999</v>
      </c>
      <c r="AW154" s="11">
        <v>30.5</v>
      </c>
      <c r="AX154" s="11">
        <v>19.583229000000003</v>
      </c>
      <c r="AY154" s="10">
        <v>78</v>
      </c>
      <c r="AZ154" t="s">
        <v>104</v>
      </c>
      <c r="BA154" s="17">
        <f t="shared" si="27"/>
        <v>0</v>
      </c>
      <c r="BB154" s="17">
        <f t="shared" si="28"/>
        <v>0</v>
      </c>
      <c r="BC154" s="17">
        <f t="shared" si="29"/>
        <v>0</v>
      </c>
      <c r="BG154" s="14">
        <v>0</v>
      </c>
      <c r="BH154" s="14">
        <v>1</v>
      </c>
      <c r="BI154" s="14">
        <v>0</v>
      </c>
      <c r="BJ154" s="14">
        <v>0</v>
      </c>
      <c r="BK154" s="14">
        <v>1</v>
      </c>
      <c r="BL154" s="14">
        <v>0</v>
      </c>
      <c r="BM154" s="14">
        <v>0</v>
      </c>
      <c r="BN154" s="14">
        <v>0</v>
      </c>
      <c r="BO154" s="14">
        <v>0</v>
      </c>
      <c r="BP154" s="14">
        <v>0</v>
      </c>
      <c r="BQ154" s="11">
        <v>14.137514999999999</v>
      </c>
      <c r="BR154" s="11">
        <v>30.5</v>
      </c>
      <c r="BS154" s="11">
        <v>19.583229000000003</v>
      </c>
      <c r="BT154" s="10">
        <v>78</v>
      </c>
    </row>
    <row r="155" spans="4:72" ht="20.149999999999999" customHeight="1">
      <c r="D155" s="10">
        <v>88</v>
      </c>
      <c r="E155" s="11">
        <v>35.062515000000005</v>
      </c>
      <c r="F155" s="11">
        <v>86.25</v>
      </c>
      <c r="G155" s="10">
        <v>88</v>
      </c>
      <c r="AK155" s="10" t="s">
        <v>30</v>
      </c>
      <c r="AL155" s="10">
        <f t="shared" si="20"/>
        <v>0</v>
      </c>
      <c r="AM155" s="10">
        <f t="shared" si="21"/>
        <v>1</v>
      </c>
      <c r="AN155" s="10">
        <f t="shared" si="22"/>
        <v>0</v>
      </c>
      <c r="AO155" s="10" t="s">
        <v>24</v>
      </c>
      <c r="AP155" s="10">
        <f t="shared" si="23"/>
        <v>0</v>
      </c>
      <c r="AQ155" s="10" t="s">
        <v>11</v>
      </c>
      <c r="AR155" s="10">
        <f t="shared" si="24"/>
        <v>1</v>
      </c>
      <c r="AS155" s="10" t="s">
        <v>27</v>
      </c>
      <c r="AT155" s="10">
        <f t="shared" si="25"/>
        <v>0</v>
      </c>
      <c r="AU155" s="10">
        <f t="shared" si="26"/>
        <v>0</v>
      </c>
      <c r="AV155" s="11">
        <v>13.462515000000002</v>
      </c>
      <c r="AW155" s="11">
        <v>35.416699999999999</v>
      </c>
      <c r="AX155" s="11">
        <v>16.959106999999999</v>
      </c>
      <c r="AY155" s="10">
        <v>72</v>
      </c>
      <c r="AZ155" t="s">
        <v>104</v>
      </c>
      <c r="BA155" s="17">
        <f t="shared" si="27"/>
        <v>0</v>
      </c>
      <c r="BB155" s="17">
        <f t="shared" si="28"/>
        <v>0</v>
      </c>
      <c r="BC155" s="17">
        <f t="shared" si="29"/>
        <v>0</v>
      </c>
      <c r="BG155" s="14">
        <v>0</v>
      </c>
      <c r="BH155" s="14">
        <v>1</v>
      </c>
      <c r="BI155" s="14">
        <v>0</v>
      </c>
      <c r="BJ155" s="14">
        <v>0</v>
      </c>
      <c r="BK155" s="14">
        <v>1</v>
      </c>
      <c r="BL155" s="14">
        <v>0</v>
      </c>
      <c r="BM155" s="14">
        <v>0</v>
      </c>
      <c r="BN155" s="14">
        <v>0</v>
      </c>
      <c r="BO155" s="14">
        <v>0</v>
      </c>
      <c r="BP155" s="14">
        <v>0</v>
      </c>
      <c r="BQ155" s="11">
        <v>13.462515000000002</v>
      </c>
      <c r="BR155" s="11">
        <v>35.416699999999999</v>
      </c>
      <c r="BS155" s="11">
        <v>16.959106999999999</v>
      </c>
      <c r="BT155" s="10">
        <v>72</v>
      </c>
    </row>
    <row r="156" spans="4:72" ht="20.149999999999999" customHeight="1">
      <c r="D156" s="10">
        <v>77</v>
      </c>
      <c r="E156" s="11">
        <v>37.724984999999997</v>
      </c>
      <c r="F156" s="11">
        <v>68.75</v>
      </c>
      <c r="G156" s="10">
        <v>77</v>
      </c>
      <c r="AK156" s="10" t="s">
        <v>30</v>
      </c>
      <c r="AL156" s="10">
        <f t="shared" si="20"/>
        <v>0</v>
      </c>
      <c r="AM156" s="10">
        <f t="shared" si="21"/>
        <v>1</v>
      </c>
      <c r="AN156" s="10">
        <f t="shared" si="22"/>
        <v>0</v>
      </c>
      <c r="AO156" s="10" t="s">
        <v>24</v>
      </c>
      <c r="AP156" s="10">
        <f t="shared" si="23"/>
        <v>0</v>
      </c>
      <c r="AQ156" s="10" t="s">
        <v>25</v>
      </c>
      <c r="AR156" s="10">
        <f t="shared" si="24"/>
        <v>0</v>
      </c>
      <c r="AS156" s="10" t="s">
        <v>27</v>
      </c>
      <c r="AT156" s="10">
        <f t="shared" si="25"/>
        <v>0</v>
      </c>
      <c r="AU156" s="10">
        <f t="shared" si="26"/>
        <v>0</v>
      </c>
      <c r="AV156" s="11">
        <v>14.887485</v>
      </c>
      <c r="AW156" s="11">
        <v>45.625</v>
      </c>
      <c r="AX156" s="11">
        <v>8.2505140000000008</v>
      </c>
      <c r="AY156" s="10">
        <v>70</v>
      </c>
      <c r="AZ156" t="s">
        <v>104</v>
      </c>
      <c r="BA156" s="17">
        <f t="shared" si="27"/>
        <v>0</v>
      </c>
      <c r="BB156" s="17">
        <f t="shared" si="28"/>
        <v>0</v>
      </c>
      <c r="BC156" s="17">
        <f t="shared" si="29"/>
        <v>0</v>
      </c>
      <c r="BG156" s="14">
        <v>0</v>
      </c>
      <c r="BH156" s="14">
        <v>1</v>
      </c>
      <c r="BI156" s="14">
        <v>0</v>
      </c>
      <c r="BJ156" s="14">
        <v>0</v>
      </c>
      <c r="BK156" s="14">
        <v>0</v>
      </c>
      <c r="BL156" s="14">
        <v>0</v>
      </c>
      <c r="BM156" s="14">
        <v>0</v>
      </c>
      <c r="BN156" s="14">
        <v>0</v>
      </c>
      <c r="BO156" s="14">
        <v>0</v>
      </c>
      <c r="BP156" s="14">
        <v>0</v>
      </c>
      <c r="BQ156" s="11">
        <v>14.887485</v>
      </c>
      <c r="BR156" s="11">
        <v>45.625</v>
      </c>
      <c r="BS156" s="11">
        <v>8.2505140000000008</v>
      </c>
      <c r="BT156" s="10">
        <v>70</v>
      </c>
    </row>
    <row r="157" spans="4:72" ht="20.149999999999999" customHeight="1">
      <c r="D157" s="10">
        <v>89</v>
      </c>
      <c r="E157" s="11">
        <v>36.187514999999998</v>
      </c>
      <c r="F157" s="11">
        <v>79.304300000000012</v>
      </c>
      <c r="G157" s="10">
        <v>89</v>
      </c>
      <c r="AK157" s="10" t="s">
        <v>30</v>
      </c>
      <c r="AL157" s="10">
        <f t="shared" si="20"/>
        <v>0</v>
      </c>
      <c r="AM157" s="10">
        <f t="shared" si="21"/>
        <v>1</v>
      </c>
      <c r="AN157" s="10">
        <f t="shared" si="22"/>
        <v>0</v>
      </c>
      <c r="AO157" s="10" t="s">
        <v>24</v>
      </c>
      <c r="AP157" s="10">
        <f t="shared" si="23"/>
        <v>0</v>
      </c>
      <c r="AQ157" s="10" t="s">
        <v>25</v>
      </c>
      <c r="AR157" s="10">
        <f t="shared" si="24"/>
        <v>0</v>
      </c>
      <c r="AS157" s="10" t="s">
        <v>26</v>
      </c>
      <c r="AT157" s="10">
        <f t="shared" si="25"/>
        <v>1</v>
      </c>
      <c r="AU157" s="10">
        <f t="shared" si="26"/>
        <v>0</v>
      </c>
      <c r="AV157" s="11">
        <v>17.362485</v>
      </c>
      <c r="AW157" s="11">
        <v>65.25</v>
      </c>
      <c r="AX157" s="11">
        <v>9.292364000000001</v>
      </c>
      <c r="AY157" s="10">
        <v>77</v>
      </c>
      <c r="AZ157" t="s">
        <v>104</v>
      </c>
      <c r="BA157" s="17">
        <f t="shared" si="27"/>
        <v>0</v>
      </c>
      <c r="BB157" s="17">
        <f t="shared" si="28"/>
        <v>0</v>
      </c>
      <c r="BC157" s="17">
        <f t="shared" si="29"/>
        <v>0</v>
      </c>
      <c r="BG157" s="14">
        <v>0</v>
      </c>
      <c r="BH157" s="14">
        <v>1</v>
      </c>
      <c r="BI157" s="14">
        <v>0</v>
      </c>
      <c r="BJ157" s="14">
        <v>0</v>
      </c>
      <c r="BK157" s="14">
        <v>0</v>
      </c>
      <c r="BL157" s="14">
        <v>1</v>
      </c>
      <c r="BM157" s="14">
        <v>0</v>
      </c>
      <c r="BN157" s="14">
        <v>0</v>
      </c>
      <c r="BO157" s="14">
        <v>0</v>
      </c>
      <c r="BP157" s="14">
        <v>0</v>
      </c>
      <c r="BQ157" s="11">
        <v>17.362485</v>
      </c>
      <c r="BR157" s="11">
        <v>65.25</v>
      </c>
      <c r="BS157" s="11">
        <v>9.292364000000001</v>
      </c>
      <c r="BT157" s="10">
        <v>77</v>
      </c>
    </row>
    <row r="158" spans="4:72" ht="20.149999999999999" customHeight="1">
      <c r="D158" s="10">
        <v>86</v>
      </c>
      <c r="E158" s="11">
        <v>36.262484999999998</v>
      </c>
      <c r="F158" s="11">
        <v>65.173899999999989</v>
      </c>
      <c r="G158" s="10">
        <v>86</v>
      </c>
      <c r="AK158" s="10" t="s">
        <v>30</v>
      </c>
      <c r="AL158" s="10">
        <f t="shared" si="20"/>
        <v>0</v>
      </c>
      <c r="AM158" s="10">
        <f t="shared" si="21"/>
        <v>1</v>
      </c>
      <c r="AN158" s="10">
        <f t="shared" si="22"/>
        <v>0</v>
      </c>
      <c r="AO158" s="10" t="s">
        <v>24</v>
      </c>
      <c r="AP158" s="10">
        <f t="shared" si="23"/>
        <v>0</v>
      </c>
      <c r="AQ158" s="10" t="s">
        <v>11</v>
      </c>
      <c r="AR158" s="10">
        <f t="shared" si="24"/>
        <v>1</v>
      </c>
      <c r="AS158" s="10" t="s">
        <v>27</v>
      </c>
      <c r="AT158" s="10">
        <f t="shared" si="25"/>
        <v>0</v>
      </c>
      <c r="AU158" s="10">
        <f t="shared" si="26"/>
        <v>0</v>
      </c>
      <c r="AV158" s="11">
        <v>20.8125</v>
      </c>
      <c r="AW158" s="11">
        <v>60</v>
      </c>
      <c r="AX158" s="11">
        <v>8.1670320000000007</v>
      </c>
      <c r="AY158" s="10">
        <v>52</v>
      </c>
      <c r="AZ158" t="s">
        <v>106</v>
      </c>
      <c r="BA158" s="17">
        <f t="shared" si="27"/>
        <v>0</v>
      </c>
      <c r="BB158" s="17">
        <f t="shared" si="28"/>
        <v>1</v>
      </c>
      <c r="BC158" s="17">
        <f t="shared" si="29"/>
        <v>0</v>
      </c>
      <c r="BG158" s="14">
        <v>0</v>
      </c>
      <c r="BH158" s="14">
        <v>1</v>
      </c>
      <c r="BI158" s="14">
        <v>0</v>
      </c>
      <c r="BJ158" s="14">
        <v>0</v>
      </c>
      <c r="BK158" s="14">
        <v>1</v>
      </c>
      <c r="BL158" s="14">
        <v>0</v>
      </c>
      <c r="BM158" s="14">
        <v>0</v>
      </c>
      <c r="BN158" s="14">
        <v>0</v>
      </c>
      <c r="BO158" s="14">
        <v>1</v>
      </c>
      <c r="BP158" s="14">
        <v>0</v>
      </c>
      <c r="BQ158" s="11">
        <v>20.8125</v>
      </c>
      <c r="BR158" s="11">
        <v>60</v>
      </c>
      <c r="BS158" s="11">
        <v>8.1670320000000007</v>
      </c>
      <c r="BT158" s="10">
        <v>52</v>
      </c>
    </row>
    <row r="159" spans="4:72" ht="20.149999999999999" customHeight="1">
      <c r="D159" s="10">
        <v>86</v>
      </c>
      <c r="E159" s="11">
        <v>34.725014999999999</v>
      </c>
      <c r="F159" s="11">
        <v>72.217399999999998</v>
      </c>
      <c r="G159" s="10">
        <v>86</v>
      </c>
      <c r="AK159" s="10" t="s">
        <v>30</v>
      </c>
      <c r="AL159" s="10">
        <f t="shared" si="20"/>
        <v>0</v>
      </c>
      <c r="AM159" s="10">
        <f t="shared" si="21"/>
        <v>1</v>
      </c>
      <c r="AN159" s="10">
        <f t="shared" si="22"/>
        <v>0</v>
      </c>
      <c r="AO159" s="10" t="s">
        <v>24</v>
      </c>
      <c r="AP159" s="10">
        <f t="shared" si="23"/>
        <v>0</v>
      </c>
      <c r="AQ159" s="10" t="s">
        <v>11</v>
      </c>
      <c r="AR159" s="10">
        <f t="shared" si="24"/>
        <v>1</v>
      </c>
      <c r="AS159" s="10" t="s">
        <v>27</v>
      </c>
      <c r="AT159" s="10">
        <f t="shared" si="25"/>
        <v>0</v>
      </c>
      <c r="AU159" s="10">
        <f t="shared" si="26"/>
        <v>0</v>
      </c>
      <c r="AV159" s="11">
        <v>18.45</v>
      </c>
      <c r="AW159" s="11">
        <v>59.791700000000006</v>
      </c>
      <c r="AX159" s="11">
        <v>12.583136</v>
      </c>
      <c r="AY159" s="10">
        <v>14</v>
      </c>
      <c r="AZ159" t="s">
        <v>107</v>
      </c>
      <c r="BA159" s="17">
        <f t="shared" si="27"/>
        <v>1</v>
      </c>
      <c r="BB159" s="17">
        <f t="shared" si="28"/>
        <v>0</v>
      </c>
      <c r="BC159" s="17">
        <f t="shared" si="29"/>
        <v>0</v>
      </c>
      <c r="BG159" s="14">
        <v>0</v>
      </c>
      <c r="BH159" s="14">
        <v>1</v>
      </c>
      <c r="BI159" s="14">
        <v>0</v>
      </c>
      <c r="BJ159" s="14">
        <v>0</v>
      </c>
      <c r="BK159" s="14">
        <v>1</v>
      </c>
      <c r="BL159" s="14">
        <v>0</v>
      </c>
      <c r="BM159" s="14">
        <v>0</v>
      </c>
      <c r="BN159" s="14">
        <v>1</v>
      </c>
      <c r="BO159" s="14">
        <v>0</v>
      </c>
      <c r="BP159" s="14">
        <v>0</v>
      </c>
      <c r="BQ159" s="11">
        <v>18.45</v>
      </c>
      <c r="BR159" s="11">
        <v>59.791700000000006</v>
      </c>
      <c r="BS159" s="11">
        <v>12.583136</v>
      </c>
      <c r="BT159" s="10">
        <v>14</v>
      </c>
    </row>
    <row r="160" spans="4:72" ht="20.149999999999999" customHeight="1">
      <c r="D160" s="10">
        <v>97</v>
      </c>
      <c r="E160" s="11">
        <v>35.249984999999995</v>
      </c>
      <c r="F160" s="11">
        <v>60.375</v>
      </c>
      <c r="G160" s="10">
        <v>97</v>
      </c>
      <c r="AK160" s="10" t="s">
        <v>30</v>
      </c>
      <c r="AL160" s="10">
        <f t="shared" si="20"/>
        <v>0</v>
      </c>
      <c r="AM160" s="10">
        <f t="shared" si="21"/>
        <v>1</v>
      </c>
      <c r="AN160" s="10">
        <f t="shared" si="22"/>
        <v>0</v>
      </c>
      <c r="AO160" s="10" t="s">
        <v>24</v>
      </c>
      <c r="AP160" s="10">
        <f t="shared" si="23"/>
        <v>0</v>
      </c>
      <c r="AQ160" s="10" t="s">
        <v>11</v>
      </c>
      <c r="AR160" s="10">
        <f t="shared" si="24"/>
        <v>1</v>
      </c>
      <c r="AS160" s="10" t="s">
        <v>27</v>
      </c>
      <c r="AT160" s="10">
        <f t="shared" si="25"/>
        <v>0</v>
      </c>
      <c r="AU160" s="10">
        <f t="shared" si="26"/>
        <v>0</v>
      </c>
      <c r="AV160" s="11">
        <v>11.962484999999999</v>
      </c>
      <c r="AW160" s="11">
        <v>62.208300000000008</v>
      </c>
      <c r="AX160" s="11">
        <v>9.1667389999999997</v>
      </c>
      <c r="AY160" s="10">
        <v>66</v>
      </c>
      <c r="AZ160" t="s">
        <v>106</v>
      </c>
      <c r="BA160" s="17">
        <f t="shared" si="27"/>
        <v>0</v>
      </c>
      <c r="BB160" s="17">
        <f t="shared" si="28"/>
        <v>1</v>
      </c>
      <c r="BC160" s="17">
        <f t="shared" si="29"/>
        <v>0</v>
      </c>
      <c r="BG160" s="14">
        <v>0</v>
      </c>
      <c r="BH160" s="14">
        <v>1</v>
      </c>
      <c r="BI160" s="14">
        <v>0</v>
      </c>
      <c r="BJ160" s="14">
        <v>0</v>
      </c>
      <c r="BK160" s="14">
        <v>1</v>
      </c>
      <c r="BL160" s="14">
        <v>0</v>
      </c>
      <c r="BM160" s="14">
        <v>0</v>
      </c>
      <c r="BN160" s="14">
        <v>0</v>
      </c>
      <c r="BO160" s="14">
        <v>1</v>
      </c>
      <c r="BP160" s="14">
        <v>0</v>
      </c>
      <c r="BQ160" s="11">
        <v>11.962484999999999</v>
      </c>
      <c r="BR160" s="11">
        <v>62.208300000000008</v>
      </c>
      <c r="BS160" s="11">
        <v>9.1667389999999997</v>
      </c>
      <c r="BT160" s="10">
        <v>66</v>
      </c>
    </row>
    <row r="161" spans="4:72" ht="20.149999999999999" customHeight="1">
      <c r="D161" s="10">
        <v>71</v>
      </c>
      <c r="E161" s="11">
        <v>32.925014999999995</v>
      </c>
      <c r="F161" s="11">
        <v>82.956500000000005</v>
      </c>
      <c r="G161" s="10">
        <v>71</v>
      </c>
      <c r="AK161" s="10" t="s">
        <v>30</v>
      </c>
      <c r="AL161" s="10">
        <f t="shared" si="20"/>
        <v>0</v>
      </c>
      <c r="AM161" s="10">
        <f t="shared" si="21"/>
        <v>1</v>
      </c>
      <c r="AN161" s="10">
        <f t="shared" si="22"/>
        <v>0</v>
      </c>
      <c r="AO161" s="10" t="s">
        <v>24</v>
      </c>
      <c r="AP161" s="10">
        <f t="shared" si="23"/>
        <v>0</v>
      </c>
      <c r="AQ161" s="10" t="s">
        <v>11</v>
      </c>
      <c r="AR161" s="10">
        <f t="shared" si="24"/>
        <v>1</v>
      </c>
      <c r="AS161" s="10" t="s">
        <v>26</v>
      </c>
      <c r="AT161" s="10">
        <f t="shared" si="25"/>
        <v>1</v>
      </c>
      <c r="AU161" s="10">
        <f t="shared" si="26"/>
        <v>0</v>
      </c>
      <c r="AV161" s="11">
        <v>13.087485000000001</v>
      </c>
      <c r="AW161" s="11">
        <v>56.833299999999994</v>
      </c>
      <c r="AX161" s="11">
        <v>10.042161</v>
      </c>
      <c r="AY161" s="10">
        <v>72</v>
      </c>
      <c r="AZ161" t="s">
        <v>104</v>
      </c>
      <c r="BA161" s="17">
        <f t="shared" si="27"/>
        <v>0</v>
      </c>
      <c r="BB161" s="17">
        <f t="shared" si="28"/>
        <v>0</v>
      </c>
      <c r="BC161" s="17">
        <f t="shared" si="29"/>
        <v>0</v>
      </c>
      <c r="BG161" s="14">
        <v>0</v>
      </c>
      <c r="BH161" s="14">
        <v>1</v>
      </c>
      <c r="BI161" s="14">
        <v>0</v>
      </c>
      <c r="BJ161" s="14">
        <v>0</v>
      </c>
      <c r="BK161" s="14">
        <v>1</v>
      </c>
      <c r="BL161" s="14">
        <v>1</v>
      </c>
      <c r="BM161" s="14">
        <v>0</v>
      </c>
      <c r="BN161" s="14">
        <v>0</v>
      </c>
      <c r="BO161" s="14">
        <v>0</v>
      </c>
      <c r="BP161" s="14">
        <v>0</v>
      </c>
      <c r="BQ161" s="11">
        <v>13.087485000000001</v>
      </c>
      <c r="BR161" s="11">
        <v>56.833299999999994</v>
      </c>
      <c r="BS161" s="11">
        <v>10.042161</v>
      </c>
      <c r="BT161" s="10">
        <v>72</v>
      </c>
    </row>
    <row r="162" spans="4:72" ht="20.149999999999999" customHeight="1">
      <c r="D162" s="10">
        <v>92</v>
      </c>
      <c r="E162" s="11">
        <v>31.95</v>
      </c>
      <c r="F162" s="11">
        <v>77.541700000000006</v>
      </c>
      <c r="G162" s="10">
        <v>92</v>
      </c>
      <c r="AK162" s="10" t="s">
        <v>30</v>
      </c>
      <c r="AL162" s="10">
        <f t="shared" si="20"/>
        <v>0</v>
      </c>
      <c r="AM162" s="10">
        <f t="shared" si="21"/>
        <v>1</v>
      </c>
      <c r="AN162" s="10">
        <f t="shared" si="22"/>
        <v>0</v>
      </c>
      <c r="AO162" s="10" t="s">
        <v>24</v>
      </c>
      <c r="AP162" s="10">
        <f t="shared" si="23"/>
        <v>0</v>
      </c>
      <c r="AQ162" s="10" t="s">
        <v>11</v>
      </c>
      <c r="AR162" s="10">
        <f t="shared" si="24"/>
        <v>1</v>
      </c>
      <c r="AS162" s="10" t="s">
        <v>27</v>
      </c>
      <c r="AT162" s="10">
        <f t="shared" si="25"/>
        <v>0</v>
      </c>
      <c r="AU162" s="10">
        <f t="shared" si="26"/>
        <v>0</v>
      </c>
      <c r="AV162" s="11">
        <v>12.375000000000002</v>
      </c>
      <c r="AW162" s="11">
        <v>60.5</v>
      </c>
      <c r="AX162" s="11">
        <v>9.4171180000000003</v>
      </c>
      <c r="AY162" s="10">
        <v>64</v>
      </c>
      <c r="AZ162" t="s">
        <v>106</v>
      </c>
      <c r="BA162" s="17">
        <f t="shared" si="27"/>
        <v>0</v>
      </c>
      <c r="BB162" s="17">
        <f t="shared" si="28"/>
        <v>1</v>
      </c>
      <c r="BC162" s="17">
        <f t="shared" si="29"/>
        <v>0</v>
      </c>
      <c r="BG162" s="14">
        <v>0</v>
      </c>
      <c r="BH162" s="14">
        <v>1</v>
      </c>
      <c r="BI162" s="14">
        <v>0</v>
      </c>
      <c r="BJ162" s="14">
        <v>0</v>
      </c>
      <c r="BK162" s="14">
        <v>1</v>
      </c>
      <c r="BL162" s="14">
        <v>0</v>
      </c>
      <c r="BM162" s="14">
        <v>0</v>
      </c>
      <c r="BN162" s="14">
        <v>0</v>
      </c>
      <c r="BO162" s="14">
        <v>1</v>
      </c>
      <c r="BP162" s="14">
        <v>0</v>
      </c>
      <c r="BQ162" s="11">
        <v>12.375000000000002</v>
      </c>
      <c r="BR162" s="11">
        <v>60.5</v>
      </c>
      <c r="BS162" s="11">
        <v>9.4171180000000003</v>
      </c>
      <c r="BT162" s="10">
        <v>64</v>
      </c>
    </row>
    <row r="163" spans="4:72" ht="20.149999999999999" customHeight="1">
      <c r="D163" s="10">
        <v>97</v>
      </c>
      <c r="E163" s="11">
        <v>31.987485000000003</v>
      </c>
      <c r="F163" s="11">
        <v>43.782600000000002</v>
      </c>
      <c r="G163" s="10">
        <v>97</v>
      </c>
      <c r="AK163" s="10" t="s">
        <v>30</v>
      </c>
      <c r="AL163" s="10">
        <f t="shared" si="20"/>
        <v>0</v>
      </c>
      <c r="AM163" s="10">
        <f t="shared" si="21"/>
        <v>1</v>
      </c>
      <c r="AN163" s="10">
        <f t="shared" si="22"/>
        <v>0</v>
      </c>
      <c r="AO163" s="10" t="s">
        <v>24</v>
      </c>
      <c r="AP163" s="10">
        <f t="shared" si="23"/>
        <v>0</v>
      </c>
      <c r="AQ163" s="10" t="s">
        <v>25</v>
      </c>
      <c r="AR163" s="10">
        <f t="shared" si="24"/>
        <v>0</v>
      </c>
      <c r="AS163" s="10" t="s">
        <v>27</v>
      </c>
      <c r="AT163" s="10">
        <f t="shared" si="25"/>
        <v>0</v>
      </c>
      <c r="AU163" s="10">
        <f t="shared" si="26"/>
        <v>0</v>
      </c>
      <c r="AV163" s="11">
        <v>9.9374850000000006</v>
      </c>
      <c r="AW163" s="11">
        <v>65.458300000000008</v>
      </c>
      <c r="AX163" s="11">
        <v>10.374949999999998</v>
      </c>
      <c r="AY163" s="10">
        <v>55</v>
      </c>
      <c r="AZ163" t="s">
        <v>106</v>
      </c>
      <c r="BA163" s="17">
        <f t="shared" si="27"/>
        <v>0</v>
      </c>
      <c r="BB163" s="17">
        <f t="shared" si="28"/>
        <v>1</v>
      </c>
      <c r="BC163" s="17">
        <f t="shared" si="29"/>
        <v>0</v>
      </c>
      <c r="BG163" s="14">
        <v>0</v>
      </c>
      <c r="BH163" s="14">
        <v>1</v>
      </c>
      <c r="BI163" s="14">
        <v>0</v>
      </c>
      <c r="BJ163" s="14">
        <v>0</v>
      </c>
      <c r="BK163" s="14">
        <v>0</v>
      </c>
      <c r="BL163" s="14">
        <v>0</v>
      </c>
      <c r="BM163" s="14">
        <v>0</v>
      </c>
      <c r="BN163" s="14">
        <v>0</v>
      </c>
      <c r="BO163" s="14">
        <v>1</v>
      </c>
      <c r="BP163" s="14">
        <v>0</v>
      </c>
      <c r="BQ163" s="11">
        <v>9.9374850000000006</v>
      </c>
      <c r="BR163" s="11">
        <v>65.458300000000008</v>
      </c>
      <c r="BS163" s="11">
        <v>10.374949999999998</v>
      </c>
      <c r="BT163" s="10">
        <v>55</v>
      </c>
    </row>
    <row r="164" spans="4:72" ht="20.149999999999999" customHeight="1">
      <c r="D164" s="10">
        <v>85</v>
      </c>
      <c r="E164" s="11">
        <v>32.250015000000005</v>
      </c>
      <c r="F164" s="11">
        <v>58.521699999999996</v>
      </c>
      <c r="G164" s="10">
        <v>85</v>
      </c>
      <c r="J164" s="103"/>
      <c r="AK164" s="10" t="s">
        <v>30</v>
      </c>
      <c r="AL164" s="10">
        <f t="shared" si="20"/>
        <v>0</v>
      </c>
      <c r="AM164" s="10">
        <f t="shared" si="21"/>
        <v>1</v>
      </c>
      <c r="AN164" s="10">
        <f t="shared" si="22"/>
        <v>0</v>
      </c>
      <c r="AO164" s="10" t="s">
        <v>24</v>
      </c>
      <c r="AP164" s="10">
        <f t="shared" si="23"/>
        <v>0</v>
      </c>
      <c r="AQ164" s="10" t="s">
        <v>25</v>
      </c>
      <c r="AR164" s="10">
        <f t="shared" si="24"/>
        <v>0</v>
      </c>
      <c r="AS164" s="10" t="s">
        <v>27</v>
      </c>
      <c r="AT164" s="10">
        <f t="shared" si="25"/>
        <v>0</v>
      </c>
      <c r="AU164" s="10">
        <f t="shared" si="26"/>
        <v>0</v>
      </c>
      <c r="AV164" s="11">
        <v>10.724985</v>
      </c>
      <c r="AW164" s="11">
        <v>74.791700000000006</v>
      </c>
      <c r="AX164" s="11">
        <v>10.958988999999999</v>
      </c>
      <c r="AY164" s="10">
        <v>66</v>
      </c>
      <c r="AZ164" t="s">
        <v>106</v>
      </c>
      <c r="BA164" s="17">
        <f t="shared" si="27"/>
        <v>0</v>
      </c>
      <c r="BB164" s="17">
        <f t="shared" si="28"/>
        <v>1</v>
      </c>
      <c r="BC164" s="17">
        <f t="shared" si="29"/>
        <v>0</v>
      </c>
      <c r="BG164" s="14">
        <v>0</v>
      </c>
      <c r="BH164" s="14">
        <v>1</v>
      </c>
      <c r="BI164" s="14">
        <v>0</v>
      </c>
      <c r="BJ164" s="14">
        <v>0</v>
      </c>
      <c r="BK164" s="14">
        <v>0</v>
      </c>
      <c r="BL164" s="14">
        <v>0</v>
      </c>
      <c r="BM164" s="14">
        <v>0</v>
      </c>
      <c r="BN164" s="14">
        <v>0</v>
      </c>
      <c r="BO164" s="14">
        <v>1</v>
      </c>
      <c r="BP164" s="14">
        <v>0</v>
      </c>
      <c r="BQ164" s="11">
        <v>10.724985</v>
      </c>
      <c r="BR164" s="11">
        <v>74.791700000000006</v>
      </c>
      <c r="BS164" s="11">
        <v>10.958988999999999</v>
      </c>
      <c r="BT164" s="10">
        <v>66</v>
      </c>
    </row>
    <row r="165" spans="4:72" ht="20.149999999999999" customHeight="1">
      <c r="D165" s="10">
        <v>76</v>
      </c>
      <c r="E165" s="11">
        <v>33.412500000000001</v>
      </c>
      <c r="F165" s="11">
        <v>92.916699999999992</v>
      </c>
      <c r="G165" s="10">
        <v>76</v>
      </c>
      <c r="J165" s="103"/>
      <c r="AK165" s="10" t="s">
        <v>30</v>
      </c>
      <c r="AL165" s="10">
        <f t="shared" si="20"/>
        <v>0</v>
      </c>
      <c r="AM165" s="10">
        <f t="shared" si="21"/>
        <v>1</v>
      </c>
      <c r="AN165" s="10">
        <f t="shared" si="22"/>
        <v>0</v>
      </c>
      <c r="AO165" s="10" t="s">
        <v>24</v>
      </c>
      <c r="AP165" s="10">
        <f t="shared" si="23"/>
        <v>0</v>
      </c>
      <c r="AQ165" s="10" t="s">
        <v>11</v>
      </c>
      <c r="AR165" s="10">
        <f t="shared" si="24"/>
        <v>1</v>
      </c>
      <c r="AS165" s="10" t="s">
        <v>27</v>
      </c>
      <c r="AT165" s="10">
        <f t="shared" si="25"/>
        <v>0</v>
      </c>
      <c r="AU165" s="10">
        <f t="shared" si="26"/>
        <v>0</v>
      </c>
      <c r="AV165" s="11">
        <v>12.712499999999999</v>
      </c>
      <c r="AW165" s="11">
        <v>49.458300000000001</v>
      </c>
      <c r="AX165" s="11">
        <v>20.458449999999999</v>
      </c>
      <c r="AY165" s="10">
        <v>70</v>
      </c>
      <c r="AZ165" t="s">
        <v>104</v>
      </c>
      <c r="BA165" s="17">
        <f t="shared" si="27"/>
        <v>0</v>
      </c>
      <c r="BB165" s="17">
        <f t="shared" si="28"/>
        <v>0</v>
      </c>
      <c r="BC165" s="17">
        <f t="shared" si="29"/>
        <v>0</v>
      </c>
      <c r="BG165" s="14">
        <v>0</v>
      </c>
      <c r="BH165" s="14">
        <v>1</v>
      </c>
      <c r="BI165" s="14">
        <v>0</v>
      </c>
      <c r="BJ165" s="14">
        <v>0</v>
      </c>
      <c r="BK165" s="14">
        <v>1</v>
      </c>
      <c r="BL165" s="14">
        <v>0</v>
      </c>
      <c r="BM165" s="14">
        <v>0</v>
      </c>
      <c r="BN165" s="14">
        <v>0</v>
      </c>
      <c r="BO165" s="14">
        <v>0</v>
      </c>
      <c r="BP165" s="14">
        <v>0</v>
      </c>
      <c r="BQ165" s="11">
        <v>12.712499999999999</v>
      </c>
      <c r="BR165" s="11">
        <v>49.458300000000001</v>
      </c>
      <c r="BS165" s="11">
        <v>20.458449999999999</v>
      </c>
      <c r="BT165" s="10">
        <v>70</v>
      </c>
    </row>
    <row r="166" spans="4:72" ht="20.149999999999999" customHeight="1">
      <c r="D166" s="10">
        <v>87</v>
      </c>
      <c r="E166" s="11">
        <v>34.424999999999997</v>
      </c>
      <c r="F166" s="11">
        <v>56.833299999999994</v>
      </c>
      <c r="G166" s="10">
        <v>87</v>
      </c>
      <c r="J166" s="103"/>
      <c r="AK166" s="10" t="s">
        <v>30</v>
      </c>
      <c r="AL166" s="10">
        <f t="shared" si="20"/>
        <v>0</v>
      </c>
      <c r="AM166" s="10">
        <f t="shared" si="21"/>
        <v>1</v>
      </c>
      <c r="AN166" s="10">
        <f t="shared" si="22"/>
        <v>0</v>
      </c>
      <c r="AO166" s="10" t="s">
        <v>24</v>
      </c>
      <c r="AP166" s="10">
        <f t="shared" si="23"/>
        <v>0</v>
      </c>
      <c r="AQ166" s="10" t="s">
        <v>11</v>
      </c>
      <c r="AR166" s="10">
        <f t="shared" si="24"/>
        <v>1</v>
      </c>
      <c r="AS166" s="10" t="s">
        <v>27</v>
      </c>
      <c r="AT166" s="10">
        <f t="shared" si="25"/>
        <v>0</v>
      </c>
      <c r="AU166" s="10">
        <f t="shared" si="26"/>
        <v>0</v>
      </c>
      <c r="AV166" s="11">
        <v>14.2875</v>
      </c>
      <c r="AW166" s="11">
        <v>50.708299999999994</v>
      </c>
      <c r="AX166" s="11">
        <v>18.041961000000001</v>
      </c>
      <c r="AY166" s="10">
        <v>75</v>
      </c>
      <c r="AZ166" t="s">
        <v>104</v>
      </c>
      <c r="BA166" s="17">
        <f t="shared" si="27"/>
        <v>0</v>
      </c>
      <c r="BB166" s="17">
        <f t="shared" si="28"/>
        <v>0</v>
      </c>
      <c r="BC166" s="17">
        <f t="shared" si="29"/>
        <v>0</v>
      </c>
      <c r="BG166" s="14">
        <v>0</v>
      </c>
      <c r="BH166" s="14">
        <v>1</v>
      </c>
      <c r="BI166" s="14">
        <v>0</v>
      </c>
      <c r="BJ166" s="14">
        <v>0</v>
      </c>
      <c r="BK166" s="14">
        <v>1</v>
      </c>
      <c r="BL166" s="14">
        <v>0</v>
      </c>
      <c r="BM166" s="14">
        <v>0</v>
      </c>
      <c r="BN166" s="14">
        <v>0</v>
      </c>
      <c r="BO166" s="14">
        <v>0</v>
      </c>
      <c r="BP166" s="14">
        <v>0</v>
      </c>
      <c r="BQ166" s="11">
        <v>14.2875</v>
      </c>
      <c r="BR166" s="11">
        <v>50.708299999999994</v>
      </c>
      <c r="BS166" s="11">
        <v>18.041961000000001</v>
      </c>
      <c r="BT166" s="10">
        <v>75</v>
      </c>
    </row>
    <row r="167" spans="4:72" ht="20.149999999999999" customHeight="1">
      <c r="D167" s="10">
        <v>92</v>
      </c>
      <c r="E167" s="11">
        <v>34.875</v>
      </c>
      <c r="F167" s="11">
        <v>73.833300000000008</v>
      </c>
      <c r="G167" s="10">
        <v>92</v>
      </c>
      <c r="J167" s="103"/>
      <c r="AK167" s="10" t="s">
        <v>30</v>
      </c>
      <c r="AL167" s="10">
        <f t="shared" si="20"/>
        <v>0</v>
      </c>
      <c r="AM167" s="10">
        <f t="shared" si="21"/>
        <v>1</v>
      </c>
      <c r="AN167" s="10">
        <f t="shared" si="22"/>
        <v>0</v>
      </c>
      <c r="AO167" s="10" t="s">
        <v>24</v>
      </c>
      <c r="AP167" s="10">
        <f t="shared" si="23"/>
        <v>0</v>
      </c>
      <c r="AQ167" s="10" t="s">
        <v>11</v>
      </c>
      <c r="AR167" s="10">
        <f t="shared" si="24"/>
        <v>1</v>
      </c>
      <c r="AS167" s="10" t="s">
        <v>27</v>
      </c>
      <c r="AT167" s="10">
        <f t="shared" si="25"/>
        <v>0</v>
      </c>
      <c r="AU167" s="10">
        <f t="shared" si="26"/>
        <v>0</v>
      </c>
      <c r="AV167" s="11">
        <v>19.012499999999999</v>
      </c>
      <c r="AW167" s="11">
        <v>47.166699999999999</v>
      </c>
      <c r="AX167" s="11">
        <v>11.250104</v>
      </c>
      <c r="AY167" s="10">
        <v>75</v>
      </c>
      <c r="AZ167" t="s">
        <v>104</v>
      </c>
      <c r="BA167" s="17">
        <f t="shared" si="27"/>
        <v>0</v>
      </c>
      <c r="BB167" s="17">
        <f t="shared" si="28"/>
        <v>0</v>
      </c>
      <c r="BC167" s="17">
        <f t="shared" si="29"/>
        <v>0</v>
      </c>
      <c r="BG167" s="14">
        <v>0</v>
      </c>
      <c r="BH167" s="14">
        <v>1</v>
      </c>
      <c r="BI167" s="14">
        <v>0</v>
      </c>
      <c r="BJ167" s="14">
        <v>0</v>
      </c>
      <c r="BK167" s="14">
        <v>1</v>
      </c>
      <c r="BL167" s="14">
        <v>0</v>
      </c>
      <c r="BM167" s="14">
        <v>0</v>
      </c>
      <c r="BN167" s="14">
        <v>0</v>
      </c>
      <c r="BO167" s="14">
        <v>0</v>
      </c>
      <c r="BP167" s="14">
        <v>0</v>
      </c>
      <c r="BQ167" s="11">
        <v>19.012499999999999</v>
      </c>
      <c r="BR167" s="11">
        <v>47.166699999999999</v>
      </c>
      <c r="BS167" s="11">
        <v>11.250104</v>
      </c>
      <c r="BT167" s="10">
        <v>75</v>
      </c>
    </row>
    <row r="168" spans="4:72" ht="20.149999999999999" customHeight="1">
      <c r="D168" s="10">
        <v>96</v>
      </c>
      <c r="E168" s="11">
        <v>34.500014999999998</v>
      </c>
      <c r="F168" s="11">
        <v>53.791699999999999</v>
      </c>
      <c r="G168" s="10">
        <v>96</v>
      </c>
      <c r="J168" s="103"/>
      <c r="AK168" s="10" t="s">
        <v>30</v>
      </c>
      <c r="AL168" s="10">
        <f t="shared" si="20"/>
        <v>0</v>
      </c>
      <c r="AM168" s="10">
        <f t="shared" si="21"/>
        <v>1</v>
      </c>
      <c r="AN168" s="10">
        <f t="shared" si="22"/>
        <v>0</v>
      </c>
      <c r="AO168" s="10" t="s">
        <v>24</v>
      </c>
      <c r="AP168" s="10">
        <f t="shared" si="23"/>
        <v>0</v>
      </c>
      <c r="AQ168" s="10" t="s">
        <v>11</v>
      </c>
      <c r="AR168" s="10">
        <f t="shared" si="24"/>
        <v>1</v>
      </c>
      <c r="AS168" s="10" t="s">
        <v>26</v>
      </c>
      <c r="AT168" s="10">
        <f t="shared" si="25"/>
        <v>1</v>
      </c>
      <c r="AU168" s="10">
        <f t="shared" si="26"/>
        <v>0</v>
      </c>
      <c r="AV168" s="11">
        <v>16.875</v>
      </c>
      <c r="AW168" s="11">
        <v>68.833299999999994</v>
      </c>
      <c r="AX168" s="11">
        <v>13.833556999999999</v>
      </c>
      <c r="AY168" s="10">
        <v>72</v>
      </c>
      <c r="AZ168" t="s">
        <v>104</v>
      </c>
      <c r="BA168" s="17">
        <f t="shared" si="27"/>
        <v>0</v>
      </c>
      <c r="BB168" s="17">
        <f t="shared" si="28"/>
        <v>0</v>
      </c>
      <c r="BC168" s="17">
        <f t="shared" si="29"/>
        <v>0</v>
      </c>
      <c r="BG168" s="14">
        <v>0</v>
      </c>
      <c r="BH168" s="14">
        <v>1</v>
      </c>
      <c r="BI168" s="14">
        <v>0</v>
      </c>
      <c r="BJ168" s="14">
        <v>0</v>
      </c>
      <c r="BK168" s="14">
        <v>1</v>
      </c>
      <c r="BL168" s="14">
        <v>1</v>
      </c>
      <c r="BM168" s="14">
        <v>0</v>
      </c>
      <c r="BN168" s="14">
        <v>0</v>
      </c>
      <c r="BO168" s="14">
        <v>0</v>
      </c>
      <c r="BP168" s="14">
        <v>0</v>
      </c>
      <c r="BQ168" s="11">
        <v>16.875</v>
      </c>
      <c r="BR168" s="11">
        <v>68.833299999999994</v>
      </c>
      <c r="BS168" s="11">
        <v>13.833556999999999</v>
      </c>
      <c r="BT168" s="10">
        <v>72</v>
      </c>
    </row>
    <row r="169" spans="4:72" ht="20.149999999999999" customHeight="1">
      <c r="D169" s="10">
        <v>96</v>
      </c>
      <c r="E169" s="11">
        <v>32.287500000000001</v>
      </c>
      <c r="F169" s="11">
        <v>49.478299999999997</v>
      </c>
      <c r="G169" s="10">
        <v>96</v>
      </c>
      <c r="J169" s="103"/>
      <c r="K169" s="86"/>
      <c r="AK169" s="10" t="s">
        <v>30</v>
      </c>
      <c r="AL169" s="10">
        <f t="shared" si="20"/>
        <v>0</v>
      </c>
      <c r="AM169" s="10">
        <f t="shared" si="21"/>
        <v>1</v>
      </c>
      <c r="AN169" s="10">
        <f t="shared" si="22"/>
        <v>0</v>
      </c>
      <c r="AO169" s="10" t="s">
        <v>24</v>
      </c>
      <c r="AP169" s="10">
        <f t="shared" si="23"/>
        <v>0</v>
      </c>
      <c r="AQ169" s="10" t="s">
        <v>11</v>
      </c>
      <c r="AR169" s="10">
        <f t="shared" si="24"/>
        <v>1</v>
      </c>
      <c r="AS169" s="10" t="s">
        <v>27</v>
      </c>
      <c r="AT169" s="10">
        <f t="shared" si="25"/>
        <v>0</v>
      </c>
      <c r="AU169" s="10">
        <f t="shared" si="26"/>
        <v>0</v>
      </c>
      <c r="AV169" s="11">
        <v>11.624984999999999</v>
      </c>
      <c r="AW169" s="11">
        <v>73.583299999999994</v>
      </c>
      <c r="AX169" s="11">
        <v>9.5829429999999984</v>
      </c>
      <c r="AY169" s="10">
        <v>55</v>
      </c>
      <c r="AZ169" t="s">
        <v>106</v>
      </c>
      <c r="BA169" s="17">
        <f t="shared" si="27"/>
        <v>0</v>
      </c>
      <c r="BB169" s="17">
        <f t="shared" si="28"/>
        <v>1</v>
      </c>
      <c r="BC169" s="17">
        <f t="shared" si="29"/>
        <v>0</v>
      </c>
      <c r="BG169" s="14">
        <v>0</v>
      </c>
      <c r="BH169" s="14">
        <v>1</v>
      </c>
      <c r="BI169" s="14">
        <v>0</v>
      </c>
      <c r="BJ169" s="14">
        <v>0</v>
      </c>
      <c r="BK169" s="14">
        <v>1</v>
      </c>
      <c r="BL169" s="14">
        <v>0</v>
      </c>
      <c r="BM169" s="14">
        <v>0</v>
      </c>
      <c r="BN169" s="14">
        <v>0</v>
      </c>
      <c r="BO169" s="14">
        <v>1</v>
      </c>
      <c r="BP169" s="14">
        <v>0</v>
      </c>
      <c r="BQ169" s="11">
        <v>11.624984999999999</v>
      </c>
      <c r="BR169" s="11">
        <v>73.583299999999994</v>
      </c>
      <c r="BS169" s="11">
        <v>9.5829429999999984</v>
      </c>
      <c r="BT169" s="10">
        <v>55</v>
      </c>
    </row>
    <row r="170" spans="4:72" ht="20.149999999999999" customHeight="1">
      <c r="D170" s="10">
        <v>98</v>
      </c>
      <c r="E170" s="11">
        <v>31.874984999999999</v>
      </c>
      <c r="F170" s="11">
        <v>43.739100000000001</v>
      </c>
      <c r="G170" s="10">
        <v>98</v>
      </c>
      <c r="J170" s="103"/>
      <c r="K170" s="86"/>
      <c r="AK170" s="10" t="s">
        <v>30</v>
      </c>
      <c r="AL170" s="10">
        <f t="shared" si="20"/>
        <v>0</v>
      </c>
      <c r="AM170" s="10">
        <f t="shared" si="21"/>
        <v>1</v>
      </c>
      <c r="AN170" s="10">
        <f t="shared" si="22"/>
        <v>0</v>
      </c>
      <c r="AO170" s="10" t="s">
        <v>24</v>
      </c>
      <c r="AP170" s="10">
        <f t="shared" si="23"/>
        <v>0</v>
      </c>
      <c r="AQ170" s="10" t="s">
        <v>25</v>
      </c>
      <c r="AR170" s="10">
        <f t="shared" si="24"/>
        <v>0</v>
      </c>
      <c r="AS170" s="10" t="s">
        <v>27</v>
      </c>
      <c r="AT170" s="10">
        <f t="shared" si="25"/>
        <v>0</v>
      </c>
      <c r="AU170" s="10">
        <f t="shared" si="26"/>
        <v>0</v>
      </c>
      <c r="AV170" s="11">
        <v>10.724985</v>
      </c>
      <c r="AW170" s="11">
        <v>67.041700000000006</v>
      </c>
      <c r="AX170" s="11">
        <v>8.0003360000000008</v>
      </c>
      <c r="AY170" s="10">
        <v>48</v>
      </c>
      <c r="AZ170" t="s">
        <v>106</v>
      </c>
      <c r="BA170" s="17">
        <f t="shared" si="27"/>
        <v>0</v>
      </c>
      <c r="BB170" s="17">
        <f t="shared" si="28"/>
        <v>1</v>
      </c>
      <c r="BC170" s="17">
        <f t="shared" si="29"/>
        <v>0</v>
      </c>
      <c r="BG170" s="14">
        <v>0</v>
      </c>
      <c r="BH170" s="14">
        <v>1</v>
      </c>
      <c r="BI170" s="14">
        <v>0</v>
      </c>
      <c r="BJ170" s="14">
        <v>0</v>
      </c>
      <c r="BK170" s="14">
        <v>0</v>
      </c>
      <c r="BL170" s="14">
        <v>0</v>
      </c>
      <c r="BM170" s="14">
        <v>0</v>
      </c>
      <c r="BN170" s="14">
        <v>0</v>
      </c>
      <c r="BO170" s="14">
        <v>1</v>
      </c>
      <c r="BP170" s="14">
        <v>0</v>
      </c>
      <c r="BQ170" s="11">
        <v>10.724985</v>
      </c>
      <c r="BR170" s="11">
        <v>67.041700000000006</v>
      </c>
      <c r="BS170" s="11">
        <v>8.0003360000000008</v>
      </c>
      <c r="BT170" s="10">
        <v>48</v>
      </c>
    </row>
    <row r="171" spans="4:72" ht="20.149999999999999" customHeight="1">
      <c r="D171" s="10">
        <v>83</v>
      </c>
      <c r="E171" s="11">
        <v>30.862485</v>
      </c>
      <c r="F171" s="11">
        <v>50.636400000000002</v>
      </c>
      <c r="G171" s="10">
        <v>83</v>
      </c>
      <c r="J171" s="103"/>
      <c r="K171" s="86"/>
      <c r="AK171" s="10" t="s">
        <v>30</v>
      </c>
      <c r="AL171" s="10">
        <f t="shared" si="20"/>
        <v>0</v>
      </c>
      <c r="AM171" s="10">
        <f t="shared" si="21"/>
        <v>1</v>
      </c>
      <c r="AN171" s="10">
        <f t="shared" si="22"/>
        <v>0</v>
      </c>
      <c r="AO171" s="10" t="s">
        <v>24</v>
      </c>
      <c r="AP171" s="10">
        <f t="shared" si="23"/>
        <v>0</v>
      </c>
      <c r="AQ171" s="10" t="s">
        <v>25</v>
      </c>
      <c r="AR171" s="10">
        <f t="shared" si="24"/>
        <v>0</v>
      </c>
      <c r="AS171" s="10" t="s">
        <v>26</v>
      </c>
      <c r="AT171" s="10">
        <f t="shared" si="25"/>
        <v>1</v>
      </c>
      <c r="AU171" s="10">
        <f t="shared" si="26"/>
        <v>0</v>
      </c>
      <c r="AV171" s="11">
        <v>12.450015</v>
      </c>
      <c r="AW171" s="11">
        <v>66.666700000000006</v>
      </c>
      <c r="AX171" s="11">
        <v>6.8339999999999996</v>
      </c>
      <c r="AY171" s="10">
        <v>68</v>
      </c>
      <c r="AZ171" t="s">
        <v>106</v>
      </c>
      <c r="BA171" s="17">
        <f t="shared" si="27"/>
        <v>0</v>
      </c>
      <c r="BB171" s="17">
        <f t="shared" si="28"/>
        <v>1</v>
      </c>
      <c r="BC171" s="17">
        <f t="shared" si="29"/>
        <v>0</v>
      </c>
      <c r="BG171" s="14">
        <v>0</v>
      </c>
      <c r="BH171" s="14">
        <v>1</v>
      </c>
      <c r="BI171" s="14">
        <v>0</v>
      </c>
      <c r="BJ171" s="14">
        <v>0</v>
      </c>
      <c r="BK171" s="14">
        <v>0</v>
      </c>
      <c r="BL171" s="14">
        <v>1</v>
      </c>
      <c r="BM171" s="14">
        <v>0</v>
      </c>
      <c r="BN171" s="14">
        <v>0</v>
      </c>
      <c r="BO171" s="14">
        <v>1</v>
      </c>
      <c r="BP171" s="14">
        <v>0</v>
      </c>
      <c r="BQ171" s="11">
        <v>12.450015</v>
      </c>
      <c r="BR171" s="11">
        <v>66.666700000000006</v>
      </c>
      <c r="BS171" s="11">
        <v>6.8339999999999996</v>
      </c>
      <c r="BT171" s="10">
        <v>68</v>
      </c>
    </row>
    <row r="172" spans="4:72" ht="20.149999999999999" customHeight="1">
      <c r="D172" s="10">
        <v>77</v>
      </c>
      <c r="E172" s="11">
        <v>30.450015</v>
      </c>
      <c r="F172" s="11">
        <v>54.416699999999999</v>
      </c>
      <c r="G172" s="10">
        <v>77</v>
      </c>
      <c r="J172" s="103"/>
      <c r="K172" s="86"/>
      <c r="AK172" s="10" t="s">
        <v>30</v>
      </c>
      <c r="AL172" s="10">
        <f t="shared" si="20"/>
        <v>0</v>
      </c>
      <c r="AM172" s="10">
        <f t="shared" si="21"/>
        <v>1</v>
      </c>
      <c r="AN172" s="10">
        <f t="shared" si="22"/>
        <v>0</v>
      </c>
      <c r="AO172" s="10" t="s">
        <v>24</v>
      </c>
      <c r="AP172" s="10">
        <f t="shared" si="23"/>
        <v>0</v>
      </c>
      <c r="AQ172" s="10" t="s">
        <v>11</v>
      </c>
      <c r="AR172" s="10">
        <f t="shared" si="24"/>
        <v>1</v>
      </c>
      <c r="AS172" s="10" t="s">
        <v>26</v>
      </c>
      <c r="AT172" s="10">
        <f t="shared" si="25"/>
        <v>1</v>
      </c>
      <c r="AU172" s="10">
        <f t="shared" si="26"/>
        <v>0</v>
      </c>
      <c r="AV172" s="11">
        <v>17.362485</v>
      </c>
      <c r="AW172" s="11">
        <v>74.625</v>
      </c>
      <c r="AX172" s="11">
        <v>10.416824999999999</v>
      </c>
      <c r="AY172" s="10">
        <v>75</v>
      </c>
      <c r="AZ172" t="s">
        <v>104</v>
      </c>
      <c r="BA172" s="17">
        <f t="shared" si="27"/>
        <v>0</v>
      </c>
      <c r="BB172" s="17">
        <f t="shared" si="28"/>
        <v>0</v>
      </c>
      <c r="BC172" s="17">
        <f t="shared" si="29"/>
        <v>0</v>
      </c>
      <c r="BG172" s="14">
        <v>0</v>
      </c>
      <c r="BH172" s="14">
        <v>1</v>
      </c>
      <c r="BI172" s="14">
        <v>0</v>
      </c>
      <c r="BJ172" s="14">
        <v>0</v>
      </c>
      <c r="BK172" s="14">
        <v>1</v>
      </c>
      <c r="BL172" s="14">
        <v>1</v>
      </c>
      <c r="BM172" s="14">
        <v>0</v>
      </c>
      <c r="BN172" s="14">
        <v>0</v>
      </c>
      <c r="BO172" s="14">
        <v>0</v>
      </c>
      <c r="BP172" s="14">
        <v>0</v>
      </c>
      <c r="BQ172" s="11">
        <v>17.362485</v>
      </c>
      <c r="BR172" s="11">
        <v>74.625</v>
      </c>
      <c r="BS172" s="11">
        <v>10.416824999999999</v>
      </c>
      <c r="BT172" s="10">
        <v>75</v>
      </c>
    </row>
    <row r="173" spans="4:72" ht="20.149999999999999" customHeight="1">
      <c r="D173" s="10">
        <v>87</v>
      </c>
      <c r="E173" s="11">
        <v>29.962485000000001</v>
      </c>
      <c r="F173" s="11">
        <v>45.739100000000001</v>
      </c>
      <c r="G173" s="10">
        <v>87</v>
      </c>
      <c r="J173" s="103"/>
      <c r="K173" s="86"/>
      <c r="AK173" s="10" t="s">
        <v>30</v>
      </c>
      <c r="AL173" s="10">
        <f t="shared" si="20"/>
        <v>0</v>
      </c>
      <c r="AM173" s="10">
        <f t="shared" si="21"/>
        <v>1</v>
      </c>
      <c r="AN173" s="10">
        <f t="shared" si="22"/>
        <v>0</v>
      </c>
      <c r="AO173" s="10" t="s">
        <v>24</v>
      </c>
      <c r="AP173" s="10">
        <f t="shared" si="23"/>
        <v>0</v>
      </c>
      <c r="AQ173" s="10" t="s">
        <v>11</v>
      </c>
      <c r="AR173" s="10">
        <f t="shared" si="24"/>
        <v>1</v>
      </c>
      <c r="AS173" s="10" t="s">
        <v>26</v>
      </c>
      <c r="AT173" s="10">
        <f t="shared" si="25"/>
        <v>1</v>
      </c>
      <c r="AU173" s="10">
        <f t="shared" si="26"/>
        <v>0</v>
      </c>
      <c r="AV173" s="11">
        <v>19.274985000000001</v>
      </c>
      <c r="AW173" s="11">
        <v>77.041700000000006</v>
      </c>
      <c r="AX173" s="11">
        <v>11.458675000000001</v>
      </c>
      <c r="AY173" s="10">
        <v>53</v>
      </c>
      <c r="AZ173" t="s">
        <v>106</v>
      </c>
      <c r="BA173" s="17">
        <f t="shared" si="27"/>
        <v>0</v>
      </c>
      <c r="BB173" s="17">
        <f t="shared" si="28"/>
        <v>1</v>
      </c>
      <c r="BC173" s="17">
        <f t="shared" si="29"/>
        <v>0</v>
      </c>
      <c r="BG173" s="14">
        <v>0</v>
      </c>
      <c r="BH173" s="14">
        <v>1</v>
      </c>
      <c r="BI173" s="14">
        <v>0</v>
      </c>
      <c r="BJ173" s="14">
        <v>0</v>
      </c>
      <c r="BK173" s="14">
        <v>1</v>
      </c>
      <c r="BL173" s="14">
        <v>1</v>
      </c>
      <c r="BM173" s="14">
        <v>0</v>
      </c>
      <c r="BN173" s="14">
        <v>0</v>
      </c>
      <c r="BO173" s="14">
        <v>1</v>
      </c>
      <c r="BP173" s="14">
        <v>0</v>
      </c>
      <c r="BQ173" s="11">
        <v>19.274985000000001</v>
      </c>
      <c r="BR173" s="11">
        <v>77.041700000000006</v>
      </c>
      <c r="BS173" s="11">
        <v>11.458675000000001</v>
      </c>
      <c r="BT173" s="10">
        <v>53</v>
      </c>
    </row>
    <row r="174" spans="4:72" ht="20.149999999999999" customHeight="1">
      <c r="D174" s="10">
        <v>94</v>
      </c>
      <c r="E174" s="11">
        <v>31.537485</v>
      </c>
      <c r="F174" s="11">
        <v>37.583299999999994</v>
      </c>
      <c r="G174" s="10">
        <v>94</v>
      </c>
      <c r="J174" s="103"/>
      <c r="K174" s="86"/>
      <c r="AK174" s="10" t="s">
        <v>30</v>
      </c>
      <c r="AL174" s="10">
        <f t="shared" si="20"/>
        <v>0</v>
      </c>
      <c r="AM174" s="10">
        <f t="shared" si="21"/>
        <v>1</v>
      </c>
      <c r="AN174" s="10">
        <f t="shared" si="22"/>
        <v>0</v>
      </c>
      <c r="AO174" s="10" t="s">
        <v>24</v>
      </c>
      <c r="AP174" s="10">
        <f t="shared" si="23"/>
        <v>0</v>
      </c>
      <c r="AQ174" s="10" t="s">
        <v>11</v>
      </c>
      <c r="AR174" s="10">
        <f t="shared" si="24"/>
        <v>1</v>
      </c>
      <c r="AS174" s="10" t="s">
        <v>27</v>
      </c>
      <c r="AT174" s="10">
        <f t="shared" si="25"/>
        <v>0</v>
      </c>
      <c r="AU174" s="10">
        <f t="shared" si="26"/>
        <v>0</v>
      </c>
      <c r="AV174" s="11">
        <v>19.049985</v>
      </c>
      <c r="AW174" s="11">
        <v>70.75</v>
      </c>
      <c r="AX174" s="11">
        <v>11.541554</v>
      </c>
      <c r="AY174" s="10">
        <v>62</v>
      </c>
      <c r="AZ174" t="s">
        <v>106</v>
      </c>
      <c r="BA174" s="17">
        <f t="shared" si="27"/>
        <v>0</v>
      </c>
      <c r="BB174" s="17">
        <f t="shared" si="28"/>
        <v>1</v>
      </c>
      <c r="BC174" s="17">
        <f t="shared" si="29"/>
        <v>0</v>
      </c>
      <c r="BG174" s="14">
        <v>0</v>
      </c>
      <c r="BH174" s="14">
        <v>1</v>
      </c>
      <c r="BI174" s="14">
        <v>0</v>
      </c>
      <c r="BJ174" s="14">
        <v>0</v>
      </c>
      <c r="BK174" s="14">
        <v>1</v>
      </c>
      <c r="BL174" s="14">
        <v>0</v>
      </c>
      <c r="BM174" s="14">
        <v>0</v>
      </c>
      <c r="BN174" s="14">
        <v>0</v>
      </c>
      <c r="BO174" s="14">
        <v>1</v>
      </c>
      <c r="BP174" s="14">
        <v>0</v>
      </c>
      <c r="BQ174" s="11">
        <v>19.049985</v>
      </c>
      <c r="BR174" s="11">
        <v>70.75</v>
      </c>
      <c r="BS174" s="11">
        <v>11.541554</v>
      </c>
      <c r="BT174" s="10">
        <v>62</v>
      </c>
    </row>
    <row r="175" spans="4:72" ht="20.149999999999999" customHeight="1">
      <c r="D175" s="10">
        <v>94</v>
      </c>
      <c r="E175" s="11">
        <v>32.549985</v>
      </c>
      <c r="F175" s="11">
        <v>31.434800000000003</v>
      </c>
      <c r="G175" s="10">
        <v>94</v>
      </c>
      <c r="J175" s="103"/>
      <c r="K175" s="86"/>
      <c r="AK175" s="10" t="s">
        <v>30</v>
      </c>
      <c r="AL175" s="10">
        <f t="shared" si="20"/>
        <v>0</v>
      </c>
      <c r="AM175" s="10">
        <f t="shared" si="21"/>
        <v>1</v>
      </c>
      <c r="AN175" s="10">
        <f t="shared" si="22"/>
        <v>0</v>
      </c>
      <c r="AO175" s="10" t="s">
        <v>24</v>
      </c>
      <c r="AP175" s="10">
        <f t="shared" si="23"/>
        <v>0</v>
      </c>
      <c r="AQ175" s="10" t="s">
        <v>11</v>
      </c>
      <c r="AR175" s="10">
        <f t="shared" si="24"/>
        <v>1</v>
      </c>
      <c r="AS175" s="10" t="s">
        <v>26</v>
      </c>
      <c r="AT175" s="10">
        <f t="shared" si="25"/>
        <v>1</v>
      </c>
      <c r="AU175" s="10">
        <f t="shared" si="26"/>
        <v>0</v>
      </c>
      <c r="AV175" s="11">
        <v>16.799985</v>
      </c>
      <c r="AW175" s="11">
        <v>70.333299999999994</v>
      </c>
      <c r="AX175" s="11">
        <v>15.999867999999999</v>
      </c>
      <c r="AY175" s="10">
        <v>44</v>
      </c>
      <c r="AZ175" t="s">
        <v>106</v>
      </c>
      <c r="BA175" s="17">
        <f t="shared" si="27"/>
        <v>0</v>
      </c>
      <c r="BB175" s="17">
        <f t="shared" si="28"/>
        <v>1</v>
      </c>
      <c r="BC175" s="17">
        <f t="shared" si="29"/>
        <v>0</v>
      </c>
      <c r="BG175" s="14">
        <v>0</v>
      </c>
      <c r="BH175" s="14">
        <v>1</v>
      </c>
      <c r="BI175" s="14">
        <v>0</v>
      </c>
      <c r="BJ175" s="14">
        <v>0</v>
      </c>
      <c r="BK175" s="14">
        <v>1</v>
      </c>
      <c r="BL175" s="14">
        <v>1</v>
      </c>
      <c r="BM175" s="14">
        <v>0</v>
      </c>
      <c r="BN175" s="14">
        <v>0</v>
      </c>
      <c r="BO175" s="14">
        <v>1</v>
      </c>
      <c r="BP175" s="14">
        <v>0</v>
      </c>
      <c r="BQ175" s="11">
        <v>16.799985</v>
      </c>
      <c r="BR175" s="11">
        <v>70.333299999999994</v>
      </c>
      <c r="BS175" s="11">
        <v>15.999867999999999</v>
      </c>
      <c r="BT175" s="10">
        <v>44</v>
      </c>
    </row>
    <row r="176" spans="4:72" ht="20.149999999999999" customHeight="1">
      <c r="D176" s="10">
        <v>76</v>
      </c>
      <c r="E176" s="11">
        <v>32.025015000000003</v>
      </c>
      <c r="F176" s="11">
        <v>42.347799999999999</v>
      </c>
      <c r="G176" s="10">
        <v>76</v>
      </c>
      <c r="J176" s="103"/>
      <c r="K176" s="86"/>
      <c r="AK176" s="10" t="s">
        <v>30</v>
      </c>
      <c r="AL176" s="10">
        <f t="shared" si="20"/>
        <v>0</v>
      </c>
      <c r="AM176" s="10">
        <f t="shared" si="21"/>
        <v>1</v>
      </c>
      <c r="AN176" s="10">
        <f t="shared" si="22"/>
        <v>0</v>
      </c>
      <c r="AO176" s="10" t="s">
        <v>24</v>
      </c>
      <c r="AP176" s="10">
        <f t="shared" si="23"/>
        <v>0</v>
      </c>
      <c r="AQ176" s="10" t="s">
        <v>11</v>
      </c>
      <c r="AR176" s="10">
        <f t="shared" si="24"/>
        <v>1</v>
      </c>
      <c r="AS176" s="10" t="s">
        <v>27</v>
      </c>
      <c r="AT176" s="10">
        <f t="shared" si="25"/>
        <v>0</v>
      </c>
      <c r="AU176" s="10">
        <f t="shared" si="26"/>
        <v>0</v>
      </c>
      <c r="AV176" s="11">
        <v>13.612499999999999</v>
      </c>
      <c r="AW176" s="11">
        <v>57.333300000000001</v>
      </c>
      <c r="AX176" s="11">
        <v>14.875674999999999</v>
      </c>
      <c r="AY176" s="10">
        <v>20</v>
      </c>
      <c r="AZ176" t="s">
        <v>107</v>
      </c>
      <c r="BA176" s="17">
        <f t="shared" si="27"/>
        <v>1</v>
      </c>
      <c r="BB176" s="17">
        <f t="shared" si="28"/>
        <v>0</v>
      </c>
      <c r="BC176" s="17">
        <f t="shared" si="29"/>
        <v>0</v>
      </c>
      <c r="BG176" s="14">
        <v>0</v>
      </c>
      <c r="BH176" s="14">
        <v>1</v>
      </c>
      <c r="BI176" s="14">
        <v>0</v>
      </c>
      <c r="BJ176" s="14">
        <v>0</v>
      </c>
      <c r="BK176" s="14">
        <v>1</v>
      </c>
      <c r="BL176" s="14">
        <v>0</v>
      </c>
      <c r="BM176" s="14">
        <v>0</v>
      </c>
      <c r="BN176" s="14">
        <v>1</v>
      </c>
      <c r="BO176" s="14">
        <v>0</v>
      </c>
      <c r="BP176" s="14">
        <v>0</v>
      </c>
      <c r="BQ176" s="11">
        <v>13.612499999999999</v>
      </c>
      <c r="BR176" s="11">
        <v>57.333300000000001</v>
      </c>
      <c r="BS176" s="11">
        <v>14.875674999999999</v>
      </c>
      <c r="BT176" s="10">
        <v>20</v>
      </c>
    </row>
    <row r="177" spans="4:72" ht="20.149999999999999" customHeight="1">
      <c r="D177" s="10">
        <v>83</v>
      </c>
      <c r="E177" s="11">
        <v>30.825000000000003</v>
      </c>
      <c r="F177" s="11">
        <v>50.5</v>
      </c>
      <c r="G177" s="10">
        <v>83</v>
      </c>
      <c r="J177" s="103"/>
      <c r="K177" s="86"/>
      <c r="AK177" s="10" t="s">
        <v>30</v>
      </c>
      <c r="AL177" s="10">
        <f t="shared" si="20"/>
        <v>0</v>
      </c>
      <c r="AM177" s="10">
        <f t="shared" si="21"/>
        <v>1</v>
      </c>
      <c r="AN177" s="10">
        <f t="shared" si="22"/>
        <v>0</v>
      </c>
      <c r="AO177" s="10" t="s">
        <v>24</v>
      </c>
      <c r="AP177" s="10">
        <f t="shared" si="23"/>
        <v>0</v>
      </c>
      <c r="AQ177" s="10" t="s">
        <v>25</v>
      </c>
      <c r="AR177" s="10">
        <f t="shared" si="24"/>
        <v>0</v>
      </c>
      <c r="AS177" s="10" t="s">
        <v>27</v>
      </c>
      <c r="AT177" s="10">
        <f t="shared" si="25"/>
        <v>0</v>
      </c>
      <c r="AU177" s="10">
        <f t="shared" si="26"/>
        <v>0</v>
      </c>
      <c r="AV177" s="11">
        <v>12.365235</v>
      </c>
      <c r="AW177" s="11">
        <v>48.333300000000001</v>
      </c>
      <c r="AX177" s="11">
        <v>14.041257</v>
      </c>
      <c r="AY177" s="10">
        <v>15</v>
      </c>
      <c r="AZ177" t="s">
        <v>107</v>
      </c>
      <c r="BA177" s="17">
        <f t="shared" si="27"/>
        <v>1</v>
      </c>
      <c r="BB177" s="17">
        <f t="shared" si="28"/>
        <v>0</v>
      </c>
      <c r="BC177" s="17">
        <f t="shared" si="29"/>
        <v>0</v>
      </c>
      <c r="BG177" s="14">
        <v>0</v>
      </c>
      <c r="BH177" s="14">
        <v>1</v>
      </c>
      <c r="BI177" s="14">
        <v>0</v>
      </c>
      <c r="BJ177" s="14">
        <v>0</v>
      </c>
      <c r="BK177" s="14">
        <v>0</v>
      </c>
      <c r="BL177" s="14">
        <v>0</v>
      </c>
      <c r="BM177" s="14">
        <v>0</v>
      </c>
      <c r="BN177" s="14">
        <v>1</v>
      </c>
      <c r="BO177" s="14">
        <v>0</v>
      </c>
      <c r="BP177" s="14">
        <v>0</v>
      </c>
      <c r="BQ177" s="11">
        <v>12.365235</v>
      </c>
      <c r="BR177" s="11">
        <v>48.333300000000001</v>
      </c>
      <c r="BS177" s="11">
        <v>14.041257</v>
      </c>
      <c r="BT177" s="10">
        <v>15</v>
      </c>
    </row>
    <row r="178" spans="4:72" ht="20.149999999999999" customHeight="1">
      <c r="D178" s="10">
        <v>104</v>
      </c>
      <c r="E178" s="11">
        <v>31.387499999999999</v>
      </c>
      <c r="F178" s="11">
        <v>51.666699999999999</v>
      </c>
      <c r="G178" s="10">
        <v>104</v>
      </c>
      <c r="J178" s="103"/>
      <c r="K178" s="86"/>
      <c r="AK178" s="10" t="s">
        <v>30</v>
      </c>
      <c r="AL178" s="10">
        <f t="shared" si="20"/>
        <v>0</v>
      </c>
      <c r="AM178" s="10">
        <f t="shared" si="21"/>
        <v>1</v>
      </c>
      <c r="AN178" s="10">
        <f t="shared" si="22"/>
        <v>0</v>
      </c>
      <c r="AO178" s="10" t="s">
        <v>24</v>
      </c>
      <c r="AP178" s="10">
        <f t="shared" si="23"/>
        <v>0</v>
      </c>
      <c r="AQ178" s="10" t="s">
        <v>25</v>
      </c>
      <c r="AR178" s="10">
        <f t="shared" si="24"/>
        <v>0</v>
      </c>
      <c r="AS178" s="10" t="s">
        <v>27</v>
      </c>
      <c r="AT178" s="10">
        <f t="shared" si="25"/>
        <v>0</v>
      </c>
      <c r="AU178" s="10">
        <f t="shared" si="26"/>
        <v>0</v>
      </c>
      <c r="AV178" s="11">
        <v>14.478255000000001</v>
      </c>
      <c r="AW178" s="11">
        <v>51.333300000000001</v>
      </c>
      <c r="AX178" s="11">
        <v>6.3337310999999996</v>
      </c>
      <c r="AY178" s="10">
        <v>27</v>
      </c>
      <c r="AZ178" t="s">
        <v>107</v>
      </c>
      <c r="BA178" s="17">
        <f t="shared" si="27"/>
        <v>1</v>
      </c>
      <c r="BB178" s="17">
        <f t="shared" si="28"/>
        <v>0</v>
      </c>
      <c r="BC178" s="17">
        <f t="shared" si="29"/>
        <v>0</v>
      </c>
      <c r="BG178" s="14">
        <v>0</v>
      </c>
      <c r="BH178" s="14">
        <v>1</v>
      </c>
      <c r="BI178" s="14">
        <v>0</v>
      </c>
      <c r="BJ178" s="14">
        <v>0</v>
      </c>
      <c r="BK178" s="14">
        <v>0</v>
      </c>
      <c r="BL178" s="14">
        <v>0</v>
      </c>
      <c r="BM178" s="14">
        <v>0</v>
      </c>
      <c r="BN178" s="14">
        <v>1</v>
      </c>
      <c r="BO178" s="14">
        <v>0</v>
      </c>
      <c r="BP178" s="14">
        <v>0</v>
      </c>
      <c r="BQ178" s="11">
        <v>14.478255000000001</v>
      </c>
      <c r="BR178" s="11">
        <v>51.333300000000001</v>
      </c>
      <c r="BS178" s="11">
        <v>6.3337310999999996</v>
      </c>
      <c r="BT178" s="10">
        <v>27</v>
      </c>
    </row>
    <row r="179" spans="4:72" ht="20.149999999999999" customHeight="1">
      <c r="D179" s="10">
        <v>77</v>
      </c>
      <c r="E179" s="11">
        <v>31.987485000000003</v>
      </c>
      <c r="F179" s="11">
        <v>18.791699999999999</v>
      </c>
      <c r="G179" s="10">
        <v>77</v>
      </c>
      <c r="J179" s="103"/>
      <c r="K179" s="86"/>
      <c r="AK179" s="10" t="s">
        <v>30</v>
      </c>
      <c r="AL179" s="10">
        <f t="shared" si="20"/>
        <v>0</v>
      </c>
      <c r="AM179" s="10">
        <f t="shared" si="21"/>
        <v>1</v>
      </c>
      <c r="AN179" s="10">
        <f t="shared" si="22"/>
        <v>0</v>
      </c>
      <c r="AO179" s="10" t="s">
        <v>24</v>
      </c>
      <c r="AP179" s="10">
        <f t="shared" si="23"/>
        <v>0</v>
      </c>
      <c r="AQ179" s="10" t="s">
        <v>11</v>
      </c>
      <c r="AR179" s="10">
        <f t="shared" si="24"/>
        <v>1</v>
      </c>
      <c r="AS179" s="10" t="s">
        <v>26</v>
      </c>
      <c r="AT179" s="10">
        <f t="shared" si="25"/>
        <v>1</v>
      </c>
      <c r="AU179" s="10">
        <f t="shared" si="26"/>
        <v>0</v>
      </c>
      <c r="AV179" s="11">
        <v>14.625</v>
      </c>
      <c r="AW179" s="11">
        <v>65.833299999999994</v>
      </c>
      <c r="AX179" s="11">
        <v>7.2083960000000005</v>
      </c>
      <c r="AY179" s="10">
        <v>23</v>
      </c>
      <c r="AZ179" t="s">
        <v>107</v>
      </c>
      <c r="BA179" s="17">
        <f t="shared" si="27"/>
        <v>1</v>
      </c>
      <c r="BB179" s="17">
        <f t="shared" si="28"/>
        <v>0</v>
      </c>
      <c r="BC179" s="17">
        <f t="shared" si="29"/>
        <v>0</v>
      </c>
      <c r="BG179" s="14">
        <v>0</v>
      </c>
      <c r="BH179" s="14">
        <v>1</v>
      </c>
      <c r="BI179" s="14">
        <v>0</v>
      </c>
      <c r="BJ179" s="14">
        <v>0</v>
      </c>
      <c r="BK179" s="14">
        <v>1</v>
      </c>
      <c r="BL179" s="14">
        <v>1</v>
      </c>
      <c r="BM179" s="14">
        <v>0</v>
      </c>
      <c r="BN179" s="14">
        <v>1</v>
      </c>
      <c r="BO179" s="14">
        <v>0</v>
      </c>
      <c r="BP179" s="14">
        <v>0</v>
      </c>
      <c r="BQ179" s="11">
        <v>14.625</v>
      </c>
      <c r="BR179" s="11">
        <v>65.833299999999994</v>
      </c>
      <c r="BS179" s="11">
        <v>7.2083960000000005</v>
      </c>
      <c r="BT179" s="10">
        <v>23</v>
      </c>
    </row>
    <row r="180" spans="4:72" ht="20.149999999999999" customHeight="1">
      <c r="D180" s="10">
        <v>96</v>
      </c>
      <c r="E180" s="11">
        <v>31.125015000000001</v>
      </c>
      <c r="F180" s="11">
        <v>40.782600000000002</v>
      </c>
      <c r="G180" s="10">
        <v>96</v>
      </c>
      <c r="J180" s="103"/>
      <c r="K180" s="86"/>
      <c r="AK180" s="10" t="s">
        <v>30</v>
      </c>
      <c r="AL180" s="10">
        <f t="shared" si="20"/>
        <v>0</v>
      </c>
      <c r="AM180" s="10">
        <f t="shared" si="21"/>
        <v>1</v>
      </c>
      <c r="AN180" s="10">
        <f t="shared" si="22"/>
        <v>0</v>
      </c>
      <c r="AO180" s="10" t="s">
        <v>24</v>
      </c>
      <c r="AP180" s="10">
        <f t="shared" si="23"/>
        <v>0</v>
      </c>
      <c r="AQ180" s="10" t="s">
        <v>11</v>
      </c>
      <c r="AR180" s="10">
        <f t="shared" si="24"/>
        <v>1</v>
      </c>
      <c r="AS180" s="10" t="s">
        <v>27</v>
      </c>
      <c r="AT180" s="10">
        <f t="shared" si="25"/>
        <v>0</v>
      </c>
      <c r="AU180" s="10">
        <f t="shared" si="26"/>
        <v>0</v>
      </c>
      <c r="AV180" s="11">
        <v>13.460850000000001</v>
      </c>
      <c r="AW180" s="11">
        <v>63.416700000000006</v>
      </c>
      <c r="AX180" s="11">
        <v>9.6669609999999988</v>
      </c>
      <c r="AY180" s="10">
        <v>46</v>
      </c>
      <c r="AZ180" t="s">
        <v>106</v>
      </c>
      <c r="BA180" s="17">
        <f t="shared" si="27"/>
        <v>0</v>
      </c>
      <c r="BB180" s="17">
        <f t="shared" si="28"/>
        <v>1</v>
      </c>
      <c r="BC180" s="17">
        <f t="shared" si="29"/>
        <v>0</v>
      </c>
      <c r="BG180" s="14">
        <v>0</v>
      </c>
      <c r="BH180" s="14">
        <v>1</v>
      </c>
      <c r="BI180" s="14">
        <v>0</v>
      </c>
      <c r="BJ180" s="14">
        <v>0</v>
      </c>
      <c r="BK180" s="14">
        <v>1</v>
      </c>
      <c r="BL180" s="14">
        <v>0</v>
      </c>
      <c r="BM180" s="14">
        <v>0</v>
      </c>
      <c r="BN180" s="14">
        <v>0</v>
      </c>
      <c r="BO180" s="14">
        <v>1</v>
      </c>
      <c r="BP180" s="14">
        <v>0</v>
      </c>
      <c r="BQ180" s="11">
        <v>13.460850000000001</v>
      </c>
      <c r="BR180" s="11">
        <v>63.416700000000006</v>
      </c>
      <c r="BS180" s="11">
        <v>9.6669609999999988</v>
      </c>
      <c r="BT180" s="10">
        <v>46</v>
      </c>
    </row>
    <row r="181" spans="4:72" ht="20.149999999999999" customHeight="1">
      <c r="D181" s="10">
        <v>118</v>
      </c>
      <c r="E181" s="11">
        <v>28.837485000000001</v>
      </c>
      <c r="F181" s="11">
        <v>60.5</v>
      </c>
      <c r="G181" s="10">
        <v>118</v>
      </c>
      <c r="J181" s="103"/>
      <c r="K181" s="86"/>
      <c r="AK181" s="10" t="s">
        <v>30</v>
      </c>
      <c r="AL181" s="10">
        <f t="shared" si="20"/>
        <v>0</v>
      </c>
      <c r="AM181" s="10">
        <f t="shared" si="21"/>
        <v>1</v>
      </c>
      <c r="AN181" s="10">
        <f t="shared" si="22"/>
        <v>0</v>
      </c>
      <c r="AO181" s="10" t="s">
        <v>24</v>
      </c>
      <c r="AP181" s="10">
        <f t="shared" si="23"/>
        <v>0</v>
      </c>
      <c r="AQ181" s="10" t="s">
        <v>11</v>
      </c>
      <c r="AR181" s="10">
        <f t="shared" si="24"/>
        <v>1</v>
      </c>
      <c r="AS181" s="10" t="s">
        <v>27</v>
      </c>
      <c r="AT181" s="10">
        <f t="shared" si="25"/>
        <v>0</v>
      </c>
      <c r="AU181" s="10">
        <f t="shared" si="26"/>
        <v>0</v>
      </c>
      <c r="AV181" s="11">
        <v>11.174985</v>
      </c>
      <c r="AW181" s="11">
        <v>49.791699999999999</v>
      </c>
      <c r="AX181" s="11">
        <v>17.542007000000002</v>
      </c>
      <c r="AY181" s="10">
        <v>48</v>
      </c>
      <c r="AZ181" t="s">
        <v>106</v>
      </c>
      <c r="BA181" s="17">
        <f t="shared" si="27"/>
        <v>0</v>
      </c>
      <c r="BB181" s="17">
        <f t="shared" si="28"/>
        <v>1</v>
      </c>
      <c r="BC181" s="17">
        <f t="shared" si="29"/>
        <v>0</v>
      </c>
      <c r="BG181" s="14">
        <v>0</v>
      </c>
      <c r="BH181" s="14">
        <v>1</v>
      </c>
      <c r="BI181" s="14">
        <v>0</v>
      </c>
      <c r="BJ181" s="14">
        <v>0</v>
      </c>
      <c r="BK181" s="14">
        <v>1</v>
      </c>
      <c r="BL181" s="14">
        <v>0</v>
      </c>
      <c r="BM181" s="14">
        <v>0</v>
      </c>
      <c r="BN181" s="14">
        <v>0</v>
      </c>
      <c r="BO181" s="14">
        <v>1</v>
      </c>
      <c r="BP181" s="14">
        <v>0</v>
      </c>
      <c r="BQ181" s="11">
        <v>11.174985</v>
      </c>
      <c r="BR181" s="11">
        <v>49.791699999999999</v>
      </c>
      <c r="BS181" s="11">
        <v>17.542007000000002</v>
      </c>
      <c r="BT181" s="10">
        <v>48</v>
      </c>
    </row>
    <row r="182" spans="4:72" ht="20.149999999999999" customHeight="1">
      <c r="D182" s="10">
        <v>103</v>
      </c>
      <c r="E182" s="11">
        <v>30.299985</v>
      </c>
      <c r="F182" s="11">
        <v>57.777799999999999</v>
      </c>
      <c r="G182" s="10">
        <v>103</v>
      </c>
      <c r="J182" s="103"/>
      <c r="K182" s="86"/>
      <c r="AK182" s="10" t="s">
        <v>30</v>
      </c>
      <c r="AL182" s="10">
        <f t="shared" si="20"/>
        <v>0</v>
      </c>
      <c r="AM182" s="10">
        <f t="shared" si="21"/>
        <v>1</v>
      </c>
      <c r="AN182" s="10">
        <f t="shared" si="22"/>
        <v>0</v>
      </c>
      <c r="AO182" s="10" t="s">
        <v>24</v>
      </c>
      <c r="AP182" s="10">
        <f t="shared" si="23"/>
        <v>0</v>
      </c>
      <c r="AQ182" s="10" t="s">
        <v>11</v>
      </c>
      <c r="AR182" s="10">
        <f t="shared" si="24"/>
        <v>1</v>
      </c>
      <c r="AS182" s="10" t="s">
        <v>27</v>
      </c>
      <c r="AT182" s="10">
        <f t="shared" si="25"/>
        <v>0</v>
      </c>
      <c r="AU182" s="10">
        <f t="shared" si="26"/>
        <v>0</v>
      </c>
      <c r="AV182" s="11">
        <v>14.025015000000002</v>
      </c>
      <c r="AW182" s="11">
        <v>43.416700000000006</v>
      </c>
      <c r="AX182" s="11">
        <v>12.415904000000001</v>
      </c>
      <c r="AY182" s="10">
        <v>60</v>
      </c>
      <c r="AZ182" t="s">
        <v>106</v>
      </c>
      <c r="BA182" s="17">
        <f t="shared" si="27"/>
        <v>0</v>
      </c>
      <c r="BB182" s="17">
        <f t="shared" si="28"/>
        <v>1</v>
      </c>
      <c r="BC182" s="17">
        <f t="shared" si="29"/>
        <v>0</v>
      </c>
      <c r="BG182" s="14">
        <v>0</v>
      </c>
      <c r="BH182" s="14">
        <v>1</v>
      </c>
      <c r="BI182" s="14">
        <v>0</v>
      </c>
      <c r="BJ182" s="14">
        <v>0</v>
      </c>
      <c r="BK182" s="14">
        <v>1</v>
      </c>
      <c r="BL182" s="14">
        <v>0</v>
      </c>
      <c r="BM182" s="14">
        <v>0</v>
      </c>
      <c r="BN182" s="14">
        <v>0</v>
      </c>
      <c r="BO182" s="14">
        <v>1</v>
      </c>
      <c r="BP182" s="14">
        <v>0</v>
      </c>
      <c r="BQ182" s="11">
        <v>14.025015000000002</v>
      </c>
      <c r="BR182" s="11">
        <v>43.416700000000006</v>
      </c>
      <c r="BS182" s="11">
        <v>12.415904000000001</v>
      </c>
      <c r="BT182" s="10">
        <v>60</v>
      </c>
    </row>
    <row r="183" spans="4:72" ht="20.149999999999999" customHeight="1">
      <c r="D183" s="10">
        <v>71</v>
      </c>
      <c r="E183" s="11">
        <v>30.787514999999999</v>
      </c>
      <c r="F183" s="11">
        <v>42.304299999999998</v>
      </c>
      <c r="G183" s="10">
        <v>71</v>
      </c>
      <c r="J183" s="103"/>
      <c r="K183" s="86"/>
      <c r="AK183" s="10" t="s">
        <v>30</v>
      </c>
      <c r="AL183" s="10">
        <f t="shared" si="20"/>
        <v>0</v>
      </c>
      <c r="AM183" s="10">
        <f t="shared" si="21"/>
        <v>1</v>
      </c>
      <c r="AN183" s="10">
        <f t="shared" si="22"/>
        <v>0</v>
      </c>
      <c r="AO183" s="10" t="s">
        <v>24</v>
      </c>
      <c r="AP183" s="10">
        <f t="shared" si="23"/>
        <v>0</v>
      </c>
      <c r="AQ183" s="10" t="s">
        <v>11</v>
      </c>
      <c r="AR183" s="10">
        <f t="shared" si="24"/>
        <v>1</v>
      </c>
      <c r="AS183" s="10" t="s">
        <v>27</v>
      </c>
      <c r="AT183" s="10">
        <f t="shared" si="25"/>
        <v>0</v>
      </c>
      <c r="AU183" s="10">
        <f t="shared" si="26"/>
        <v>0</v>
      </c>
      <c r="AV183" s="11">
        <v>18.45</v>
      </c>
      <c r="AW183" s="11">
        <v>39.625</v>
      </c>
      <c r="AX183" s="11">
        <v>6.8747360000000004</v>
      </c>
      <c r="AY183" s="10">
        <v>49</v>
      </c>
      <c r="AZ183" t="s">
        <v>106</v>
      </c>
      <c r="BA183" s="17">
        <f t="shared" si="27"/>
        <v>0</v>
      </c>
      <c r="BB183" s="17">
        <f t="shared" si="28"/>
        <v>1</v>
      </c>
      <c r="BC183" s="17">
        <f t="shared" si="29"/>
        <v>0</v>
      </c>
      <c r="BG183" s="14">
        <v>0</v>
      </c>
      <c r="BH183" s="14">
        <v>1</v>
      </c>
      <c r="BI183" s="14">
        <v>0</v>
      </c>
      <c r="BJ183" s="14">
        <v>0</v>
      </c>
      <c r="BK183" s="14">
        <v>1</v>
      </c>
      <c r="BL183" s="14">
        <v>0</v>
      </c>
      <c r="BM183" s="14">
        <v>0</v>
      </c>
      <c r="BN183" s="14">
        <v>0</v>
      </c>
      <c r="BO183" s="14">
        <v>1</v>
      </c>
      <c r="BP183" s="14">
        <v>0</v>
      </c>
      <c r="BQ183" s="11">
        <v>18.45</v>
      </c>
      <c r="BR183" s="11">
        <v>39.625</v>
      </c>
      <c r="BS183" s="11">
        <v>6.8747360000000004</v>
      </c>
      <c r="BT183" s="10">
        <v>49</v>
      </c>
    </row>
    <row r="184" spans="4:72" ht="20.149999999999999" customHeight="1">
      <c r="D184" s="10">
        <v>93</v>
      </c>
      <c r="E184" s="11">
        <v>31.499999999999996</v>
      </c>
      <c r="F184" s="11">
        <v>69.739099999999993</v>
      </c>
      <c r="G184" s="10">
        <v>93</v>
      </c>
      <c r="J184" s="103"/>
      <c r="K184" s="86"/>
      <c r="AK184" s="10" t="s">
        <v>30</v>
      </c>
      <c r="AL184" s="10">
        <f t="shared" si="20"/>
        <v>0</v>
      </c>
      <c r="AM184" s="10">
        <f t="shared" si="21"/>
        <v>1</v>
      </c>
      <c r="AN184" s="10">
        <f t="shared" si="22"/>
        <v>0</v>
      </c>
      <c r="AO184" s="10" t="s">
        <v>24</v>
      </c>
      <c r="AP184" s="10">
        <f t="shared" si="23"/>
        <v>0</v>
      </c>
      <c r="AQ184" s="10" t="s">
        <v>25</v>
      </c>
      <c r="AR184" s="10">
        <f t="shared" si="24"/>
        <v>0</v>
      </c>
      <c r="AS184" s="10" t="s">
        <v>27</v>
      </c>
      <c r="AT184" s="10">
        <f t="shared" si="25"/>
        <v>0</v>
      </c>
      <c r="AU184" s="10">
        <f t="shared" si="26"/>
        <v>0</v>
      </c>
      <c r="AV184" s="11">
        <v>15.487515</v>
      </c>
      <c r="AW184" s="11">
        <v>44.458300000000001</v>
      </c>
      <c r="AX184" s="11">
        <v>7.7091539999999998</v>
      </c>
      <c r="AY184" s="10">
        <v>20</v>
      </c>
      <c r="AZ184" t="s">
        <v>107</v>
      </c>
      <c r="BA184" s="17">
        <f t="shared" si="27"/>
        <v>1</v>
      </c>
      <c r="BB184" s="17">
        <f t="shared" si="28"/>
        <v>0</v>
      </c>
      <c r="BC184" s="17">
        <f t="shared" si="29"/>
        <v>0</v>
      </c>
      <c r="BG184" s="14">
        <v>0</v>
      </c>
      <c r="BH184" s="14">
        <v>1</v>
      </c>
      <c r="BI184" s="14">
        <v>0</v>
      </c>
      <c r="BJ184" s="14">
        <v>0</v>
      </c>
      <c r="BK184" s="14">
        <v>0</v>
      </c>
      <c r="BL184" s="14">
        <v>0</v>
      </c>
      <c r="BM184" s="14">
        <v>0</v>
      </c>
      <c r="BN184" s="14">
        <v>1</v>
      </c>
      <c r="BO184" s="14">
        <v>0</v>
      </c>
      <c r="BP184" s="14">
        <v>0</v>
      </c>
      <c r="BQ184" s="11">
        <v>15.487515</v>
      </c>
      <c r="BR184" s="11">
        <v>44.458300000000001</v>
      </c>
      <c r="BS184" s="11">
        <v>7.7091539999999998</v>
      </c>
      <c r="BT184" s="10">
        <v>20</v>
      </c>
    </row>
    <row r="185" spans="4:72" ht="20.149999999999999" customHeight="1">
      <c r="D185" s="10">
        <v>23</v>
      </c>
      <c r="E185" s="11">
        <v>30.6</v>
      </c>
      <c r="F185" s="11">
        <v>71.217399999999998</v>
      </c>
      <c r="G185" s="10">
        <v>23</v>
      </c>
      <c r="J185" s="103"/>
      <c r="K185" s="86"/>
      <c r="AK185" s="10" t="s">
        <v>30</v>
      </c>
      <c r="AL185" s="10">
        <f t="shared" si="20"/>
        <v>0</v>
      </c>
      <c r="AM185" s="10">
        <f t="shared" si="21"/>
        <v>1</v>
      </c>
      <c r="AN185" s="10">
        <f t="shared" si="22"/>
        <v>0</v>
      </c>
      <c r="AO185" s="10" t="s">
        <v>24</v>
      </c>
      <c r="AP185" s="10">
        <f t="shared" si="23"/>
        <v>0</v>
      </c>
      <c r="AQ185" s="10" t="s">
        <v>25</v>
      </c>
      <c r="AR185" s="10">
        <f t="shared" si="24"/>
        <v>0</v>
      </c>
      <c r="AS185" s="10" t="s">
        <v>26</v>
      </c>
      <c r="AT185" s="10">
        <f t="shared" si="25"/>
        <v>1</v>
      </c>
      <c r="AU185" s="10">
        <f t="shared" si="26"/>
        <v>0</v>
      </c>
      <c r="AV185" s="11">
        <v>16.35651</v>
      </c>
      <c r="AW185" s="11">
        <v>68.25</v>
      </c>
      <c r="AX185" s="11">
        <v>15.333486000000001</v>
      </c>
      <c r="AY185" s="10">
        <v>16</v>
      </c>
      <c r="AZ185" t="s">
        <v>107</v>
      </c>
      <c r="BA185" s="17">
        <f t="shared" si="27"/>
        <v>1</v>
      </c>
      <c r="BB185" s="17">
        <f t="shared" si="28"/>
        <v>0</v>
      </c>
      <c r="BC185" s="17">
        <f t="shared" si="29"/>
        <v>0</v>
      </c>
      <c r="BG185" s="14">
        <v>0</v>
      </c>
      <c r="BH185" s="14">
        <v>1</v>
      </c>
      <c r="BI185" s="14">
        <v>0</v>
      </c>
      <c r="BJ185" s="14">
        <v>0</v>
      </c>
      <c r="BK185" s="14">
        <v>0</v>
      </c>
      <c r="BL185" s="14">
        <v>1</v>
      </c>
      <c r="BM185" s="14">
        <v>0</v>
      </c>
      <c r="BN185" s="14">
        <v>1</v>
      </c>
      <c r="BO185" s="14">
        <v>0</v>
      </c>
      <c r="BP185" s="14">
        <v>0</v>
      </c>
      <c r="BQ185" s="11">
        <v>16.35651</v>
      </c>
      <c r="BR185" s="11">
        <v>68.25</v>
      </c>
      <c r="BS185" s="11">
        <v>15.333486000000001</v>
      </c>
      <c r="BT185" s="10">
        <v>16</v>
      </c>
    </row>
    <row r="186" spans="4:72" ht="20.149999999999999" customHeight="1">
      <c r="D186" s="10">
        <v>86</v>
      </c>
      <c r="E186" s="11">
        <v>31.817654999999998</v>
      </c>
      <c r="F186" s="11">
        <v>53.791699999999999</v>
      </c>
      <c r="G186" s="10">
        <v>86</v>
      </c>
      <c r="J186" s="103"/>
      <c r="K186" s="86"/>
      <c r="AK186" s="10" t="s">
        <v>30</v>
      </c>
      <c r="AL186" s="10">
        <f t="shared" si="20"/>
        <v>0</v>
      </c>
      <c r="AM186" s="10">
        <f t="shared" si="21"/>
        <v>1</v>
      </c>
      <c r="AN186" s="10">
        <f t="shared" si="22"/>
        <v>0</v>
      </c>
      <c r="AO186" s="10" t="s">
        <v>7</v>
      </c>
      <c r="AP186" s="10">
        <f t="shared" si="23"/>
        <v>1</v>
      </c>
      <c r="AQ186" s="10" t="s">
        <v>25</v>
      </c>
      <c r="AR186" s="10">
        <f t="shared" si="24"/>
        <v>0</v>
      </c>
      <c r="AS186" s="10" t="s">
        <v>26</v>
      </c>
      <c r="AT186" s="10">
        <f t="shared" si="25"/>
        <v>1</v>
      </c>
      <c r="AU186" s="10">
        <f t="shared" si="26"/>
        <v>0</v>
      </c>
      <c r="AV186" s="11">
        <v>8.8363800000000001</v>
      </c>
      <c r="AW186" s="11">
        <v>63.791699999999999</v>
      </c>
      <c r="AX186" s="11">
        <v>5.4591064000000005</v>
      </c>
      <c r="AY186" s="10">
        <v>27</v>
      </c>
      <c r="AZ186" t="s">
        <v>107</v>
      </c>
      <c r="BA186" s="17">
        <f t="shared" si="27"/>
        <v>1</v>
      </c>
      <c r="BB186" s="17">
        <f t="shared" si="28"/>
        <v>0</v>
      </c>
      <c r="BC186" s="17">
        <f t="shared" si="29"/>
        <v>0</v>
      </c>
      <c r="BG186" s="14">
        <v>0</v>
      </c>
      <c r="BH186" s="14">
        <v>1</v>
      </c>
      <c r="BI186" s="14">
        <v>0</v>
      </c>
      <c r="BJ186" s="14">
        <v>1</v>
      </c>
      <c r="BK186" s="14">
        <v>0</v>
      </c>
      <c r="BL186" s="14">
        <v>1</v>
      </c>
      <c r="BM186" s="14">
        <v>0</v>
      </c>
      <c r="BN186" s="14">
        <v>1</v>
      </c>
      <c r="BO186" s="14">
        <v>0</v>
      </c>
      <c r="BP186" s="14">
        <v>0</v>
      </c>
      <c r="BQ186" s="11">
        <v>8.8363800000000001</v>
      </c>
      <c r="BR186" s="11">
        <v>63.791699999999999</v>
      </c>
      <c r="BS186" s="11">
        <v>5.4591064000000005</v>
      </c>
      <c r="BT186" s="10">
        <v>27</v>
      </c>
    </row>
    <row r="187" spans="4:72" ht="20.149999999999999" customHeight="1">
      <c r="D187" s="10">
        <v>93</v>
      </c>
      <c r="E187" s="11">
        <v>28.650015</v>
      </c>
      <c r="F187" s="11">
        <v>68</v>
      </c>
      <c r="G187" s="10">
        <v>93</v>
      </c>
      <c r="J187" s="103"/>
      <c r="K187" s="86"/>
      <c r="AK187" s="10" t="s">
        <v>30</v>
      </c>
      <c r="AL187" s="10">
        <f t="shared" si="20"/>
        <v>0</v>
      </c>
      <c r="AM187" s="10">
        <f t="shared" si="21"/>
        <v>1</v>
      </c>
      <c r="AN187" s="10">
        <f t="shared" si="22"/>
        <v>0</v>
      </c>
      <c r="AO187" s="10" t="s">
        <v>24</v>
      </c>
      <c r="AP187" s="10">
        <f t="shared" si="23"/>
        <v>0</v>
      </c>
      <c r="AQ187" s="10" t="s">
        <v>11</v>
      </c>
      <c r="AR187" s="10">
        <f t="shared" si="24"/>
        <v>1</v>
      </c>
      <c r="AS187" s="10" t="s">
        <v>27</v>
      </c>
      <c r="AT187" s="10">
        <f t="shared" si="25"/>
        <v>0</v>
      </c>
      <c r="AU187" s="10">
        <f t="shared" si="26"/>
        <v>0</v>
      </c>
      <c r="AV187" s="11">
        <v>9</v>
      </c>
      <c r="AW187" s="11">
        <v>59.041699999999999</v>
      </c>
      <c r="AX187" s="11">
        <v>8.4592860000000005</v>
      </c>
      <c r="AY187" s="10">
        <v>31</v>
      </c>
      <c r="AZ187" t="s">
        <v>107</v>
      </c>
      <c r="BA187" s="17">
        <f t="shared" si="27"/>
        <v>1</v>
      </c>
      <c r="BB187" s="17">
        <f t="shared" si="28"/>
        <v>0</v>
      </c>
      <c r="BC187" s="17">
        <f t="shared" si="29"/>
        <v>0</v>
      </c>
      <c r="BG187" s="14">
        <v>0</v>
      </c>
      <c r="BH187" s="14">
        <v>1</v>
      </c>
      <c r="BI187" s="14">
        <v>0</v>
      </c>
      <c r="BJ187" s="14">
        <v>0</v>
      </c>
      <c r="BK187" s="14">
        <v>1</v>
      </c>
      <c r="BL187" s="14">
        <v>0</v>
      </c>
      <c r="BM187" s="14">
        <v>0</v>
      </c>
      <c r="BN187" s="14">
        <v>1</v>
      </c>
      <c r="BO187" s="14">
        <v>0</v>
      </c>
      <c r="BP187" s="14">
        <v>0</v>
      </c>
      <c r="BQ187" s="11">
        <v>9</v>
      </c>
      <c r="BR187" s="11">
        <v>59.041699999999999</v>
      </c>
      <c r="BS187" s="11">
        <v>8.4592860000000005</v>
      </c>
      <c r="BT187" s="10">
        <v>31</v>
      </c>
    </row>
    <row r="188" spans="4:72" ht="20.149999999999999" customHeight="1">
      <c r="D188" s="10">
        <v>105</v>
      </c>
      <c r="E188" s="11">
        <v>28.762515</v>
      </c>
      <c r="F188" s="11">
        <v>87.636400000000009</v>
      </c>
      <c r="G188" s="10">
        <v>105</v>
      </c>
      <c r="J188" s="103"/>
      <c r="K188" s="86"/>
      <c r="AK188" s="10" t="s">
        <v>30</v>
      </c>
      <c r="AL188" s="10">
        <f t="shared" si="20"/>
        <v>0</v>
      </c>
      <c r="AM188" s="10">
        <f t="shared" si="21"/>
        <v>1</v>
      </c>
      <c r="AN188" s="10">
        <f t="shared" si="22"/>
        <v>0</v>
      </c>
      <c r="AO188" s="10" t="s">
        <v>24</v>
      </c>
      <c r="AP188" s="10">
        <f t="shared" si="23"/>
        <v>0</v>
      </c>
      <c r="AQ188" s="10" t="s">
        <v>11</v>
      </c>
      <c r="AR188" s="10">
        <f t="shared" si="24"/>
        <v>1</v>
      </c>
      <c r="AS188" s="10" t="s">
        <v>27</v>
      </c>
      <c r="AT188" s="10">
        <f t="shared" si="25"/>
        <v>0</v>
      </c>
      <c r="AU188" s="10">
        <f t="shared" si="26"/>
        <v>0</v>
      </c>
      <c r="AV188" s="11">
        <v>10.213065</v>
      </c>
      <c r="AW188" s="11">
        <v>74.333300000000008</v>
      </c>
      <c r="AX188" s="11">
        <v>10.042161</v>
      </c>
      <c r="AY188" s="10">
        <v>32</v>
      </c>
      <c r="AZ188" t="s">
        <v>107</v>
      </c>
      <c r="BA188" s="17">
        <f t="shared" si="27"/>
        <v>1</v>
      </c>
      <c r="BB188" s="17">
        <f t="shared" si="28"/>
        <v>0</v>
      </c>
      <c r="BC188" s="17">
        <f t="shared" si="29"/>
        <v>0</v>
      </c>
      <c r="BG188" s="14">
        <v>0</v>
      </c>
      <c r="BH188" s="14">
        <v>1</v>
      </c>
      <c r="BI188" s="14">
        <v>0</v>
      </c>
      <c r="BJ188" s="14">
        <v>0</v>
      </c>
      <c r="BK188" s="14">
        <v>1</v>
      </c>
      <c r="BL188" s="14">
        <v>0</v>
      </c>
      <c r="BM188" s="14">
        <v>0</v>
      </c>
      <c r="BN188" s="14">
        <v>1</v>
      </c>
      <c r="BO188" s="14">
        <v>0</v>
      </c>
      <c r="BP188" s="14">
        <v>0</v>
      </c>
      <c r="BQ188" s="11">
        <v>10.213065</v>
      </c>
      <c r="BR188" s="11">
        <v>74.333300000000008</v>
      </c>
      <c r="BS188" s="11">
        <v>10.042161</v>
      </c>
      <c r="BT188" s="10">
        <v>32</v>
      </c>
    </row>
    <row r="189" spans="4:72" ht="20.149999999999999" customHeight="1">
      <c r="D189" s="10">
        <v>101</v>
      </c>
      <c r="E189" s="11">
        <v>29.550014999999998</v>
      </c>
      <c r="F189" s="11">
        <v>53.5</v>
      </c>
      <c r="G189" s="10">
        <v>101</v>
      </c>
      <c r="J189" s="103"/>
      <c r="K189" s="86"/>
      <c r="AK189" s="10" t="s">
        <v>30</v>
      </c>
      <c r="AL189" s="10">
        <f t="shared" si="20"/>
        <v>0</v>
      </c>
      <c r="AM189" s="10">
        <f t="shared" si="21"/>
        <v>1</v>
      </c>
      <c r="AN189" s="10">
        <f t="shared" si="22"/>
        <v>0</v>
      </c>
      <c r="AO189" s="10" t="s">
        <v>24</v>
      </c>
      <c r="AP189" s="10">
        <f t="shared" si="23"/>
        <v>0</v>
      </c>
      <c r="AQ189" s="10" t="s">
        <v>11</v>
      </c>
      <c r="AR189" s="10">
        <f t="shared" si="24"/>
        <v>1</v>
      </c>
      <c r="AS189" s="10" t="s">
        <v>27</v>
      </c>
      <c r="AT189" s="10">
        <f t="shared" si="25"/>
        <v>0</v>
      </c>
      <c r="AU189" s="10">
        <f t="shared" si="26"/>
        <v>0</v>
      </c>
      <c r="AV189" s="11">
        <v>9.1956600000000002</v>
      </c>
      <c r="AW189" s="11">
        <v>65.125</v>
      </c>
      <c r="AX189" s="11">
        <v>10.666400000000001</v>
      </c>
      <c r="AY189" s="10">
        <v>32</v>
      </c>
      <c r="AZ189" t="s">
        <v>107</v>
      </c>
      <c r="BA189" s="17">
        <f t="shared" si="27"/>
        <v>1</v>
      </c>
      <c r="BB189" s="17">
        <f t="shared" si="28"/>
        <v>0</v>
      </c>
      <c r="BC189" s="17">
        <f t="shared" si="29"/>
        <v>0</v>
      </c>
      <c r="BG189" s="14">
        <v>0</v>
      </c>
      <c r="BH189" s="14">
        <v>1</v>
      </c>
      <c r="BI189" s="14">
        <v>0</v>
      </c>
      <c r="BJ189" s="14">
        <v>0</v>
      </c>
      <c r="BK189" s="14">
        <v>1</v>
      </c>
      <c r="BL189" s="14">
        <v>0</v>
      </c>
      <c r="BM189" s="14">
        <v>0</v>
      </c>
      <c r="BN189" s="14">
        <v>1</v>
      </c>
      <c r="BO189" s="14">
        <v>0</v>
      </c>
      <c r="BP189" s="14">
        <v>0</v>
      </c>
      <c r="BQ189" s="11">
        <v>9.1956600000000002</v>
      </c>
      <c r="BR189" s="11">
        <v>65.125</v>
      </c>
      <c r="BS189" s="11">
        <v>10.666400000000001</v>
      </c>
      <c r="BT189" s="10">
        <v>32</v>
      </c>
    </row>
    <row r="190" spans="4:72" ht="20.149999999999999" customHeight="1">
      <c r="D190" s="10">
        <v>103</v>
      </c>
      <c r="E190" s="11">
        <v>29.475000000000001</v>
      </c>
      <c r="F190" s="11">
        <v>44.958300000000001</v>
      </c>
      <c r="G190" s="10">
        <v>103</v>
      </c>
      <c r="J190" s="103"/>
      <c r="K190" s="86"/>
      <c r="AK190" s="10" t="s">
        <v>30</v>
      </c>
      <c r="AL190" s="10">
        <f t="shared" si="20"/>
        <v>0</v>
      </c>
      <c r="AM190" s="10">
        <f t="shared" si="21"/>
        <v>1</v>
      </c>
      <c r="AN190" s="10">
        <f t="shared" si="22"/>
        <v>0</v>
      </c>
      <c r="AO190" s="10" t="s">
        <v>24</v>
      </c>
      <c r="AP190" s="10">
        <f t="shared" si="23"/>
        <v>0</v>
      </c>
      <c r="AQ190" s="10" t="s">
        <v>11</v>
      </c>
      <c r="AR190" s="10">
        <f t="shared" si="24"/>
        <v>1</v>
      </c>
      <c r="AS190" s="10" t="s">
        <v>26</v>
      </c>
      <c r="AT190" s="10">
        <f t="shared" si="25"/>
        <v>1</v>
      </c>
      <c r="AU190" s="10">
        <f t="shared" si="26"/>
        <v>0</v>
      </c>
      <c r="AV190" s="11">
        <v>8.843490000000001</v>
      </c>
      <c r="AW190" s="11">
        <v>75.791699999999992</v>
      </c>
      <c r="AX190" s="11">
        <v>15.083643</v>
      </c>
      <c r="AY190" s="10">
        <v>30</v>
      </c>
      <c r="AZ190" t="s">
        <v>107</v>
      </c>
      <c r="BA190" s="17">
        <f t="shared" si="27"/>
        <v>1</v>
      </c>
      <c r="BB190" s="17">
        <f t="shared" si="28"/>
        <v>0</v>
      </c>
      <c r="BC190" s="17">
        <f t="shared" si="29"/>
        <v>0</v>
      </c>
      <c r="BG190" s="14">
        <v>0</v>
      </c>
      <c r="BH190" s="14">
        <v>1</v>
      </c>
      <c r="BI190" s="14">
        <v>0</v>
      </c>
      <c r="BJ190" s="14">
        <v>0</v>
      </c>
      <c r="BK190" s="14">
        <v>1</v>
      </c>
      <c r="BL190" s="14">
        <v>1</v>
      </c>
      <c r="BM190" s="14">
        <v>0</v>
      </c>
      <c r="BN190" s="14">
        <v>1</v>
      </c>
      <c r="BO190" s="14">
        <v>0</v>
      </c>
      <c r="BP190" s="14">
        <v>0</v>
      </c>
      <c r="BQ190" s="11">
        <v>8.843490000000001</v>
      </c>
      <c r="BR190" s="11">
        <v>75.791699999999992</v>
      </c>
      <c r="BS190" s="11">
        <v>15.083643</v>
      </c>
      <c r="BT190" s="10">
        <v>30</v>
      </c>
    </row>
    <row r="191" spans="4:72" ht="20.149999999999999" customHeight="1">
      <c r="D191" s="10">
        <v>95</v>
      </c>
      <c r="E191" s="11">
        <v>28.949985000000002</v>
      </c>
      <c r="F191" s="11">
        <v>31.833299999999998</v>
      </c>
      <c r="G191" s="10">
        <v>95</v>
      </c>
      <c r="J191" s="103"/>
      <c r="K191" s="86"/>
      <c r="AK191" s="10" t="s">
        <v>30</v>
      </c>
      <c r="AL191" s="10">
        <f t="shared" si="20"/>
        <v>0</v>
      </c>
      <c r="AM191" s="10">
        <f t="shared" si="21"/>
        <v>1</v>
      </c>
      <c r="AN191" s="10">
        <f t="shared" si="22"/>
        <v>0</v>
      </c>
      <c r="AO191" s="10" t="s">
        <v>24</v>
      </c>
      <c r="AP191" s="10">
        <f t="shared" si="23"/>
        <v>0</v>
      </c>
      <c r="AQ191" s="10" t="s">
        <v>25</v>
      </c>
      <c r="AR191" s="10">
        <f t="shared" si="24"/>
        <v>0</v>
      </c>
      <c r="AS191" s="10" t="s">
        <v>27</v>
      </c>
      <c r="AT191" s="10">
        <f t="shared" si="25"/>
        <v>0</v>
      </c>
      <c r="AU191" s="10">
        <f t="shared" si="26"/>
        <v>0</v>
      </c>
      <c r="AV191" s="11">
        <v>7.4250000000000007</v>
      </c>
      <c r="AW191" s="11">
        <v>60.916699999999999</v>
      </c>
      <c r="AX191" s="11">
        <v>11.250104</v>
      </c>
      <c r="AY191" s="10">
        <v>19</v>
      </c>
      <c r="AZ191" t="s">
        <v>107</v>
      </c>
      <c r="BA191" s="17">
        <f t="shared" si="27"/>
        <v>1</v>
      </c>
      <c r="BB191" s="17">
        <f t="shared" si="28"/>
        <v>0</v>
      </c>
      <c r="BC191" s="17">
        <f t="shared" si="29"/>
        <v>0</v>
      </c>
      <c r="BG191" s="14">
        <v>0</v>
      </c>
      <c r="BH191" s="14">
        <v>1</v>
      </c>
      <c r="BI191" s="14">
        <v>0</v>
      </c>
      <c r="BJ191" s="14">
        <v>0</v>
      </c>
      <c r="BK191" s="14">
        <v>0</v>
      </c>
      <c r="BL191" s="14">
        <v>0</v>
      </c>
      <c r="BM191" s="14">
        <v>0</v>
      </c>
      <c r="BN191" s="14">
        <v>1</v>
      </c>
      <c r="BO191" s="14">
        <v>0</v>
      </c>
      <c r="BP191" s="14">
        <v>0</v>
      </c>
      <c r="BQ191" s="11">
        <v>7.4250000000000007</v>
      </c>
      <c r="BR191" s="11">
        <v>60.916699999999999</v>
      </c>
      <c r="BS191" s="11">
        <v>11.250104</v>
      </c>
      <c r="BT191" s="10">
        <v>19</v>
      </c>
    </row>
    <row r="192" spans="4:72" ht="20.149999999999999" customHeight="1">
      <c r="D192" s="10">
        <v>90</v>
      </c>
      <c r="E192" s="11">
        <v>30.112514999999998</v>
      </c>
      <c r="F192" s="11">
        <v>61.041699999999999</v>
      </c>
      <c r="G192" s="10">
        <v>90</v>
      </c>
      <c r="J192" s="103"/>
      <c r="K192" s="86"/>
      <c r="AK192" s="10" t="s">
        <v>30</v>
      </c>
      <c r="AL192" s="10">
        <f t="shared" si="20"/>
        <v>0</v>
      </c>
      <c r="AM192" s="10">
        <f t="shared" si="21"/>
        <v>1</v>
      </c>
      <c r="AN192" s="10">
        <f t="shared" si="22"/>
        <v>0</v>
      </c>
      <c r="AO192" s="10" t="s">
        <v>24</v>
      </c>
      <c r="AP192" s="10">
        <f t="shared" si="23"/>
        <v>0</v>
      </c>
      <c r="AQ192" s="10" t="s">
        <v>25</v>
      </c>
      <c r="AR192" s="10">
        <f t="shared" si="24"/>
        <v>0</v>
      </c>
      <c r="AS192" s="10" t="s">
        <v>27</v>
      </c>
      <c r="AT192" s="10">
        <f t="shared" si="25"/>
        <v>0</v>
      </c>
      <c r="AU192" s="10">
        <f t="shared" si="26"/>
        <v>0</v>
      </c>
      <c r="AV192" s="11">
        <v>6.2249850000000002</v>
      </c>
      <c r="AW192" s="11">
        <v>57.833300000000001</v>
      </c>
      <c r="AX192" s="11">
        <v>12.292557</v>
      </c>
      <c r="AY192" s="10">
        <v>16</v>
      </c>
      <c r="AZ192" t="s">
        <v>107</v>
      </c>
      <c r="BA192" s="17">
        <f t="shared" si="27"/>
        <v>1</v>
      </c>
      <c r="BB192" s="17">
        <f t="shared" si="28"/>
        <v>0</v>
      </c>
      <c r="BC192" s="17">
        <f t="shared" si="29"/>
        <v>0</v>
      </c>
      <c r="BG192" s="14">
        <v>0</v>
      </c>
      <c r="BH192" s="14">
        <v>1</v>
      </c>
      <c r="BI192" s="14">
        <v>0</v>
      </c>
      <c r="BJ192" s="14">
        <v>0</v>
      </c>
      <c r="BK192" s="14">
        <v>0</v>
      </c>
      <c r="BL192" s="14">
        <v>0</v>
      </c>
      <c r="BM192" s="14">
        <v>0</v>
      </c>
      <c r="BN192" s="14">
        <v>1</v>
      </c>
      <c r="BO192" s="14">
        <v>0</v>
      </c>
      <c r="BP192" s="14">
        <v>0</v>
      </c>
      <c r="BQ192" s="11">
        <v>6.2249850000000002</v>
      </c>
      <c r="BR192" s="11">
        <v>57.833300000000001</v>
      </c>
      <c r="BS192" s="11">
        <v>12.292557</v>
      </c>
      <c r="BT192" s="10">
        <v>16</v>
      </c>
    </row>
    <row r="193" spans="4:72" ht="20.149999999999999" customHeight="1">
      <c r="D193" s="10">
        <v>98</v>
      </c>
      <c r="E193" s="11">
        <v>31.912514999999999</v>
      </c>
      <c r="F193" s="11">
        <v>78.916699999999992</v>
      </c>
      <c r="G193" s="10">
        <v>98</v>
      </c>
      <c r="J193" s="103"/>
      <c r="K193" s="86"/>
      <c r="AK193" s="10" t="s">
        <v>30</v>
      </c>
      <c r="AL193" s="10">
        <f t="shared" si="20"/>
        <v>0</v>
      </c>
      <c r="AM193" s="10">
        <f t="shared" si="21"/>
        <v>1</v>
      </c>
      <c r="AN193" s="10">
        <f t="shared" si="22"/>
        <v>0</v>
      </c>
      <c r="AO193" s="10" t="s">
        <v>24</v>
      </c>
      <c r="AP193" s="10">
        <f t="shared" si="23"/>
        <v>0</v>
      </c>
      <c r="AQ193" s="10" t="s">
        <v>11</v>
      </c>
      <c r="AR193" s="10">
        <f t="shared" si="24"/>
        <v>1</v>
      </c>
      <c r="AS193" s="10" t="s">
        <v>27</v>
      </c>
      <c r="AT193" s="10">
        <f t="shared" si="25"/>
        <v>0</v>
      </c>
      <c r="AU193" s="10">
        <f t="shared" si="26"/>
        <v>0</v>
      </c>
      <c r="AV193" s="11">
        <v>6.7874850000000002</v>
      </c>
      <c r="AW193" s="11">
        <v>63.583300000000001</v>
      </c>
      <c r="AX193" s="11">
        <v>18.916578999999999</v>
      </c>
      <c r="AY193" s="10">
        <v>27</v>
      </c>
      <c r="AZ193" t="s">
        <v>107</v>
      </c>
      <c r="BA193" s="17">
        <f t="shared" si="27"/>
        <v>1</v>
      </c>
      <c r="BB193" s="17">
        <f t="shared" si="28"/>
        <v>0</v>
      </c>
      <c r="BC193" s="17">
        <f t="shared" si="29"/>
        <v>0</v>
      </c>
      <c r="BG193" s="14">
        <v>0</v>
      </c>
      <c r="BH193" s="14">
        <v>1</v>
      </c>
      <c r="BI193" s="14">
        <v>0</v>
      </c>
      <c r="BJ193" s="14">
        <v>0</v>
      </c>
      <c r="BK193" s="14">
        <v>1</v>
      </c>
      <c r="BL193" s="14">
        <v>0</v>
      </c>
      <c r="BM193" s="14">
        <v>0</v>
      </c>
      <c r="BN193" s="14">
        <v>1</v>
      </c>
      <c r="BO193" s="14">
        <v>0</v>
      </c>
      <c r="BP193" s="14">
        <v>0</v>
      </c>
      <c r="BQ193" s="11">
        <v>6.7874850000000002</v>
      </c>
      <c r="BR193" s="11">
        <v>63.583300000000001</v>
      </c>
      <c r="BS193" s="11">
        <v>18.916578999999999</v>
      </c>
      <c r="BT193" s="10">
        <v>27</v>
      </c>
    </row>
    <row r="194" spans="4:72" ht="20.149999999999999" customHeight="1">
      <c r="D194" s="10">
        <v>67</v>
      </c>
      <c r="E194" s="11">
        <v>30.299985</v>
      </c>
      <c r="F194" s="11">
        <v>94.826099999999997</v>
      </c>
      <c r="G194" s="10">
        <v>67</v>
      </c>
      <c r="J194" s="103"/>
      <c r="K194" s="86"/>
      <c r="AK194" s="10" t="s">
        <v>30</v>
      </c>
      <c r="AL194" s="10">
        <f t="shared" si="20"/>
        <v>0</v>
      </c>
      <c r="AM194" s="10">
        <f t="shared" si="21"/>
        <v>1</v>
      </c>
      <c r="AN194" s="10">
        <f t="shared" si="22"/>
        <v>0</v>
      </c>
      <c r="AO194" s="10" t="s">
        <v>24</v>
      </c>
      <c r="AP194" s="10">
        <f t="shared" si="23"/>
        <v>0</v>
      </c>
      <c r="AQ194" s="10" t="s">
        <v>11</v>
      </c>
      <c r="AR194" s="10">
        <f t="shared" si="24"/>
        <v>1</v>
      </c>
      <c r="AS194" s="10" t="s">
        <v>27</v>
      </c>
      <c r="AT194" s="10">
        <f t="shared" si="25"/>
        <v>0</v>
      </c>
      <c r="AU194" s="10">
        <f t="shared" si="26"/>
        <v>0</v>
      </c>
      <c r="AV194" s="11">
        <v>7.6090949999999999</v>
      </c>
      <c r="AW194" s="11">
        <v>55.916699999999999</v>
      </c>
      <c r="AX194" s="11">
        <v>13.417017999999999</v>
      </c>
      <c r="AY194" s="10">
        <v>25</v>
      </c>
      <c r="AZ194" t="s">
        <v>107</v>
      </c>
      <c r="BA194" s="17">
        <f t="shared" si="27"/>
        <v>1</v>
      </c>
      <c r="BB194" s="17">
        <f t="shared" si="28"/>
        <v>0</v>
      </c>
      <c r="BC194" s="17">
        <f t="shared" si="29"/>
        <v>0</v>
      </c>
      <c r="BG194" s="14">
        <v>0</v>
      </c>
      <c r="BH194" s="14">
        <v>1</v>
      </c>
      <c r="BI194" s="14">
        <v>0</v>
      </c>
      <c r="BJ194" s="14">
        <v>0</v>
      </c>
      <c r="BK194" s="14">
        <v>1</v>
      </c>
      <c r="BL194" s="14">
        <v>0</v>
      </c>
      <c r="BM194" s="14">
        <v>0</v>
      </c>
      <c r="BN194" s="14">
        <v>1</v>
      </c>
      <c r="BO194" s="14">
        <v>0</v>
      </c>
      <c r="BP194" s="14">
        <v>0</v>
      </c>
      <c r="BQ194" s="11">
        <v>7.6090949999999999</v>
      </c>
      <c r="BR194" s="11">
        <v>55.916699999999999</v>
      </c>
      <c r="BS194" s="11">
        <v>13.417017999999999</v>
      </c>
      <c r="BT194" s="10">
        <v>25</v>
      </c>
    </row>
    <row r="195" spans="4:72" ht="20.149999999999999" customHeight="1">
      <c r="D195" s="10">
        <v>54</v>
      </c>
      <c r="E195" s="11">
        <v>24.3</v>
      </c>
      <c r="F195" s="11">
        <v>55.130400000000002</v>
      </c>
      <c r="G195" s="10">
        <v>54</v>
      </c>
      <c r="J195" s="103"/>
      <c r="K195" s="86"/>
      <c r="AK195" s="10" t="s">
        <v>30</v>
      </c>
      <c r="AL195" s="10">
        <f t="shared" ref="AL195:AL258" si="30">IF(AK195="autumn",1,0)</f>
        <v>0</v>
      </c>
      <c r="AM195" s="10">
        <f t="shared" ref="AM195:AM258" si="31">IF(AK195="winter",1,0)</f>
        <v>1</v>
      </c>
      <c r="AN195" s="10">
        <f t="shared" ref="AN195:AN258" si="32">IF(AK195="spring",1,0)</f>
        <v>0</v>
      </c>
      <c r="AO195" s="10" t="s">
        <v>24</v>
      </c>
      <c r="AP195" s="10">
        <f t="shared" ref="AP195:AP258" si="33">IF(AO195="holiday",1,0)</f>
        <v>0</v>
      </c>
      <c r="AQ195" s="10" t="s">
        <v>11</v>
      </c>
      <c r="AR195" s="10">
        <f t="shared" ref="AR195:AR258" si="34">IF(AQ195="workingday",1,0)</f>
        <v>1</v>
      </c>
      <c r="AS195" s="10" t="s">
        <v>27</v>
      </c>
      <c r="AT195" s="10">
        <f t="shared" ref="AT195" si="35">IF(AS195="cloudy",1,0)</f>
        <v>0</v>
      </c>
      <c r="AU195" s="10">
        <f t="shared" ref="AU195:AU258" si="36">IF(AS195="rain",1,0)</f>
        <v>0</v>
      </c>
      <c r="AV195" s="11">
        <v>7.7727149999999998</v>
      </c>
      <c r="AW195" s="11">
        <v>63.166699999999999</v>
      </c>
      <c r="AX195" s="11">
        <v>9.7909110000000013</v>
      </c>
      <c r="AY195" s="10">
        <v>24</v>
      </c>
      <c r="AZ195" t="s">
        <v>107</v>
      </c>
      <c r="BA195" s="17">
        <f t="shared" ref="BA195:BA258" si="37">IF(AZ195="queit",1,0)</f>
        <v>1</v>
      </c>
      <c r="BB195" s="17">
        <f t="shared" ref="BB195:BB258" si="38">IF(AZ195="Modest",1,0)</f>
        <v>0</v>
      </c>
      <c r="BC195" s="17">
        <f t="shared" ref="BC195:BC258" si="39">IF(AZ195="busy",1,0)</f>
        <v>0</v>
      </c>
      <c r="BG195" s="14">
        <v>0</v>
      </c>
      <c r="BH195" s="14">
        <v>1</v>
      </c>
      <c r="BI195" s="14">
        <v>0</v>
      </c>
      <c r="BJ195" s="14">
        <v>0</v>
      </c>
      <c r="BK195" s="14">
        <v>1</v>
      </c>
      <c r="BL195" s="14">
        <v>0</v>
      </c>
      <c r="BM195" s="14">
        <v>0</v>
      </c>
      <c r="BN195" s="14">
        <v>1</v>
      </c>
      <c r="BO195" s="14">
        <v>0</v>
      </c>
      <c r="BP195" s="14">
        <v>0</v>
      </c>
      <c r="BQ195" s="11">
        <v>7.7727149999999998</v>
      </c>
      <c r="BR195" s="11">
        <v>63.166699999999999</v>
      </c>
      <c r="BS195" s="11">
        <v>9.7909110000000013</v>
      </c>
      <c r="BT195" s="10">
        <v>24</v>
      </c>
    </row>
    <row r="196" spans="4:72" ht="20.149999999999999" customHeight="1">
      <c r="D196" s="10">
        <v>40</v>
      </c>
      <c r="E196" s="11">
        <v>26.962515</v>
      </c>
      <c r="F196" s="11">
        <v>42.083300000000001</v>
      </c>
      <c r="G196" s="10">
        <v>40</v>
      </c>
      <c r="J196" s="103"/>
      <c r="K196" s="86"/>
      <c r="AK196" s="10" t="s">
        <v>30</v>
      </c>
      <c r="AL196" s="10">
        <f t="shared" si="30"/>
        <v>0</v>
      </c>
      <c r="AM196" s="10">
        <f t="shared" si="31"/>
        <v>1</v>
      </c>
      <c r="AN196" s="10">
        <f t="shared" si="32"/>
        <v>0</v>
      </c>
      <c r="AO196" s="10" t="s">
        <v>24</v>
      </c>
      <c r="AP196" s="10">
        <f t="shared" si="33"/>
        <v>0</v>
      </c>
      <c r="AQ196" s="10" t="s">
        <v>11</v>
      </c>
      <c r="AR196" s="10">
        <f t="shared" si="34"/>
        <v>1</v>
      </c>
      <c r="AS196" s="10" t="s">
        <v>27</v>
      </c>
      <c r="AT196" s="10">
        <f>IF(AS196="cloudy",1,0)</f>
        <v>0</v>
      </c>
      <c r="AU196" s="10">
        <f t="shared" si="36"/>
        <v>0</v>
      </c>
      <c r="AV196" s="11">
        <v>7.4250000000000007</v>
      </c>
      <c r="AW196" s="11">
        <v>47.625</v>
      </c>
      <c r="AX196" s="11">
        <v>16.124689</v>
      </c>
      <c r="AY196" s="10">
        <v>28</v>
      </c>
      <c r="AZ196" t="s">
        <v>107</v>
      </c>
      <c r="BA196" s="17">
        <f t="shared" si="37"/>
        <v>1</v>
      </c>
      <c r="BB196" s="17">
        <f t="shared" si="38"/>
        <v>0</v>
      </c>
      <c r="BC196" s="17">
        <f t="shared" si="39"/>
        <v>0</v>
      </c>
      <c r="BG196" s="14">
        <v>0</v>
      </c>
      <c r="BH196" s="14">
        <v>1</v>
      </c>
      <c r="BI196" s="14">
        <v>0</v>
      </c>
      <c r="BJ196" s="14">
        <v>0</v>
      </c>
      <c r="BK196" s="14">
        <v>1</v>
      </c>
      <c r="BL196" s="14">
        <v>0</v>
      </c>
      <c r="BM196" s="14">
        <v>0</v>
      </c>
      <c r="BN196" s="14">
        <v>1</v>
      </c>
      <c r="BO196" s="14">
        <v>0</v>
      </c>
      <c r="BP196" s="14">
        <v>0</v>
      </c>
      <c r="BQ196" s="11">
        <v>7.4250000000000007</v>
      </c>
      <c r="BR196" s="11">
        <v>47.625</v>
      </c>
      <c r="BS196" s="11">
        <v>16.124689</v>
      </c>
      <c r="BT196" s="10">
        <v>28</v>
      </c>
    </row>
    <row r="197" spans="4:72" ht="20.149999999999999" customHeight="1">
      <c r="D197" s="10">
        <v>37</v>
      </c>
      <c r="E197" s="11">
        <v>28.526084999999998</v>
      </c>
      <c r="F197" s="11">
        <v>77.541700000000006</v>
      </c>
      <c r="G197" s="10">
        <v>37</v>
      </c>
      <c r="J197" s="103"/>
      <c r="K197" s="86"/>
      <c r="AK197" s="10" t="s">
        <v>30</v>
      </c>
      <c r="AL197" s="10">
        <f t="shared" si="30"/>
        <v>0</v>
      </c>
      <c r="AM197" s="10">
        <f t="shared" si="31"/>
        <v>1</v>
      </c>
      <c r="AN197" s="10">
        <f t="shared" si="32"/>
        <v>0</v>
      </c>
      <c r="AO197" s="10" t="s">
        <v>24</v>
      </c>
      <c r="AP197" s="10">
        <f t="shared" si="33"/>
        <v>0</v>
      </c>
      <c r="AQ197" s="10" t="s">
        <v>11</v>
      </c>
      <c r="AR197" s="10">
        <f t="shared" si="34"/>
        <v>1</v>
      </c>
      <c r="AS197" s="10" t="s">
        <v>27</v>
      </c>
      <c r="AT197" s="10">
        <f t="shared" ref="AT197:AT260" si="40">IF(AS197="cloudy",1,0)</f>
        <v>0</v>
      </c>
      <c r="AU197" s="10">
        <f t="shared" si="36"/>
        <v>0</v>
      </c>
      <c r="AV197" s="11">
        <v>7.2391500000000004</v>
      </c>
      <c r="AW197" s="11">
        <v>59.125000000000007</v>
      </c>
      <c r="AX197" s="11">
        <v>12.249810999999999</v>
      </c>
      <c r="AY197" s="10">
        <v>28</v>
      </c>
      <c r="AZ197" t="s">
        <v>107</v>
      </c>
      <c r="BA197" s="17">
        <f t="shared" si="37"/>
        <v>1</v>
      </c>
      <c r="BB197" s="17">
        <f t="shared" si="38"/>
        <v>0</v>
      </c>
      <c r="BC197" s="17">
        <f t="shared" si="39"/>
        <v>0</v>
      </c>
      <c r="BG197" s="14">
        <v>0</v>
      </c>
      <c r="BH197" s="14">
        <v>1</v>
      </c>
      <c r="BI197" s="14">
        <v>0</v>
      </c>
      <c r="BJ197" s="14">
        <v>0</v>
      </c>
      <c r="BK197" s="14">
        <v>1</v>
      </c>
      <c r="BL197" s="14">
        <v>0</v>
      </c>
      <c r="BM197" s="14">
        <v>0</v>
      </c>
      <c r="BN197" s="14">
        <v>1</v>
      </c>
      <c r="BO197" s="14">
        <v>0</v>
      </c>
      <c r="BP197" s="14">
        <v>0</v>
      </c>
      <c r="BQ197" s="11">
        <v>7.2391500000000004</v>
      </c>
      <c r="BR197" s="11">
        <v>59.125000000000007</v>
      </c>
      <c r="BS197" s="11">
        <v>12.249810999999999</v>
      </c>
      <c r="BT197" s="10">
        <v>28</v>
      </c>
    </row>
    <row r="198" spans="4:72" ht="20.149999999999999" customHeight="1">
      <c r="D198" s="10">
        <v>71</v>
      </c>
      <c r="E198" s="11">
        <v>29.25</v>
      </c>
      <c r="F198" s="11">
        <v>0</v>
      </c>
      <c r="G198" s="10">
        <v>71</v>
      </c>
      <c r="J198" s="103"/>
      <c r="K198" s="86"/>
      <c r="AK198" s="10" t="s">
        <v>30</v>
      </c>
      <c r="AL198" s="10">
        <f t="shared" si="30"/>
        <v>0</v>
      </c>
      <c r="AM198" s="10">
        <f t="shared" si="31"/>
        <v>1</v>
      </c>
      <c r="AN198" s="10">
        <f t="shared" si="32"/>
        <v>0</v>
      </c>
      <c r="AO198" s="10" t="s">
        <v>24</v>
      </c>
      <c r="AP198" s="10">
        <f t="shared" si="33"/>
        <v>0</v>
      </c>
      <c r="AQ198" s="10" t="s">
        <v>25</v>
      </c>
      <c r="AR198" s="10">
        <f t="shared" si="34"/>
        <v>0</v>
      </c>
      <c r="AS198" s="10" t="s">
        <v>27</v>
      </c>
      <c r="AT198" s="10">
        <f t="shared" si="40"/>
        <v>0</v>
      </c>
      <c r="AU198" s="10">
        <f t="shared" si="36"/>
        <v>0</v>
      </c>
      <c r="AV198" s="11">
        <v>10.499985000000001</v>
      </c>
      <c r="AW198" s="11">
        <v>58.5</v>
      </c>
      <c r="AX198" s="11">
        <v>13.958914</v>
      </c>
      <c r="AY198" s="10">
        <v>25</v>
      </c>
      <c r="AZ198" t="s">
        <v>107</v>
      </c>
      <c r="BA198" s="17">
        <f t="shared" si="37"/>
        <v>1</v>
      </c>
      <c r="BB198" s="17">
        <f t="shared" si="38"/>
        <v>0</v>
      </c>
      <c r="BC198" s="17">
        <f t="shared" si="39"/>
        <v>0</v>
      </c>
      <c r="BG198" s="14">
        <v>0</v>
      </c>
      <c r="BH198" s="14">
        <v>1</v>
      </c>
      <c r="BI198" s="14">
        <v>0</v>
      </c>
      <c r="BJ198" s="14">
        <v>0</v>
      </c>
      <c r="BK198" s="14">
        <v>0</v>
      </c>
      <c r="BL198" s="14">
        <v>0</v>
      </c>
      <c r="BM198" s="14">
        <v>0</v>
      </c>
      <c r="BN198" s="14">
        <v>1</v>
      </c>
      <c r="BO198" s="14">
        <v>0</v>
      </c>
      <c r="BP198" s="14">
        <v>0</v>
      </c>
      <c r="BQ198" s="11">
        <v>10.499985000000001</v>
      </c>
      <c r="BR198" s="11">
        <v>58.5</v>
      </c>
      <c r="BS198" s="11">
        <v>13.958914</v>
      </c>
      <c r="BT198" s="10">
        <v>25</v>
      </c>
    </row>
    <row r="199" spans="4:72" ht="20.149999999999999" customHeight="1">
      <c r="D199" s="10">
        <v>107</v>
      </c>
      <c r="E199" s="11">
        <v>29.700000000000003</v>
      </c>
      <c r="F199" s="11">
        <v>64.956499999999991</v>
      </c>
      <c r="G199" s="10">
        <v>107</v>
      </c>
      <c r="J199" s="103"/>
      <c r="K199" s="86"/>
      <c r="AK199" s="10" t="s">
        <v>30</v>
      </c>
      <c r="AL199" s="10">
        <f t="shared" si="30"/>
        <v>0</v>
      </c>
      <c r="AM199" s="10">
        <f t="shared" si="31"/>
        <v>1</v>
      </c>
      <c r="AN199" s="10">
        <f t="shared" si="32"/>
        <v>0</v>
      </c>
      <c r="AO199" s="10" t="s">
        <v>24</v>
      </c>
      <c r="AP199" s="10">
        <f t="shared" si="33"/>
        <v>0</v>
      </c>
      <c r="AQ199" s="10" t="s">
        <v>25</v>
      </c>
      <c r="AR199" s="10">
        <f t="shared" si="34"/>
        <v>0</v>
      </c>
      <c r="AS199" s="10" t="s">
        <v>27</v>
      </c>
      <c r="AT199" s="10">
        <f t="shared" si="40"/>
        <v>0</v>
      </c>
      <c r="AU199" s="10">
        <f t="shared" si="36"/>
        <v>0</v>
      </c>
      <c r="AV199" s="11">
        <v>10.425015</v>
      </c>
      <c r="AW199" s="11">
        <v>60.416699999999999</v>
      </c>
      <c r="AX199" s="11">
        <v>16.417211000000002</v>
      </c>
      <c r="AY199" s="10">
        <v>24</v>
      </c>
      <c r="AZ199" t="s">
        <v>107</v>
      </c>
      <c r="BA199" s="17">
        <f t="shared" si="37"/>
        <v>1</v>
      </c>
      <c r="BB199" s="17">
        <f t="shared" si="38"/>
        <v>0</v>
      </c>
      <c r="BC199" s="17">
        <f t="shared" si="39"/>
        <v>0</v>
      </c>
      <c r="BG199" s="14">
        <v>0</v>
      </c>
      <c r="BH199" s="14">
        <v>1</v>
      </c>
      <c r="BI199" s="14">
        <v>0</v>
      </c>
      <c r="BJ199" s="14">
        <v>0</v>
      </c>
      <c r="BK199" s="14">
        <v>0</v>
      </c>
      <c r="BL199" s="14">
        <v>0</v>
      </c>
      <c r="BM199" s="14">
        <v>0</v>
      </c>
      <c r="BN199" s="14">
        <v>1</v>
      </c>
      <c r="BO199" s="14">
        <v>0</v>
      </c>
      <c r="BP199" s="14">
        <v>0</v>
      </c>
      <c r="BQ199" s="11">
        <v>10.425015</v>
      </c>
      <c r="BR199" s="11">
        <v>60.416699999999999</v>
      </c>
      <c r="BS199" s="11">
        <v>16.417211000000002</v>
      </c>
      <c r="BT199" s="10">
        <v>24</v>
      </c>
    </row>
    <row r="200" spans="4:72" ht="20.149999999999999" customHeight="1">
      <c r="D200" s="10">
        <v>101</v>
      </c>
      <c r="E200" s="11">
        <v>29.399985000000001</v>
      </c>
      <c r="F200" s="11">
        <v>59.458299999999994</v>
      </c>
      <c r="G200" s="10">
        <v>101</v>
      </c>
      <c r="J200" s="103"/>
      <c r="K200" s="86"/>
      <c r="AK200" s="10" t="s">
        <v>30</v>
      </c>
      <c r="AL200" s="10">
        <f t="shared" si="30"/>
        <v>0</v>
      </c>
      <c r="AM200" s="10">
        <f t="shared" si="31"/>
        <v>1</v>
      </c>
      <c r="AN200" s="10">
        <f t="shared" si="32"/>
        <v>0</v>
      </c>
      <c r="AO200" s="10" t="s">
        <v>24</v>
      </c>
      <c r="AP200" s="10">
        <f t="shared" si="33"/>
        <v>0</v>
      </c>
      <c r="AQ200" s="10" t="s">
        <v>11</v>
      </c>
      <c r="AR200" s="10">
        <f t="shared" si="34"/>
        <v>1</v>
      </c>
      <c r="AS200" s="10" t="s">
        <v>27</v>
      </c>
      <c r="AT200" s="10">
        <f t="shared" si="40"/>
        <v>0</v>
      </c>
      <c r="AU200" s="10">
        <f t="shared" si="36"/>
        <v>0</v>
      </c>
      <c r="AV200" s="11">
        <v>7.9124849999999993</v>
      </c>
      <c r="AW200" s="11">
        <v>65.125</v>
      </c>
      <c r="AX200" s="11">
        <v>14.458867999999999</v>
      </c>
      <c r="AY200" s="10">
        <v>20</v>
      </c>
      <c r="AZ200" t="s">
        <v>107</v>
      </c>
      <c r="BA200" s="17">
        <f t="shared" si="37"/>
        <v>1</v>
      </c>
      <c r="BB200" s="17">
        <f t="shared" si="38"/>
        <v>0</v>
      </c>
      <c r="BC200" s="17">
        <f t="shared" si="39"/>
        <v>0</v>
      </c>
      <c r="BG200" s="14">
        <v>0</v>
      </c>
      <c r="BH200" s="14">
        <v>1</v>
      </c>
      <c r="BI200" s="14">
        <v>0</v>
      </c>
      <c r="BJ200" s="14">
        <v>0</v>
      </c>
      <c r="BK200" s="14">
        <v>1</v>
      </c>
      <c r="BL200" s="14">
        <v>0</v>
      </c>
      <c r="BM200" s="14">
        <v>0</v>
      </c>
      <c r="BN200" s="14">
        <v>1</v>
      </c>
      <c r="BO200" s="14">
        <v>0</v>
      </c>
      <c r="BP200" s="14">
        <v>0</v>
      </c>
      <c r="BQ200" s="11">
        <v>7.9124849999999993</v>
      </c>
      <c r="BR200" s="11">
        <v>65.125</v>
      </c>
      <c r="BS200" s="11">
        <v>14.458867999999999</v>
      </c>
      <c r="BT200" s="10">
        <v>20</v>
      </c>
    </row>
    <row r="201" spans="4:72" ht="20.149999999999999" customHeight="1">
      <c r="D201" s="10">
        <v>94</v>
      </c>
      <c r="E201" s="11">
        <v>28.995660000000001</v>
      </c>
      <c r="F201" s="11">
        <v>52.739100000000008</v>
      </c>
      <c r="G201" s="10">
        <v>94</v>
      </c>
      <c r="J201" s="103"/>
      <c r="K201" s="86"/>
      <c r="AK201" s="10" t="s">
        <v>30</v>
      </c>
      <c r="AL201" s="10">
        <f t="shared" si="30"/>
        <v>0</v>
      </c>
      <c r="AM201" s="10">
        <f t="shared" si="31"/>
        <v>1</v>
      </c>
      <c r="AN201" s="10">
        <f t="shared" si="32"/>
        <v>0</v>
      </c>
      <c r="AO201" s="10" t="s">
        <v>24</v>
      </c>
      <c r="AP201" s="10">
        <f t="shared" si="33"/>
        <v>0</v>
      </c>
      <c r="AQ201" s="10" t="s">
        <v>11</v>
      </c>
      <c r="AR201" s="10">
        <f t="shared" si="34"/>
        <v>1</v>
      </c>
      <c r="AS201" s="10" t="s">
        <v>27</v>
      </c>
      <c r="AT201" s="10">
        <f t="shared" si="40"/>
        <v>0</v>
      </c>
      <c r="AU201" s="10">
        <f t="shared" si="36"/>
        <v>0</v>
      </c>
      <c r="AV201" s="11">
        <v>9.7500149999999994</v>
      </c>
      <c r="AW201" s="11">
        <v>65.041700000000006</v>
      </c>
      <c r="AX201" s="11">
        <v>8.7501999999999995</v>
      </c>
      <c r="AY201" s="10">
        <v>13</v>
      </c>
      <c r="AZ201" t="s">
        <v>107</v>
      </c>
      <c r="BA201" s="17">
        <f t="shared" si="37"/>
        <v>1</v>
      </c>
      <c r="BB201" s="17">
        <f t="shared" si="38"/>
        <v>0</v>
      </c>
      <c r="BC201" s="17">
        <f t="shared" si="39"/>
        <v>0</v>
      </c>
      <c r="BG201" s="14">
        <v>0</v>
      </c>
      <c r="BH201" s="14">
        <v>1</v>
      </c>
      <c r="BI201" s="14">
        <v>0</v>
      </c>
      <c r="BJ201" s="14">
        <v>0</v>
      </c>
      <c r="BK201" s="14">
        <v>1</v>
      </c>
      <c r="BL201" s="14">
        <v>0</v>
      </c>
      <c r="BM201" s="14">
        <v>0</v>
      </c>
      <c r="BN201" s="14">
        <v>1</v>
      </c>
      <c r="BO201" s="14">
        <v>0</v>
      </c>
      <c r="BP201" s="14">
        <v>0</v>
      </c>
      <c r="BQ201" s="11">
        <v>9.7500149999999994</v>
      </c>
      <c r="BR201" s="11">
        <v>65.041700000000006</v>
      </c>
      <c r="BS201" s="11">
        <v>8.7501999999999995</v>
      </c>
      <c r="BT201" s="10">
        <v>13</v>
      </c>
    </row>
    <row r="202" spans="4:72" ht="20.149999999999999" customHeight="1">
      <c r="D202" s="10">
        <v>95</v>
      </c>
      <c r="E202" s="11">
        <v>29.287485</v>
      </c>
      <c r="F202" s="11">
        <v>49.695699999999995</v>
      </c>
      <c r="G202" s="10">
        <v>95</v>
      </c>
      <c r="J202" s="103"/>
      <c r="K202" s="86"/>
      <c r="AK202" s="10" t="s">
        <v>30</v>
      </c>
      <c r="AL202" s="10">
        <f t="shared" si="30"/>
        <v>0</v>
      </c>
      <c r="AM202" s="10">
        <f t="shared" si="31"/>
        <v>1</v>
      </c>
      <c r="AN202" s="10">
        <f t="shared" si="32"/>
        <v>0</v>
      </c>
      <c r="AO202" s="10" t="s">
        <v>24</v>
      </c>
      <c r="AP202" s="10">
        <f t="shared" si="33"/>
        <v>0</v>
      </c>
      <c r="AQ202" s="10" t="s">
        <v>11</v>
      </c>
      <c r="AR202" s="10">
        <f t="shared" si="34"/>
        <v>1</v>
      </c>
      <c r="AS202" s="10" t="s">
        <v>27</v>
      </c>
      <c r="AT202" s="10">
        <f t="shared" si="40"/>
        <v>0</v>
      </c>
      <c r="AU202" s="10">
        <f t="shared" si="36"/>
        <v>0</v>
      </c>
      <c r="AV202" s="11">
        <v>13.147829999999999</v>
      </c>
      <c r="AW202" s="11">
        <v>70.708300000000008</v>
      </c>
      <c r="AX202" s="11">
        <v>7.6257390000000003</v>
      </c>
      <c r="AY202" s="10">
        <v>33</v>
      </c>
      <c r="AZ202" t="s">
        <v>107</v>
      </c>
      <c r="BA202" s="17">
        <f t="shared" si="37"/>
        <v>1</v>
      </c>
      <c r="BB202" s="17">
        <f t="shared" si="38"/>
        <v>0</v>
      </c>
      <c r="BC202" s="17">
        <f t="shared" si="39"/>
        <v>0</v>
      </c>
      <c r="BG202" s="14">
        <v>0</v>
      </c>
      <c r="BH202" s="14">
        <v>1</v>
      </c>
      <c r="BI202" s="14">
        <v>0</v>
      </c>
      <c r="BJ202" s="14">
        <v>0</v>
      </c>
      <c r="BK202" s="14">
        <v>1</v>
      </c>
      <c r="BL202" s="14">
        <v>0</v>
      </c>
      <c r="BM202" s="14">
        <v>0</v>
      </c>
      <c r="BN202" s="14">
        <v>1</v>
      </c>
      <c r="BO202" s="14">
        <v>0</v>
      </c>
      <c r="BP202" s="14">
        <v>0</v>
      </c>
      <c r="BQ202" s="11">
        <v>13.147829999999999</v>
      </c>
      <c r="BR202" s="11">
        <v>70.708300000000008</v>
      </c>
      <c r="BS202" s="11">
        <v>7.6257390000000003</v>
      </c>
      <c r="BT202" s="10">
        <v>33</v>
      </c>
    </row>
    <row r="203" spans="4:72" ht="20.149999999999999" customHeight="1">
      <c r="D203" s="10">
        <v>96</v>
      </c>
      <c r="E203" s="11">
        <v>30.299985</v>
      </c>
      <c r="F203" s="11">
        <v>65.565200000000004</v>
      </c>
      <c r="G203" s="10">
        <v>96</v>
      </c>
      <c r="J203" s="103"/>
      <c r="K203" s="86"/>
      <c r="AK203" s="10" t="s">
        <v>30</v>
      </c>
      <c r="AL203" s="10">
        <f t="shared" si="30"/>
        <v>0</v>
      </c>
      <c r="AM203" s="10">
        <f t="shared" si="31"/>
        <v>1</v>
      </c>
      <c r="AN203" s="10">
        <f t="shared" si="32"/>
        <v>0</v>
      </c>
      <c r="AO203" s="10" t="s">
        <v>24</v>
      </c>
      <c r="AP203" s="10">
        <f t="shared" si="33"/>
        <v>0</v>
      </c>
      <c r="AQ203" s="10" t="s">
        <v>11</v>
      </c>
      <c r="AR203" s="10">
        <f t="shared" si="34"/>
        <v>1</v>
      </c>
      <c r="AS203" s="10" t="s">
        <v>26</v>
      </c>
      <c r="AT203" s="10">
        <f t="shared" si="40"/>
        <v>1</v>
      </c>
      <c r="AU203" s="10">
        <f t="shared" si="36"/>
        <v>0</v>
      </c>
      <c r="AV203" s="11">
        <v>11.775015</v>
      </c>
      <c r="AW203" s="11">
        <v>69.125</v>
      </c>
      <c r="AX203" s="11">
        <v>14.875406999999999</v>
      </c>
      <c r="AY203" s="10">
        <v>39</v>
      </c>
      <c r="AZ203" t="s">
        <v>107</v>
      </c>
      <c r="BA203" s="17">
        <f t="shared" si="37"/>
        <v>1</v>
      </c>
      <c r="BB203" s="17">
        <f t="shared" si="38"/>
        <v>0</v>
      </c>
      <c r="BC203" s="17">
        <f t="shared" si="39"/>
        <v>0</v>
      </c>
      <c r="BG203" s="14">
        <v>0</v>
      </c>
      <c r="BH203" s="14">
        <v>1</v>
      </c>
      <c r="BI203" s="14">
        <v>0</v>
      </c>
      <c r="BJ203" s="14">
        <v>0</v>
      </c>
      <c r="BK203" s="14">
        <v>1</v>
      </c>
      <c r="BL203" s="14">
        <v>1</v>
      </c>
      <c r="BM203" s="14">
        <v>0</v>
      </c>
      <c r="BN203" s="14">
        <v>1</v>
      </c>
      <c r="BO203" s="14">
        <v>0</v>
      </c>
      <c r="BP203" s="14">
        <v>0</v>
      </c>
      <c r="BQ203" s="11">
        <v>11.775015</v>
      </c>
      <c r="BR203" s="11">
        <v>69.125</v>
      </c>
      <c r="BS203" s="11">
        <v>14.875406999999999</v>
      </c>
      <c r="BT203" s="10">
        <v>39</v>
      </c>
    </row>
    <row r="204" spans="4:72" ht="20.149999999999999" customHeight="1">
      <c r="D204" s="10">
        <v>74</v>
      </c>
      <c r="E204" s="11">
        <v>25.987500000000001</v>
      </c>
      <c r="F204" s="11">
        <v>77.652200000000008</v>
      </c>
      <c r="G204" s="10">
        <v>74</v>
      </c>
      <c r="J204" s="103"/>
      <c r="K204" s="86"/>
      <c r="AK204" s="10" t="s">
        <v>30</v>
      </c>
      <c r="AL204" s="10">
        <f t="shared" si="30"/>
        <v>0</v>
      </c>
      <c r="AM204" s="10">
        <f t="shared" si="31"/>
        <v>1</v>
      </c>
      <c r="AN204" s="10">
        <f t="shared" si="32"/>
        <v>0</v>
      </c>
      <c r="AO204" s="10" t="s">
        <v>24</v>
      </c>
      <c r="AP204" s="10">
        <f t="shared" si="33"/>
        <v>0</v>
      </c>
      <c r="AQ204" s="10" t="s">
        <v>11</v>
      </c>
      <c r="AR204" s="10">
        <f t="shared" si="34"/>
        <v>1</v>
      </c>
      <c r="AS204" s="10" t="s">
        <v>27</v>
      </c>
      <c r="AT204" s="10">
        <f t="shared" si="40"/>
        <v>0</v>
      </c>
      <c r="AU204" s="10">
        <f t="shared" si="36"/>
        <v>0</v>
      </c>
      <c r="AV204" s="11">
        <v>7.9874999999999998</v>
      </c>
      <c r="AW204" s="11">
        <v>58.041699999999999</v>
      </c>
      <c r="AX204" s="11">
        <v>8.9177</v>
      </c>
      <c r="AY204" s="10">
        <v>31</v>
      </c>
      <c r="AZ204" t="s">
        <v>107</v>
      </c>
      <c r="BA204" s="17">
        <f t="shared" si="37"/>
        <v>1</v>
      </c>
      <c r="BB204" s="17">
        <f t="shared" si="38"/>
        <v>0</v>
      </c>
      <c r="BC204" s="17">
        <f t="shared" si="39"/>
        <v>0</v>
      </c>
      <c r="BG204" s="14">
        <v>0</v>
      </c>
      <c r="BH204" s="14">
        <v>1</v>
      </c>
      <c r="BI204" s="14">
        <v>0</v>
      </c>
      <c r="BJ204" s="14">
        <v>0</v>
      </c>
      <c r="BK204" s="14">
        <v>1</v>
      </c>
      <c r="BL204" s="14">
        <v>0</v>
      </c>
      <c r="BM204" s="14">
        <v>0</v>
      </c>
      <c r="BN204" s="14">
        <v>1</v>
      </c>
      <c r="BO204" s="14">
        <v>0</v>
      </c>
      <c r="BP204" s="14">
        <v>0</v>
      </c>
      <c r="BQ204" s="11">
        <v>7.9874999999999998</v>
      </c>
      <c r="BR204" s="11">
        <v>58.041699999999999</v>
      </c>
      <c r="BS204" s="11">
        <v>8.9177</v>
      </c>
      <c r="BT204" s="10">
        <v>31</v>
      </c>
    </row>
    <row r="205" spans="4:72" ht="20.149999999999999" customHeight="1">
      <c r="D205" s="10">
        <v>95</v>
      </c>
      <c r="E205" s="11">
        <v>21.112514999999998</v>
      </c>
      <c r="F205" s="11">
        <v>60.291700000000006</v>
      </c>
      <c r="G205" s="10">
        <v>95</v>
      </c>
      <c r="J205" s="103"/>
      <c r="K205" s="86"/>
      <c r="AK205" s="10" t="s">
        <v>30</v>
      </c>
      <c r="AL205" s="10">
        <f t="shared" si="30"/>
        <v>0</v>
      </c>
      <c r="AM205" s="10">
        <f t="shared" si="31"/>
        <v>1</v>
      </c>
      <c r="AN205" s="10">
        <f t="shared" si="32"/>
        <v>0</v>
      </c>
      <c r="AO205" s="10" t="s">
        <v>24</v>
      </c>
      <c r="AP205" s="10">
        <f t="shared" si="33"/>
        <v>0</v>
      </c>
      <c r="AQ205" s="10" t="s">
        <v>25</v>
      </c>
      <c r="AR205" s="10">
        <f t="shared" si="34"/>
        <v>0</v>
      </c>
      <c r="AS205" s="10" t="s">
        <v>27</v>
      </c>
      <c r="AT205" s="10">
        <f t="shared" si="40"/>
        <v>0</v>
      </c>
      <c r="AU205" s="10">
        <f t="shared" si="36"/>
        <v>0</v>
      </c>
      <c r="AV205" s="11">
        <v>2.6608679999999998</v>
      </c>
      <c r="AW205" s="11">
        <v>50</v>
      </c>
      <c r="AX205" s="11">
        <v>8.7918070000000004</v>
      </c>
      <c r="AY205" s="10">
        <v>20</v>
      </c>
      <c r="AZ205" t="s">
        <v>107</v>
      </c>
      <c r="BA205" s="17">
        <f t="shared" si="37"/>
        <v>1</v>
      </c>
      <c r="BB205" s="17">
        <f t="shared" si="38"/>
        <v>0</v>
      </c>
      <c r="BC205" s="17">
        <f t="shared" si="39"/>
        <v>0</v>
      </c>
      <c r="BG205" s="14">
        <v>0</v>
      </c>
      <c r="BH205" s="14">
        <v>1</v>
      </c>
      <c r="BI205" s="14">
        <v>0</v>
      </c>
      <c r="BJ205" s="14">
        <v>0</v>
      </c>
      <c r="BK205" s="14">
        <v>0</v>
      </c>
      <c r="BL205" s="14">
        <v>0</v>
      </c>
      <c r="BM205" s="14">
        <v>0</v>
      </c>
      <c r="BN205" s="14">
        <v>1</v>
      </c>
      <c r="BO205" s="14">
        <v>0</v>
      </c>
      <c r="BP205" s="14">
        <v>0</v>
      </c>
      <c r="BQ205" s="11">
        <v>2.6608679999999998</v>
      </c>
      <c r="BR205" s="11">
        <v>50</v>
      </c>
      <c r="BS205" s="11">
        <v>8.7918070000000004</v>
      </c>
      <c r="BT205" s="10">
        <v>20</v>
      </c>
    </row>
    <row r="206" spans="4:72" ht="20.149999999999999" customHeight="1">
      <c r="D206" s="10">
        <v>91</v>
      </c>
      <c r="E206" s="11">
        <v>22.125015000000001</v>
      </c>
      <c r="F206" s="11">
        <v>52.521700000000003</v>
      </c>
      <c r="G206" s="10">
        <v>91</v>
      </c>
      <c r="J206" s="103"/>
      <c r="K206" s="86"/>
      <c r="AK206" s="10" t="s">
        <v>30</v>
      </c>
      <c r="AL206" s="10">
        <f t="shared" si="30"/>
        <v>0</v>
      </c>
      <c r="AM206" s="10">
        <f t="shared" si="31"/>
        <v>1</v>
      </c>
      <c r="AN206" s="10">
        <f t="shared" si="32"/>
        <v>0</v>
      </c>
      <c r="AO206" s="10" t="s">
        <v>24</v>
      </c>
      <c r="AP206" s="10">
        <f t="shared" si="33"/>
        <v>0</v>
      </c>
      <c r="AQ206" s="10" t="s">
        <v>25</v>
      </c>
      <c r="AR206" s="10">
        <f t="shared" si="34"/>
        <v>0</v>
      </c>
      <c r="AS206" s="10" t="s">
        <v>27</v>
      </c>
      <c r="AT206" s="10">
        <f t="shared" si="40"/>
        <v>0</v>
      </c>
      <c r="AU206" s="10">
        <f t="shared" si="36"/>
        <v>0</v>
      </c>
      <c r="AV206" s="11">
        <v>4.3434765000000004</v>
      </c>
      <c r="AW206" s="11">
        <v>55.083300000000001</v>
      </c>
      <c r="AX206" s="11">
        <v>11.334456999999999</v>
      </c>
      <c r="AY206" s="10">
        <v>20</v>
      </c>
      <c r="AZ206" t="s">
        <v>107</v>
      </c>
      <c r="BA206" s="17">
        <f t="shared" si="37"/>
        <v>1</v>
      </c>
      <c r="BB206" s="17">
        <f t="shared" si="38"/>
        <v>0</v>
      </c>
      <c r="BC206" s="17">
        <f t="shared" si="39"/>
        <v>0</v>
      </c>
      <c r="BG206" s="14">
        <v>0</v>
      </c>
      <c r="BH206" s="14">
        <v>1</v>
      </c>
      <c r="BI206" s="14">
        <v>0</v>
      </c>
      <c r="BJ206" s="14">
        <v>0</v>
      </c>
      <c r="BK206" s="14">
        <v>0</v>
      </c>
      <c r="BL206" s="14">
        <v>0</v>
      </c>
      <c r="BM206" s="14">
        <v>0</v>
      </c>
      <c r="BN206" s="14">
        <v>1</v>
      </c>
      <c r="BO206" s="14">
        <v>0</v>
      </c>
      <c r="BP206" s="14">
        <v>0</v>
      </c>
      <c r="BQ206" s="11">
        <v>4.3434765000000004</v>
      </c>
      <c r="BR206" s="11">
        <v>55.083300000000001</v>
      </c>
      <c r="BS206" s="11">
        <v>11.334456999999999</v>
      </c>
      <c r="BT206" s="10">
        <v>20</v>
      </c>
    </row>
    <row r="207" spans="4:72" ht="20.149999999999999" customHeight="1">
      <c r="D207" s="10">
        <v>85</v>
      </c>
      <c r="E207" s="11">
        <v>22.837499999999999</v>
      </c>
      <c r="F207" s="11">
        <v>37.916699999999999</v>
      </c>
      <c r="G207" s="10">
        <v>85</v>
      </c>
      <c r="J207" s="103"/>
      <c r="K207" s="86"/>
      <c r="AK207" s="10" t="s">
        <v>30</v>
      </c>
      <c r="AL207" s="10">
        <f t="shared" si="30"/>
        <v>0</v>
      </c>
      <c r="AM207" s="10">
        <f t="shared" si="31"/>
        <v>1</v>
      </c>
      <c r="AN207" s="10">
        <f t="shared" si="32"/>
        <v>0</v>
      </c>
      <c r="AO207" s="10" t="s">
        <v>24</v>
      </c>
      <c r="AP207" s="10">
        <f t="shared" si="33"/>
        <v>0</v>
      </c>
      <c r="AQ207" s="10" t="s">
        <v>11</v>
      </c>
      <c r="AR207" s="10">
        <f t="shared" si="34"/>
        <v>1</v>
      </c>
      <c r="AS207" s="10" t="s">
        <v>27</v>
      </c>
      <c r="AT207" s="10">
        <f t="shared" si="40"/>
        <v>0</v>
      </c>
      <c r="AU207" s="10">
        <f t="shared" si="36"/>
        <v>0</v>
      </c>
      <c r="AV207" s="11">
        <v>4.3826084999999999</v>
      </c>
      <c r="AW207" s="11">
        <v>75.708299999999994</v>
      </c>
      <c r="AX207" s="11">
        <v>6.0841560999999995</v>
      </c>
      <c r="AY207" s="10">
        <v>29</v>
      </c>
      <c r="AZ207" t="s">
        <v>107</v>
      </c>
      <c r="BA207" s="17">
        <f t="shared" si="37"/>
        <v>1</v>
      </c>
      <c r="BB207" s="17">
        <f t="shared" si="38"/>
        <v>0</v>
      </c>
      <c r="BC207" s="17">
        <f t="shared" si="39"/>
        <v>0</v>
      </c>
      <c r="BG207" s="14">
        <v>0</v>
      </c>
      <c r="BH207" s="14">
        <v>1</v>
      </c>
      <c r="BI207" s="14">
        <v>0</v>
      </c>
      <c r="BJ207" s="14">
        <v>0</v>
      </c>
      <c r="BK207" s="14">
        <v>1</v>
      </c>
      <c r="BL207" s="14">
        <v>0</v>
      </c>
      <c r="BM207" s="14">
        <v>0</v>
      </c>
      <c r="BN207" s="14">
        <v>1</v>
      </c>
      <c r="BO207" s="14">
        <v>0</v>
      </c>
      <c r="BP207" s="14">
        <v>0</v>
      </c>
      <c r="BQ207" s="11">
        <v>4.3826084999999999</v>
      </c>
      <c r="BR207" s="11">
        <v>75.708299999999994</v>
      </c>
      <c r="BS207" s="11">
        <v>6.0841560999999995</v>
      </c>
      <c r="BT207" s="10">
        <v>29</v>
      </c>
    </row>
    <row r="208" spans="4:72" ht="20.149999999999999" customHeight="1">
      <c r="D208" s="10">
        <v>91</v>
      </c>
      <c r="E208" s="11">
        <v>24.712515</v>
      </c>
      <c r="F208" s="11">
        <v>47.375</v>
      </c>
      <c r="G208" s="10">
        <v>91</v>
      </c>
      <c r="J208" s="103"/>
      <c r="K208" s="86"/>
      <c r="AK208" s="10" t="s">
        <v>30</v>
      </c>
      <c r="AL208" s="10">
        <f t="shared" si="30"/>
        <v>0</v>
      </c>
      <c r="AM208" s="10">
        <f t="shared" si="31"/>
        <v>1</v>
      </c>
      <c r="AN208" s="10">
        <f t="shared" si="32"/>
        <v>0</v>
      </c>
      <c r="AO208" s="10" t="s">
        <v>24</v>
      </c>
      <c r="AP208" s="10">
        <f t="shared" si="33"/>
        <v>0</v>
      </c>
      <c r="AQ208" s="10" t="s">
        <v>11</v>
      </c>
      <c r="AR208" s="10">
        <f t="shared" si="34"/>
        <v>1</v>
      </c>
      <c r="AS208" s="10" t="s">
        <v>27</v>
      </c>
      <c r="AT208" s="10">
        <f t="shared" si="40"/>
        <v>0</v>
      </c>
      <c r="AU208" s="10">
        <f t="shared" si="36"/>
        <v>0</v>
      </c>
      <c r="AV208" s="11">
        <v>10.056510000000001</v>
      </c>
      <c r="AW208" s="11">
        <v>54.083300000000001</v>
      </c>
      <c r="AX208" s="11">
        <v>13.417285999999999</v>
      </c>
      <c r="AY208" s="10">
        <v>40</v>
      </c>
      <c r="AZ208" t="s">
        <v>106</v>
      </c>
      <c r="BA208" s="17">
        <f t="shared" si="37"/>
        <v>0</v>
      </c>
      <c r="BB208" s="17">
        <f t="shared" si="38"/>
        <v>1</v>
      </c>
      <c r="BC208" s="17">
        <f t="shared" si="39"/>
        <v>0</v>
      </c>
      <c r="BG208" s="14">
        <v>0</v>
      </c>
      <c r="BH208" s="14">
        <v>1</v>
      </c>
      <c r="BI208" s="14">
        <v>0</v>
      </c>
      <c r="BJ208" s="14">
        <v>0</v>
      </c>
      <c r="BK208" s="14">
        <v>1</v>
      </c>
      <c r="BL208" s="14">
        <v>0</v>
      </c>
      <c r="BM208" s="14">
        <v>0</v>
      </c>
      <c r="BN208" s="14">
        <v>0</v>
      </c>
      <c r="BO208" s="14">
        <v>1</v>
      </c>
      <c r="BP208" s="14">
        <v>0</v>
      </c>
      <c r="BQ208" s="11">
        <v>10.056510000000001</v>
      </c>
      <c r="BR208" s="11">
        <v>54.083300000000001</v>
      </c>
      <c r="BS208" s="11">
        <v>13.417285999999999</v>
      </c>
      <c r="BT208" s="10">
        <v>40</v>
      </c>
    </row>
    <row r="209" spans="4:72" ht="20.149999999999999" customHeight="1">
      <c r="D209" s="10">
        <v>73</v>
      </c>
      <c r="E209" s="11">
        <v>25.275015</v>
      </c>
      <c r="F209" s="11">
        <v>73.739100000000008</v>
      </c>
      <c r="G209" s="10">
        <v>73</v>
      </c>
      <c r="J209" s="103"/>
      <c r="K209" s="86"/>
      <c r="AK209" s="10" t="s">
        <v>30</v>
      </c>
      <c r="AL209" s="10">
        <f t="shared" si="30"/>
        <v>0</v>
      </c>
      <c r="AM209" s="10">
        <f t="shared" si="31"/>
        <v>1</v>
      </c>
      <c r="AN209" s="10">
        <f t="shared" si="32"/>
        <v>0</v>
      </c>
      <c r="AO209" s="10" t="s">
        <v>24</v>
      </c>
      <c r="AP209" s="10">
        <f t="shared" si="33"/>
        <v>0</v>
      </c>
      <c r="AQ209" s="10" t="s">
        <v>11</v>
      </c>
      <c r="AR209" s="10">
        <f t="shared" si="34"/>
        <v>1</v>
      </c>
      <c r="AS209" s="10" t="s">
        <v>27</v>
      </c>
      <c r="AT209" s="10">
        <f t="shared" si="40"/>
        <v>0</v>
      </c>
      <c r="AU209" s="10">
        <f t="shared" si="36"/>
        <v>0</v>
      </c>
      <c r="AV209" s="11">
        <v>9.7874999999999996</v>
      </c>
      <c r="AW209" s="11">
        <v>40.291700000000006</v>
      </c>
      <c r="AX209" s="11">
        <v>12.292020999999998</v>
      </c>
      <c r="AY209" s="10">
        <v>10</v>
      </c>
      <c r="AZ209" t="s">
        <v>107</v>
      </c>
      <c r="BA209" s="17">
        <f t="shared" si="37"/>
        <v>1</v>
      </c>
      <c r="BB209" s="17">
        <f t="shared" si="38"/>
        <v>0</v>
      </c>
      <c r="BC209" s="17">
        <f t="shared" si="39"/>
        <v>0</v>
      </c>
      <c r="BG209" s="14">
        <v>0</v>
      </c>
      <c r="BH209" s="14">
        <v>1</v>
      </c>
      <c r="BI209" s="14">
        <v>0</v>
      </c>
      <c r="BJ209" s="14">
        <v>0</v>
      </c>
      <c r="BK209" s="14">
        <v>1</v>
      </c>
      <c r="BL209" s="14">
        <v>0</v>
      </c>
      <c r="BM209" s="14">
        <v>0</v>
      </c>
      <c r="BN209" s="14">
        <v>1</v>
      </c>
      <c r="BO209" s="14">
        <v>0</v>
      </c>
      <c r="BP209" s="14">
        <v>0</v>
      </c>
      <c r="BQ209" s="11">
        <v>9.7874999999999996</v>
      </c>
      <c r="BR209" s="11">
        <v>40.291700000000006</v>
      </c>
      <c r="BS209" s="11">
        <v>12.292020999999998</v>
      </c>
      <c r="BT209" s="10">
        <v>10</v>
      </c>
    </row>
    <row r="210" spans="4:72" ht="20.149999999999999" customHeight="1">
      <c r="D210" s="10">
        <v>87</v>
      </c>
      <c r="E210" s="11">
        <v>26.774999999999999</v>
      </c>
      <c r="F210" s="11">
        <v>62.458300000000001</v>
      </c>
      <c r="G210" s="10">
        <v>87</v>
      </c>
      <c r="J210" s="103"/>
      <c r="K210" s="86"/>
      <c r="AK210" s="10" t="s">
        <v>30</v>
      </c>
      <c r="AL210" s="10">
        <f t="shared" si="30"/>
        <v>0</v>
      </c>
      <c r="AM210" s="10">
        <f t="shared" si="31"/>
        <v>1</v>
      </c>
      <c r="AN210" s="10">
        <f t="shared" si="32"/>
        <v>0</v>
      </c>
      <c r="AO210" s="10" t="s">
        <v>24</v>
      </c>
      <c r="AP210" s="10">
        <f t="shared" si="33"/>
        <v>0</v>
      </c>
      <c r="AQ210" s="10" t="s">
        <v>11</v>
      </c>
      <c r="AR210" s="10">
        <f t="shared" si="34"/>
        <v>1</v>
      </c>
      <c r="AS210" s="10" t="s">
        <v>27</v>
      </c>
      <c r="AT210" s="10">
        <f t="shared" si="40"/>
        <v>0</v>
      </c>
      <c r="AU210" s="10">
        <f t="shared" si="36"/>
        <v>0</v>
      </c>
      <c r="AV210" s="11">
        <v>8.7750000000000004</v>
      </c>
      <c r="AW210" s="11">
        <v>58.333300000000001</v>
      </c>
      <c r="AX210" s="11">
        <v>11.958093</v>
      </c>
      <c r="AY210" s="10">
        <v>8</v>
      </c>
      <c r="AZ210" t="s">
        <v>107</v>
      </c>
      <c r="BA210" s="17">
        <f t="shared" si="37"/>
        <v>1</v>
      </c>
      <c r="BB210" s="17">
        <f t="shared" si="38"/>
        <v>0</v>
      </c>
      <c r="BC210" s="17">
        <f t="shared" si="39"/>
        <v>0</v>
      </c>
      <c r="BG210" s="14">
        <v>0</v>
      </c>
      <c r="BH210" s="14">
        <v>1</v>
      </c>
      <c r="BI210" s="14">
        <v>0</v>
      </c>
      <c r="BJ210" s="14">
        <v>0</v>
      </c>
      <c r="BK210" s="14">
        <v>1</v>
      </c>
      <c r="BL210" s="14">
        <v>0</v>
      </c>
      <c r="BM210" s="14">
        <v>0</v>
      </c>
      <c r="BN210" s="14">
        <v>1</v>
      </c>
      <c r="BO210" s="14">
        <v>0</v>
      </c>
      <c r="BP210" s="14">
        <v>0</v>
      </c>
      <c r="BQ210" s="11">
        <v>8.7750000000000004</v>
      </c>
      <c r="BR210" s="11">
        <v>58.333300000000001</v>
      </c>
      <c r="BS210" s="11">
        <v>11.958093</v>
      </c>
      <c r="BT210" s="10">
        <v>8</v>
      </c>
    </row>
    <row r="211" spans="4:72" ht="20.149999999999999" customHeight="1">
      <c r="D211" s="10">
        <v>96</v>
      </c>
      <c r="E211" s="11">
        <v>28.274985000000001</v>
      </c>
      <c r="F211" s="11">
        <v>83.956500000000005</v>
      </c>
      <c r="G211" s="10">
        <v>96</v>
      </c>
      <c r="J211" s="103"/>
      <c r="K211" s="86"/>
      <c r="AK211" s="10" t="s">
        <v>30</v>
      </c>
      <c r="AL211" s="10">
        <f t="shared" si="30"/>
        <v>0</v>
      </c>
      <c r="AM211" s="10">
        <f t="shared" si="31"/>
        <v>1</v>
      </c>
      <c r="AN211" s="10">
        <f t="shared" si="32"/>
        <v>0</v>
      </c>
      <c r="AO211" s="10" t="s">
        <v>24</v>
      </c>
      <c r="AP211" s="10">
        <f t="shared" si="33"/>
        <v>0</v>
      </c>
      <c r="AQ211" s="10" t="s">
        <v>11</v>
      </c>
      <c r="AR211" s="10">
        <f t="shared" si="34"/>
        <v>1</v>
      </c>
      <c r="AS211" s="10" t="s">
        <v>27</v>
      </c>
      <c r="AT211" s="10">
        <f t="shared" si="40"/>
        <v>0</v>
      </c>
      <c r="AU211" s="10">
        <f t="shared" si="36"/>
        <v>0</v>
      </c>
      <c r="AV211" s="11">
        <v>9.156509999999999</v>
      </c>
      <c r="AW211" s="11">
        <v>54.25</v>
      </c>
      <c r="AX211" s="11">
        <v>11.667245999999999</v>
      </c>
      <c r="AY211" s="10">
        <v>24</v>
      </c>
      <c r="AZ211" t="s">
        <v>107</v>
      </c>
      <c r="BA211" s="17">
        <f t="shared" si="37"/>
        <v>1</v>
      </c>
      <c r="BB211" s="17">
        <f t="shared" si="38"/>
        <v>0</v>
      </c>
      <c r="BC211" s="17">
        <f t="shared" si="39"/>
        <v>0</v>
      </c>
      <c r="BG211" s="14">
        <v>0</v>
      </c>
      <c r="BH211" s="14">
        <v>1</v>
      </c>
      <c r="BI211" s="14">
        <v>0</v>
      </c>
      <c r="BJ211" s="14">
        <v>0</v>
      </c>
      <c r="BK211" s="14">
        <v>1</v>
      </c>
      <c r="BL211" s="14">
        <v>0</v>
      </c>
      <c r="BM211" s="14">
        <v>0</v>
      </c>
      <c r="BN211" s="14">
        <v>1</v>
      </c>
      <c r="BO211" s="14">
        <v>0</v>
      </c>
      <c r="BP211" s="14">
        <v>0</v>
      </c>
      <c r="BQ211" s="11">
        <v>9.156509999999999</v>
      </c>
      <c r="BR211" s="11">
        <v>54.25</v>
      </c>
      <c r="BS211" s="11">
        <v>11.667245999999999</v>
      </c>
      <c r="BT211" s="10">
        <v>24</v>
      </c>
    </row>
    <row r="212" spans="4:72" ht="20.149999999999999" customHeight="1">
      <c r="D212" s="10">
        <v>48</v>
      </c>
      <c r="E212" s="11">
        <v>27.412514999999999</v>
      </c>
      <c r="F212" s="11">
        <v>80.583300000000008</v>
      </c>
      <c r="G212" s="10">
        <v>48</v>
      </c>
      <c r="J212" s="103"/>
      <c r="K212" s="86"/>
      <c r="AK212" s="10" t="s">
        <v>30</v>
      </c>
      <c r="AL212" s="10">
        <f t="shared" si="30"/>
        <v>0</v>
      </c>
      <c r="AM212" s="10">
        <f t="shared" si="31"/>
        <v>1</v>
      </c>
      <c r="AN212" s="10">
        <f t="shared" si="32"/>
        <v>0</v>
      </c>
      <c r="AO212" s="10" t="s">
        <v>24</v>
      </c>
      <c r="AP212" s="10">
        <f t="shared" si="33"/>
        <v>0</v>
      </c>
      <c r="AQ212" s="10" t="s">
        <v>25</v>
      </c>
      <c r="AR212" s="10">
        <f t="shared" si="34"/>
        <v>0</v>
      </c>
      <c r="AS212" s="10" t="s">
        <v>27</v>
      </c>
      <c r="AT212" s="10">
        <f t="shared" si="40"/>
        <v>0</v>
      </c>
      <c r="AU212" s="10">
        <f t="shared" si="36"/>
        <v>0</v>
      </c>
      <c r="AV212" s="11">
        <v>8.843490000000001</v>
      </c>
      <c r="AW212" s="11">
        <v>46.583300000000001</v>
      </c>
      <c r="AX212" s="11">
        <v>11.291979</v>
      </c>
      <c r="AY212" s="10">
        <v>22</v>
      </c>
      <c r="AZ212" t="s">
        <v>107</v>
      </c>
      <c r="BA212" s="17">
        <f t="shared" si="37"/>
        <v>1</v>
      </c>
      <c r="BB212" s="17">
        <f t="shared" si="38"/>
        <v>0</v>
      </c>
      <c r="BC212" s="17">
        <f t="shared" si="39"/>
        <v>0</v>
      </c>
      <c r="BG212" s="14">
        <v>0</v>
      </c>
      <c r="BH212" s="14">
        <v>1</v>
      </c>
      <c r="BI212" s="14">
        <v>0</v>
      </c>
      <c r="BJ212" s="14">
        <v>0</v>
      </c>
      <c r="BK212" s="14">
        <v>0</v>
      </c>
      <c r="BL212" s="14">
        <v>0</v>
      </c>
      <c r="BM212" s="14">
        <v>0</v>
      </c>
      <c r="BN212" s="14">
        <v>1</v>
      </c>
      <c r="BO212" s="14">
        <v>0</v>
      </c>
      <c r="BP212" s="14">
        <v>0</v>
      </c>
      <c r="BQ212" s="11">
        <v>8.843490000000001</v>
      </c>
      <c r="BR212" s="11">
        <v>46.583300000000001</v>
      </c>
      <c r="BS212" s="11">
        <v>11.291979</v>
      </c>
      <c r="BT212" s="10">
        <v>22</v>
      </c>
    </row>
    <row r="213" spans="4:72" ht="20.149999999999999" customHeight="1">
      <c r="D213" s="10">
        <v>109</v>
      </c>
      <c r="E213" s="11">
        <v>27.300014999999998</v>
      </c>
      <c r="F213" s="11">
        <v>49.5</v>
      </c>
      <c r="G213" s="10">
        <v>109</v>
      </c>
      <c r="J213" s="103"/>
      <c r="K213" s="86"/>
      <c r="AK213" s="10" t="s">
        <v>30</v>
      </c>
      <c r="AL213" s="10">
        <f t="shared" si="30"/>
        <v>0</v>
      </c>
      <c r="AM213" s="10">
        <f t="shared" si="31"/>
        <v>1</v>
      </c>
      <c r="AN213" s="10">
        <f t="shared" si="32"/>
        <v>0</v>
      </c>
      <c r="AO213" s="10" t="s">
        <v>24</v>
      </c>
      <c r="AP213" s="10">
        <f t="shared" si="33"/>
        <v>0</v>
      </c>
      <c r="AQ213" s="10" t="s">
        <v>25</v>
      </c>
      <c r="AR213" s="10">
        <f t="shared" si="34"/>
        <v>0</v>
      </c>
      <c r="AS213" s="10" t="s">
        <v>27</v>
      </c>
      <c r="AT213" s="10">
        <f t="shared" si="40"/>
        <v>0</v>
      </c>
      <c r="AU213" s="10">
        <f t="shared" si="36"/>
        <v>0</v>
      </c>
      <c r="AV213" s="11">
        <v>9.7434899999999995</v>
      </c>
      <c r="AW213" s="11">
        <v>48.083300000000001</v>
      </c>
      <c r="AX213" s="11">
        <v>11.042470999999999</v>
      </c>
      <c r="AY213" s="10">
        <v>22</v>
      </c>
      <c r="AZ213" t="s">
        <v>107</v>
      </c>
      <c r="BA213" s="17">
        <f t="shared" si="37"/>
        <v>1</v>
      </c>
      <c r="BB213" s="17">
        <f t="shared" si="38"/>
        <v>0</v>
      </c>
      <c r="BC213" s="17">
        <f t="shared" si="39"/>
        <v>0</v>
      </c>
      <c r="BG213" s="14">
        <v>0</v>
      </c>
      <c r="BH213" s="14">
        <v>1</v>
      </c>
      <c r="BI213" s="14">
        <v>0</v>
      </c>
      <c r="BJ213" s="14">
        <v>0</v>
      </c>
      <c r="BK213" s="14">
        <v>0</v>
      </c>
      <c r="BL213" s="14">
        <v>0</v>
      </c>
      <c r="BM213" s="14">
        <v>0</v>
      </c>
      <c r="BN213" s="14">
        <v>1</v>
      </c>
      <c r="BO213" s="14">
        <v>0</v>
      </c>
      <c r="BP213" s="14">
        <v>0</v>
      </c>
      <c r="BQ213" s="11">
        <v>9.7434899999999995</v>
      </c>
      <c r="BR213" s="11">
        <v>48.083300000000001</v>
      </c>
      <c r="BS213" s="11">
        <v>11.042470999999999</v>
      </c>
      <c r="BT213" s="10">
        <v>22</v>
      </c>
    </row>
    <row r="214" spans="4:72" ht="20.149999999999999" customHeight="1">
      <c r="D214" s="10">
        <v>100</v>
      </c>
      <c r="E214" s="11">
        <v>28.537515000000003</v>
      </c>
      <c r="F214" s="11">
        <v>39.416699999999999</v>
      </c>
      <c r="G214" s="10">
        <v>100</v>
      </c>
      <c r="J214" s="103"/>
      <c r="K214" s="86"/>
      <c r="AK214" s="10" t="s">
        <v>30</v>
      </c>
      <c r="AL214" s="10">
        <f t="shared" si="30"/>
        <v>0</v>
      </c>
      <c r="AM214" s="10">
        <f t="shared" si="31"/>
        <v>1</v>
      </c>
      <c r="AN214" s="10">
        <f t="shared" si="32"/>
        <v>0</v>
      </c>
      <c r="AO214" s="10" t="s">
        <v>24</v>
      </c>
      <c r="AP214" s="10">
        <f t="shared" si="33"/>
        <v>0</v>
      </c>
      <c r="AQ214" s="10" t="s">
        <v>11</v>
      </c>
      <c r="AR214" s="10">
        <f t="shared" si="34"/>
        <v>1</v>
      </c>
      <c r="AS214" s="10" t="s">
        <v>27</v>
      </c>
      <c r="AT214" s="10">
        <f t="shared" si="40"/>
        <v>0</v>
      </c>
      <c r="AU214" s="10">
        <f t="shared" si="36"/>
        <v>0</v>
      </c>
      <c r="AV214" s="11">
        <v>8.1374849999999999</v>
      </c>
      <c r="AW214" s="11">
        <v>55.083300000000001</v>
      </c>
      <c r="AX214" s="11">
        <v>10.500038999999999</v>
      </c>
      <c r="AY214" s="10">
        <v>30</v>
      </c>
      <c r="AZ214" t="s">
        <v>107</v>
      </c>
      <c r="BA214" s="17">
        <f t="shared" si="37"/>
        <v>1</v>
      </c>
      <c r="BB214" s="17">
        <f t="shared" si="38"/>
        <v>0</v>
      </c>
      <c r="BC214" s="17">
        <f t="shared" si="39"/>
        <v>0</v>
      </c>
      <c r="BG214" s="14">
        <v>0</v>
      </c>
      <c r="BH214" s="14">
        <v>1</v>
      </c>
      <c r="BI214" s="14">
        <v>0</v>
      </c>
      <c r="BJ214" s="14">
        <v>0</v>
      </c>
      <c r="BK214" s="14">
        <v>1</v>
      </c>
      <c r="BL214" s="14">
        <v>0</v>
      </c>
      <c r="BM214" s="14">
        <v>0</v>
      </c>
      <c r="BN214" s="14">
        <v>1</v>
      </c>
      <c r="BO214" s="14">
        <v>0</v>
      </c>
      <c r="BP214" s="14">
        <v>0</v>
      </c>
      <c r="BQ214" s="11">
        <v>8.1374849999999999</v>
      </c>
      <c r="BR214" s="11">
        <v>55.083300000000001</v>
      </c>
      <c r="BS214" s="11">
        <v>10.500038999999999</v>
      </c>
      <c r="BT214" s="10">
        <v>30</v>
      </c>
    </row>
    <row r="215" spans="4:72" ht="20.149999999999999" customHeight="1">
      <c r="D215" s="10">
        <v>93</v>
      </c>
      <c r="E215" s="11">
        <v>29.212515000000003</v>
      </c>
      <c r="F215" s="11">
        <v>49.391300000000001</v>
      </c>
      <c r="G215" s="10">
        <v>93</v>
      </c>
      <c r="J215" s="103"/>
      <c r="K215" s="86"/>
      <c r="AK215" s="10" t="s">
        <v>30</v>
      </c>
      <c r="AL215" s="10">
        <f t="shared" si="30"/>
        <v>0</v>
      </c>
      <c r="AM215" s="10">
        <f t="shared" si="31"/>
        <v>1</v>
      </c>
      <c r="AN215" s="10">
        <f t="shared" si="32"/>
        <v>0</v>
      </c>
      <c r="AO215" s="10" t="s">
        <v>24</v>
      </c>
      <c r="AP215" s="10">
        <f t="shared" si="33"/>
        <v>0</v>
      </c>
      <c r="AQ215" s="10" t="s">
        <v>11</v>
      </c>
      <c r="AR215" s="10">
        <f t="shared" si="34"/>
        <v>1</v>
      </c>
      <c r="AS215" s="10" t="s">
        <v>27</v>
      </c>
      <c r="AT215" s="10">
        <f t="shared" si="40"/>
        <v>0</v>
      </c>
      <c r="AU215" s="10">
        <f t="shared" si="36"/>
        <v>0</v>
      </c>
      <c r="AV215" s="11">
        <v>8.6478300000000008</v>
      </c>
      <c r="AW215" s="11">
        <v>49.125</v>
      </c>
      <c r="AX215" s="11">
        <v>13.79195</v>
      </c>
      <c r="AY215" s="10">
        <v>27</v>
      </c>
      <c r="AZ215" t="s">
        <v>107</v>
      </c>
      <c r="BA215" s="17">
        <f t="shared" si="37"/>
        <v>1</v>
      </c>
      <c r="BB215" s="17">
        <f t="shared" si="38"/>
        <v>0</v>
      </c>
      <c r="BC215" s="17">
        <f t="shared" si="39"/>
        <v>0</v>
      </c>
      <c r="BG215" s="14">
        <v>0</v>
      </c>
      <c r="BH215" s="14">
        <v>1</v>
      </c>
      <c r="BI215" s="14">
        <v>0</v>
      </c>
      <c r="BJ215" s="14">
        <v>0</v>
      </c>
      <c r="BK215" s="14">
        <v>1</v>
      </c>
      <c r="BL215" s="14">
        <v>0</v>
      </c>
      <c r="BM215" s="14">
        <v>0</v>
      </c>
      <c r="BN215" s="14">
        <v>1</v>
      </c>
      <c r="BO215" s="14">
        <v>0</v>
      </c>
      <c r="BP215" s="14">
        <v>0</v>
      </c>
      <c r="BQ215" s="11">
        <v>8.6478300000000008</v>
      </c>
      <c r="BR215" s="11">
        <v>49.125</v>
      </c>
      <c r="BS215" s="11">
        <v>13.79195</v>
      </c>
      <c r="BT215" s="10">
        <v>27</v>
      </c>
    </row>
    <row r="216" spans="4:72" ht="20.149999999999999" customHeight="1">
      <c r="D216" s="10">
        <v>83</v>
      </c>
      <c r="E216" s="11">
        <v>28.650015</v>
      </c>
      <c r="F216" s="11">
        <v>30.217400000000001</v>
      </c>
      <c r="G216" s="10">
        <v>83</v>
      </c>
      <c r="J216" s="103"/>
      <c r="K216" s="86"/>
      <c r="AK216" s="10" t="s">
        <v>30</v>
      </c>
      <c r="AL216" s="10">
        <f t="shared" si="30"/>
        <v>0</v>
      </c>
      <c r="AM216" s="10">
        <f t="shared" si="31"/>
        <v>1</v>
      </c>
      <c r="AN216" s="10">
        <f t="shared" si="32"/>
        <v>0</v>
      </c>
      <c r="AO216" s="10" t="s">
        <v>24</v>
      </c>
      <c r="AP216" s="10">
        <f t="shared" si="33"/>
        <v>0</v>
      </c>
      <c r="AQ216" s="10" t="s">
        <v>11</v>
      </c>
      <c r="AR216" s="10">
        <f t="shared" si="34"/>
        <v>1</v>
      </c>
      <c r="AS216" s="10" t="s">
        <v>26</v>
      </c>
      <c r="AT216" s="10">
        <f t="shared" si="40"/>
        <v>1</v>
      </c>
      <c r="AU216" s="10">
        <f t="shared" si="36"/>
        <v>0</v>
      </c>
      <c r="AV216" s="11">
        <v>11.700000000000001</v>
      </c>
      <c r="AW216" s="11">
        <v>65.75</v>
      </c>
      <c r="AX216" s="11">
        <v>9.0840610000000002</v>
      </c>
      <c r="AY216" s="10">
        <v>30</v>
      </c>
      <c r="AZ216" t="s">
        <v>107</v>
      </c>
      <c r="BA216" s="17">
        <f t="shared" si="37"/>
        <v>1</v>
      </c>
      <c r="BB216" s="17">
        <f t="shared" si="38"/>
        <v>0</v>
      </c>
      <c r="BC216" s="17">
        <f t="shared" si="39"/>
        <v>0</v>
      </c>
      <c r="BG216" s="14">
        <v>0</v>
      </c>
      <c r="BH216" s="14">
        <v>1</v>
      </c>
      <c r="BI216" s="14">
        <v>0</v>
      </c>
      <c r="BJ216" s="14">
        <v>0</v>
      </c>
      <c r="BK216" s="14">
        <v>1</v>
      </c>
      <c r="BL216" s="14">
        <v>1</v>
      </c>
      <c r="BM216" s="14">
        <v>0</v>
      </c>
      <c r="BN216" s="14">
        <v>1</v>
      </c>
      <c r="BO216" s="14">
        <v>0</v>
      </c>
      <c r="BP216" s="14">
        <v>0</v>
      </c>
      <c r="BQ216" s="11">
        <v>11.700000000000001</v>
      </c>
      <c r="BR216" s="11">
        <v>65.75</v>
      </c>
      <c r="BS216" s="11">
        <v>9.0840610000000002</v>
      </c>
      <c r="BT216" s="10">
        <v>30</v>
      </c>
    </row>
    <row r="217" spans="4:72" ht="20.149999999999999" customHeight="1">
      <c r="D217" s="10">
        <v>79</v>
      </c>
      <c r="E217" s="11">
        <v>28.574999999999999</v>
      </c>
      <c r="F217" s="11">
        <v>31.416699999999999</v>
      </c>
      <c r="G217" s="10">
        <v>79</v>
      </c>
      <c r="J217" s="103"/>
      <c r="K217" s="86"/>
      <c r="AK217" s="10" t="s">
        <v>30</v>
      </c>
      <c r="AL217" s="10">
        <f t="shared" si="30"/>
        <v>0</v>
      </c>
      <c r="AM217" s="10">
        <f t="shared" si="31"/>
        <v>1</v>
      </c>
      <c r="AN217" s="10">
        <f t="shared" si="32"/>
        <v>0</v>
      </c>
      <c r="AO217" s="10" t="s">
        <v>24</v>
      </c>
      <c r="AP217" s="10">
        <f t="shared" si="33"/>
        <v>0</v>
      </c>
      <c r="AQ217" s="10" t="s">
        <v>11</v>
      </c>
      <c r="AR217" s="10">
        <f t="shared" si="34"/>
        <v>1</v>
      </c>
      <c r="AS217" s="10" t="s">
        <v>26</v>
      </c>
      <c r="AT217" s="10">
        <f t="shared" si="40"/>
        <v>1</v>
      </c>
      <c r="AU217" s="10">
        <f t="shared" si="36"/>
        <v>0</v>
      </c>
      <c r="AV217" s="11">
        <v>8.4130650000000013</v>
      </c>
      <c r="AW217" s="11">
        <v>75.75</v>
      </c>
      <c r="AX217" s="11">
        <v>13.20905</v>
      </c>
      <c r="AY217" s="10">
        <v>31</v>
      </c>
      <c r="AZ217" t="s">
        <v>107</v>
      </c>
      <c r="BA217" s="17">
        <f t="shared" si="37"/>
        <v>1</v>
      </c>
      <c r="BB217" s="17">
        <f t="shared" si="38"/>
        <v>0</v>
      </c>
      <c r="BC217" s="17">
        <f t="shared" si="39"/>
        <v>0</v>
      </c>
      <c r="BG217" s="14">
        <v>0</v>
      </c>
      <c r="BH217" s="14">
        <v>1</v>
      </c>
      <c r="BI217" s="14">
        <v>0</v>
      </c>
      <c r="BJ217" s="14">
        <v>0</v>
      </c>
      <c r="BK217" s="14">
        <v>1</v>
      </c>
      <c r="BL217" s="14">
        <v>1</v>
      </c>
      <c r="BM217" s="14">
        <v>0</v>
      </c>
      <c r="BN217" s="14">
        <v>1</v>
      </c>
      <c r="BO217" s="14">
        <v>0</v>
      </c>
      <c r="BP217" s="14">
        <v>0</v>
      </c>
      <c r="BQ217" s="11">
        <v>8.4130650000000013</v>
      </c>
      <c r="BR217" s="11">
        <v>75.75</v>
      </c>
      <c r="BS217" s="11">
        <v>13.20905</v>
      </c>
      <c r="BT217" s="10">
        <v>31</v>
      </c>
    </row>
    <row r="218" spans="4:72" ht="20.149999999999999" customHeight="1">
      <c r="D218" s="10">
        <v>97</v>
      </c>
      <c r="E218" s="11">
        <v>27.750014999999998</v>
      </c>
      <c r="F218" s="11">
        <v>64.666700000000006</v>
      </c>
      <c r="G218" s="10">
        <v>97</v>
      </c>
      <c r="J218" s="103"/>
      <c r="K218" s="86"/>
      <c r="AK218" s="10" t="s">
        <v>30</v>
      </c>
      <c r="AL218" s="10">
        <f t="shared" si="30"/>
        <v>0</v>
      </c>
      <c r="AM218" s="10">
        <f t="shared" si="31"/>
        <v>1</v>
      </c>
      <c r="AN218" s="10">
        <f t="shared" si="32"/>
        <v>0</v>
      </c>
      <c r="AO218" s="10" t="s">
        <v>24</v>
      </c>
      <c r="AP218" s="10">
        <f t="shared" si="33"/>
        <v>0</v>
      </c>
      <c r="AQ218" s="10" t="s">
        <v>11</v>
      </c>
      <c r="AR218" s="10">
        <f t="shared" si="34"/>
        <v>1</v>
      </c>
      <c r="AS218" s="10" t="s">
        <v>27</v>
      </c>
      <c r="AT218" s="10">
        <f t="shared" si="40"/>
        <v>0</v>
      </c>
      <c r="AU218" s="10">
        <f t="shared" si="36"/>
        <v>0</v>
      </c>
      <c r="AV218" s="11">
        <v>9.50868</v>
      </c>
      <c r="AW218" s="11">
        <v>63.083299999999994</v>
      </c>
      <c r="AX218" s="11">
        <v>12.374632</v>
      </c>
      <c r="AY218" s="10">
        <v>34</v>
      </c>
      <c r="AZ218" t="s">
        <v>107</v>
      </c>
      <c r="BA218" s="17">
        <f t="shared" si="37"/>
        <v>1</v>
      </c>
      <c r="BB218" s="17">
        <f t="shared" si="38"/>
        <v>0</v>
      </c>
      <c r="BC218" s="17">
        <f t="shared" si="39"/>
        <v>0</v>
      </c>
      <c r="BG218" s="14">
        <v>0</v>
      </c>
      <c r="BH218" s="14">
        <v>1</v>
      </c>
      <c r="BI218" s="14">
        <v>0</v>
      </c>
      <c r="BJ218" s="14">
        <v>0</v>
      </c>
      <c r="BK218" s="14">
        <v>1</v>
      </c>
      <c r="BL218" s="14">
        <v>0</v>
      </c>
      <c r="BM218" s="14">
        <v>0</v>
      </c>
      <c r="BN218" s="14">
        <v>1</v>
      </c>
      <c r="BO218" s="14">
        <v>0</v>
      </c>
      <c r="BP218" s="14">
        <v>0</v>
      </c>
      <c r="BQ218" s="11">
        <v>9.50868</v>
      </c>
      <c r="BR218" s="11">
        <v>63.083299999999994</v>
      </c>
      <c r="BS218" s="11">
        <v>12.374632</v>
      </c>
      <c r="BT218" s="10">
        <v>34</v>
      </c>
    </row>
    <row r="219" spans="4:72" ht="20.149999999999999" customHeight="1">
      <c r="D219" s="10">
        <v>104</v>
      </c>
      <c r="E219" s="11">
        <v>25.387515</v>
      </c>
      <c r="F219" s="11">
        <v>91.833299999999994</v>
      </c>
      <c r="G219" s="10">
        <v>104</v>
      </c>
      <c r="J219" s="103"/>
      <c r="K219" s="86"/>
      <c r="AK219" s="10" t="s">
        <v>30</v>
      </c>
      <c r="AL219" s="10">
        <f t="shared" si="30"/>
        <v>0</v>
      </c>
      <c r="AM219" s="10">
        <f t="shared" si="31"/>
        <v>1</v>
      </c>
      <c r="AN219" s="10">
        <f t="shared" si="32"/>
        <v>0</v>
      </c>
      <c r="AO219" s="10" t="s">
        <v>24</v>
      </c>
      <c r="AP219" s="10">
        <f t="shared" si="33"/>
        <v>0</v>
      </c>
      <c r="AQ219" s="10" t="s">
        <v>25</v>
      </c>
      <c r="AR219" s="10">
        <f t="shared" si="34"/>
        <v>0</v>
      </c>
      <c r="AS219" s="10" t="s">
        <v>26</v>
      </c>
      <c r="AT219" s="10">
        <f t="shared" si="40"/>
        <v>1</v>
      </c>
      <c r="AU219" s="10">
        <f t="shared" si="36"/>
        <v>0</v>
      </c>
      <c r="AV219" s="11">
        <v>10.499985000000001</v>
      </c>
      <c r="AW219" s="11">
        <v>75.5</v>
      </c>
      <c r="AX219" s="11">
        <v>15.29275</v>
      </c>
      <c r="AY219" s="10">
        <v>20</v>
      </c>
      <c r="AZ219" t="s">
        <v>107</v>
      </c>
      <c r="BA219" s="17">
        <f t="shared" si="37"/>
        <v>1</v>
      </c>
      <c r="BB219" s="17">
        <f t="shared" si="38"/>
        <v>0</v>
      </c>
      <c r="BC219" s="17">
        <f t="shared" si="39"/>
        <v>0</v>
      </c>
      <c r="BG219" s="14">
        <v>0</v>
      </c>
      <c r="BH219" s="14">
        <v>1</v>
      </c>
      <c r="BI219" s="14">
        <v>0</v>
      </c>
      <c r="BJ219" s="14">
        <v>0</v>
      </c>
      <c r="BK219" s="14">
        <v>0</v>
      </c>
      <c r="BL219" s="14">
        <v>1</v>
      </c>
      <c r="BM219" s="14">
        <v>0</v>
      </c>
      <c r="BN219" s="14">
        <v>1</v>
      </c>
      <c r="BO219" s="14">
        <v>0</v>
      </c>
      <c r="BP219" s="14">
        <v>0</v>
      </c>
      <c r="BQ219" s="11">
        <v>10.499985000000001</v>
      </c>
      <c r="BR219" s="11">
        <v>75.5</v>
      </c>
      <c r="BS219" s="11">
        <v>15.29275</v>
      </c>
      <c r="BT219" s="10">
        <v>20</v>
      </c>
    </row>
    <row r="220" spans="4:72" ht="20.149999999999999" customHeight="1">
      <c r="D220" s="10">
        <v>49</v>
      </c>
      <c r="E220" s="11">
        <v>18.45</v>
      </c>
      <c r="F220" s="11">
        <v>68.625</v>
      </c>
      <c r="G220" s="10">
        <v>49</v>
      </c>
      <c r="J220" s="103"/>
      <c r="K220" s="86"/>
      <c r="AK220" s="10" t="s">
        <v>30</v>
      </c>
      <c r="AL220" s="10">
        <f t="shared" si="30"/>
        <v>0</v>
      </c>
      <c r="AM220" s="10">
        <f t="shared" si="31"/>
        <v>1</v>
      </c>
      <c r="AN220" s="10">
        <f t="shared" si="32"/>
        <v>0</v>
      </c>
      <c r="AO220" s="10" t="s">
        <v>24</v>
      </c>
      <c r="AP220" s="10">
        <f t="shared" si="33"/>
        <v>0</v>
      </c>
      <c r="AQ220" s="10" t="s">
        <v>25</v>
      </c>
      <c r="AR220" s="10">
        <f t="shared" si="34"/>
        <v>0</v>
      </c>
      <c r="AS220" s="10" t="s">
        <v>27</v>
      </c>
      <c r="AT220" s="10">
        <f t="shared" si="40"/>
        <v>0</v>
      </c>
      <c r="AU220" s="10">
        <f t="shared" si="36"/>
        <v>0</v>
      </c>
      <c r="AV220" s="11">
        <v>12.862485</v>
      </c>
      <c r="AW220" s="11">
        <v>75.291699999999992</v>
      </c>
      <c r="AX220" s="11">
        <v>13.499629000000001</v>
      </c>
      <c r="AY220" s="10">
        <v>32</v>
      </c>
      <c r="AZ220" t="s">
        <v>107</v>
      </c>
      <c r="BA220" s="17">
        <f t="shared" si="37"/>
        <v>1</v>
      </c>
      <c r="BB220" s="17">
        <f t="shared" si="38"/>
        <v>0</v>
      </c>
      <c r="BC220" s="17">
        <f t="shared" si="39"/>
        <v>0</v>
      </c>
      <c r="BG220" s="14">
        <v>0</v>
      </c>
      <c r="BH220" s="14">
        <v>1</v>
      </c>
      <c r="BI220" s="14">
        <v>0</v>
      </c>
      <c r="BJ220" s="14">
        <v>0</v>
      </c>
      <c r="BK220" s="14">
        <v>0</v>
      </c>
      <c r="BL220" s="14">
        <v>0</v>
      </c>
      <c r="BM220" s="14">
        <v>0</v>
      </c>
      <c r="BN220" s="14">
        <v>1</v>
      </c>
      <c r="BO220" s="14">
        <v>0</v>
      </c>
      <c r="BP220" s="14">
        <v>0</v>
      </c>
      <c r="BQ220" s="11">
        <v>12.862485</v>
      </c>
      <c r="BR220" s="11">
        <v>75.291699999999992</v>
      </c>
      <c r="BS220" s="11">
        <v>13.499629000000001</v>
      </c>
      <c r="BT220" s="10">
        <v>32</v>
      </c>
    </row>
    <row r="221" spans="4:72" ht="20.149999999999999" customHeight="1">
      <c r="D221" s="10">
        <v>58</v>
      </c>
      <c r="E221" s="11">
        <v>16.050015000000002</v>
      </c>
      <c r="F221" s="11">
        <v>65.375</v>
      </c>
      <c r="G221" s="10">
        <v>58</v>
      </c>
      <c r="J221" s="103"/>
      <c r="K221" s="86"/>
      <c r="AK221" s="10" t="s">
        <v>30</v>
      </c>
      <c r="AL221" s="10">
        <f t="shared" si="30"/>
        <v>0</v>
      </c>
      <c r="AM221" s="10">
        <f t="shared" si="31"/>
        <v>1</v>
      </c>
      <c r="AN221" s="10">
        <f t="shared" si="32"/>
        <v>0</v>
      </c>
      <c r="AO221" s="10" t="s">
        <v>24</v>
      </c>
      <c r="AP221" s="10">
        <f t="shared" si="33"/>
        <v>0</v>
      </c>
      <c r="AQ221" s="10" t="s">
        <v>11</v>
      </c>
      <c r="AR221" s="10">
        <f t="shared" si="34"/>
        <v>1</v>
      </c>
      <c r="AS221" s="10" t="s">
        <v>27</v>
      </c>
      <c r="AT221" s="10">
        <f t="shared" si="40"/>
        <v>0</v>
      </c>
      <c r="AU221" s="10">
        <f t="shared" si="36"/>
        <v>0</v>
      </c>
      <c r="AV221" s="11">
        <v>12.225014999999999</v>
      </c>
      <c r="AW221" s="11">
        <v>59.208300000000001</v>
      </c>
      <c r="AX221" s="11">
        <v>12.875725000000001</v>
      </c>
      <c r="AY221" s="10">
        <v>34</v>
      </c>
      <c r="AZ221" t="s">
        <v>107</v>
      </c>
      <c r="BA221" s="17">
        <f t="shared" si="37"/>
        <v>1</v>
      </c>
      <c r="BB221" s="17">
        <f t="shared" si="38"/>
        <v>0</v>
      </c>
      <c r="BC221" s="17">
        <f t="shared" si="39"/>
        <v>0</v>
      </c>
      <c r="BG221" s="14">
        <v>0</v>
      </c>
      <c r="BH221" s="14">
        <v>1</v>
      </c>
      <c r="BI221" s="14">
        <v>0</v>
      </c>
      <c r="BJ221" s="14">
        <v>0</v>
      </c>
      <c r="BK221" s="14">
        <v>1</v>
      </c>
      <c r="BL221" s="14">
        <v>0</v>
      </c>
      <c r="BM221" s="14">
        <v>0</v>
      </c>
      <c r="BN221" s="14">
        <v>1</v>
      </c>
      <c r="BO221" s="14">
        <v>0</v>
      </c>
      <c r="BP221" s="14">
        <v>0</v>
      </c>
      <c r="BQ221" s="11">
        <v>12.225014999999999</v>
      </c>
      <c r="BR221" s="11">
        <v>59.208300000000001</v>
      </c>
      <c r="BS221" s="11">
        <v>12.875725000000001</v>
      </c>
      <c r="BT221" s="10">
        <v>34</v>
      </c>
    </row>
    <row r="222" spans="4:72" ht="20.149999999999999" customHeight="1">
      <c r="D222" s="10">
        <v>72</v>
      </c>
      <c r="E222" s="11">
        <v>17.287514999999999</v>
      </c>
      <c r="F222" s="11">
        <v>48</v>
      </c>
      <c r="G222" s="10">
        <v>72</v>
      </c>
      <c r="J222" s="103"/>
      <c r="K222" s="86"/>
      <c r="AK222" s="10" t="s">
        <v>30</v>
      </c>
      <c r="AL222" s="10">
        <f t="shared" si="30"/>
        <v>0</v>
      </c>
      <c r="AM222" s="10">
        <f t="shared" si="31"/>
        <v>1</v>
      </c>
      <c r="AN222" s="10">
        <f t="shared" si="32"/>
        <v>0</v>
      </c>
      <c r="AO222" s="10" t="s">
        <v>24</v>
      </c>
      <c r="AP222" s="10">
        <f t="shared" si="33"/>
        <v>0</v>
      </c>
      <c r="AQ222" s="10" t="s">
        <v>11</v>
      </c>
      <c r="AR222" s="10">
        <f t="shared" si="34"/>
        <v>1</v>
      </c>
      <c r="AS222" s="10" t="s">
        <v>27</v>
      </c>
      <c r="AT222" s="10">
        <f t="shared" si="40"/>
        <v>0</v>
      </c>
      <c r="AU222" s="10">
        <f t="shared" si="36"/>
        <v>0</v>
      </c>
      <c r="AV222" s="11">
        <v>9.9374850000000006</v>
      </c>
      <c r="AW222" s="11">
        <v>57.041699999999992</v>
      </c>
      <c r="AX222" s="11">
        <v>10.125107</v>
      </c>
      <c r="AY222" s="10">
        <v>30</v>
      </c>
      <c r="AZ222" t="s">
        <v>107</v>
      </c>
      <c r="BA222" s="17">
        <f t="shared" si="37"/>
        <v>1</v>
      </c>
      <c r="BB222" s="17">
        <f t="shared" si="38"/>
        <v>0</v>
      </c>
      <c r="BC222" s="17">
        <f t="shared" si="39"/>
        <v>0</v>
      </c>
      <c r="BG222" s="14">
        <v>0</v>
      </c>
      <c r="BH222" s="14">
        <v>1</v>
      </c>
      <c r="BI222" s="14">
        <v>0</v>
      </c>
      <c r="BJ222" s="14">
        <v>0</v>
      </c>
      <c r="BK222" s="14">
        <v>1</v>
      </c>
      <c r="BL222" s="14">
        <v>0</v>
      </c>
      <c r="BM222" s="14">
        <v>0</v>
      </c>
      <c r="BN222" s="14">
        <v>1</v>
      </c>
      <c r="BO222" s="14">
        <v>0</v>
      </c>
      <c r="BP222" s="14">
        <v>0</v>
      </c>
      <c r="BQ222" s="11">
        <v>9.9374850000000006</v>
      </c>
      <c r="BR222" s="11">
        <v>57.041699999999992</v>
      </c>
      <c r="BS222" s="11">
        <v>10.125107</v>
      </c>
      <c r="BT222" s="10">
        <v>30</v>
      </c>
    </row>
    <row r="223" spans="4:72" ht="20.149999999999999" customHeight="1">
      <c r="D223" s="10">
        <v>89</v>
      </c>
      <c r="E223" s="11">
        <v>21.787514999999999</v>
      </c>
      <c r="F223" s="11">
        <v>42.625</v>
      </c>
      <c r="G223" s="10">
        <v>89</v>
      </c>
      <c r="J223" s="103"/>
      <c r="K223" s="86"/>
      <c r="AK223" s="10" t="s">
        <v>30</v>
      </c>
      <c r="AL223" s="10">
        <f t="shared" si="30"/>
        <v>0</v>
      </c>
      <c r="AM223" s="10">
        <f t="shared" si="31"/>
        <v>1</v>
      </c>
      <c r="AN223" s="10">
        <f t="shared" si="32"/>
        <v>0</v>
      </c>
      <c r="AO223" s="10" t="s">
        <v>24</v>
      </c>
      <c r="AP223" s="10">
        <f t="shared" si="33"/>
        <v>0</v>
      </c>
      <c r="AQ223" s="10" t="s">
        <v>11</v>
      </c>
      <c r="AR223" s="10">
        <f t="shared" si="34"/>
        <v>1</v>
      </c>
      <c r="AS223" s="10" t="s">
        <v>27</v>
      </c>
      <c r="AT223" s="10">
        <f t="shared" si="40"/>
        <v>0</v>
      </c>
      <c r="AU223" s="10">
        <f t="shared" si="36"/>
        <v>0</v>
      </c>
      <c r="AV223" s="11">
        <v>6.0652349999999995</v>
      </c>
      <c r="AW223" s="11">
        <v>42.416699999999999</v>
      </c>
      <c r="AX223" s="11">
        <v>13.417285999999999</v>
      </c>
      <c r="AY223" s="10">
        <v>32</v>
      </c>
      <c r="AZ223" t="s">
        <v>107</v>
      </c>
      <c r="BA223" s="17">
        <f t="shared" si="37"/>
        <v>1</v>
      </c>
      <c r="BB223" s="17">
        <f t="shared" si="38"/>
        <v>0</v>
      </c>
      <c r="BC223" s="17">
        <f t="shared" si="39"/>
        <v>0</v>
      </c>
      <c r="BG223" s="14">
        <v>0</v>
      </c>
      <c r="BH223" s="14">
        <v>1</v>
      </c>
      <c r="BI223" s="14">
        <v>0</v>
      </c>
      <c r="BJ223" s="14">
        <v>0</v>
      </c>
      <c r="BK223" s="14">
        <v>1</v>
      </c>
      <c r="BL223" s="14">
        <v>0</v>
      </c>
      <c r="BM223" s="14">
        <v>0</v>
      </c>
      <c r="BN223" s="14">
        <v>1</v>
      </c>
      <c r="BO223" s="14">
        <v>0</v>
      </c>
      <c r="BP223" s="14">
        <v>0</v>
      </c>
      <c r="BQ223" s="11">
        <v>6.0652349999999995</v>
      </c>
      <c r="BR223" s="11">
        <v>42.416699999999999</v>
      </c>
      <c r="BS223" s="11">
        <v>13.417285999999999</v>
      </c>
      <c r="BT223" s="10">
        <v>32</v>
      </c>
    </row>
    <row r="224" spans="4:72" ht="20.149999999999999" customHeight="1">
      <c r="D224" s="10">
        <v>96</v>
      </c>
      <c r="E224" s="11">
        <v>24.224984999999997</v>
      </c>
      <c r="F224" s="11">
        <v>64.208299999999994</v>
      </c>
      <c r="G224" s="10">
        <v>96</v>
      </c>
      <c r="J224" s="103"/>
      <c r="K224" s="86"/>
      <c r="AK224" s="10" t="s">
        <v>30</v>
      </c>
      <c r="AL224" s="10">
        <f t="shared" si="30"/>
        <v>0</v>
      </c>
      <c r="AM224" s="10">
        <f t="shared" si="31"/>
        <v>1</v>
      </c>
      <c r="AN224" s="10">
        <f t="shared" si="32"/>
        <v>0</v>
      </c>
      <c r="AO224" s="10" t="s">
        <v>24</v>
      </c>
      <c r="AP224" s="10">
        <f t="shared" si="33"/>
        <v>0</v>
      </c>
      <c r="AQ224" s="10" t="s">
        <v>11</v>
      </c>
      <c r="AR224" s="10">
        <f t="shared" si="34"/>
        <v>1</v>
      </c>
      <c r="AS224" s="10" t="s">
        <v>27</v>
      </c>
      <c r="AT224" s="10">
        <f t="shared" si="40"/>
        <v>0</v>
      </c>
      <c r="AU224" s="10">
        <f t="shared" si="36"/>
        <v>0</v>
      </c>
      <c r="AV224" s="11">
        <v>6.49566</v>
      </c>
      <c r="AW224" s="11">
        <v>42.375</v>
      </c>
      <c r="AX224" s="11">
        <v>11.041332000000001</v>
      </c>
      <c r="AY224" s="10">
        <v>31</v>
      </c>
      <c r="AZ224" t="s">
        <v>107</v>
      </c>
      <c r="BA224" s="17">
        <f t="shared" si="37"/>
        <v>1</v>
      </c>
      <c r="BB224" s="17">
        <f t="shared" si="38"/>
        <v>0</v>
      </c>
      <c r="BC224" s="17">
        <f t="shared" si="39"/>
        <v>0</v>
      </c>
      <c r="BG224" s="14">
        <v>0</v>
      </c>
      <c r="BH224" s="14">
        <v>1</v>
      </c>
      <c r="BI224" s="14">
        <v>0</v>
      </c>
      <c r="BJ224" s="14">
        <v>0</v>
      </c>
      <c r="BK224" s="14">
        <v>1</v>
      </c>
      <c r="BL224" s="14">
        <v>0</v>
      </c>
      <c r="BM224" s="14">
        <v>0</v>
      </c>
      <c r="BN224" s="14">
        <v>1</v>
      </c>
      <c r="BO224" s="14">
        <v>0</v>
      </c>
      <c r="BP224" s="14">
        <v>0</v>
      </c>
      <c r="BQ224" s="11">
        <v>6.49566</v>
      </c>
      <c r="BR224" s="11">
        <v>42.375</v>
      </c>
      <c r="BS224" s="11">
        <v>11.041332000000001</v>
      </c>
      <c r="BT224" s="10">
        <v>31</v>
      </c>
    </row>
    <row r="225" spans="4:72" ht="20.149999999999999" customHeight="1">
      <c r="D225" s="10">
        <v>96</v>
      </c>
      <c r="E225" s="11">
        <v>22.237515000000002</v>
      </c>
      <c r="F225" s="11">
        <v>47.083300000000001</v>
      </c>
      <c r="G225" s="10">
        <v>96</v>
      </c>
      <c r="J225" s="103"/>
      <c r="K225" s="86"/>
      <c r="AK225" s="10" t="s">
        <v>30</v>
      </c>
      <c r="AL225" s="10">
        <f t="shared" si="30"/>
        <v>0</v>
      </c>
      <c r="AM225" s="10">
        <f t="shared" si="31"/>
        <v>1</v>
      </c>
      <c r="AN225" s="10">
        <f t="shared" si="32"/>
        <v>0</v>
      </c>
      <c r="AO225" s="10" t="s">
        <v>24</v>
      </c>
      <c r="AP225" s="10">
        <f t="shared" si="33"/>
        <v>0</v>
      </c>
      <c r="AQ225" s="10" t="s">
        <v>11</v>
      </c>
      <c r="AR225" s="10">
        <f t="shared" si="34"/>
        <v>1</v>
      </c>
      <c r="AS225" s="10" t="s">
        <v>27</v>
      </c>
      <c r="AT225" s="10">
        <f t="shared" si="40"/>
        <v>0</v>
      </c>
      <c r="AU225" s="10">
        <f t="shared" si="36"/>
        <v>0</v>
      </c>
      <c r="AV225" s="11">
        <v>8.5090950000000003</v>
      </c>
      <c r="AW225" s="11">
        <v>41.5</v>
      </c>
      <c r="AX225" s="11">
        <v>8.4166070000000008</v>
      </c>
      <c r="AY225" s="10">
        <v>35</v>
      </c>
      <c r="AZ225" t="s">
        <v>107</v>
      </c>
      <c r="BA225" s="17">
        <f t="shared" si="37"/>
        <v>1</v>
      </c>
      <c r="BB225" s="17">
        <f t="shared" si="38"/>
        <v>0</v>
      </c>
      <c r="BC225" s="17">
        <f t="shared" si="39"/>
        <v>0</v>
      </c>
      <c r="BG225" s="14">
        <v>0</v>
      </c>
      <c r="BH225" s="14">
        <v>1</v>
      </c>
      <c r="BI225" s="14">
        <v>0</v>
      </c>
      <c r="BJ225" s="14">
        <v>0</v>
      </c>
      <c r="BK225" s="14">
        <v>1</v>
      </c>
      <c r="BL225" s="14">
        <v>0</v>
      </c>
      <c r="BM225" s="14">
        <v>0</v>
      </c>
      <c r="BN225" s="14">
        <v>1</v>
      </c>
      <c r="BO225" s="14">
        <v>0</v>
      </c>
      <c r="BP225" s="14">
        <v>0</v>
      </c>
      <c r="BQ225" s="11">
        <v>8.5090950000000003</v>
      </c>
      <c r="BR225" s="11">
        <v>41.5</v>
      </c>
      <c r="BS225" s="11">
        <v>8.4166070000000008</v>
      </c>
      <c r="BT225" s="10">
        <v>35</v>
      </c>
    </row>
    <row r="226" spans="4:72" ht="20.149999999999999" customHeight="1">
      <c r="D226" s="10">
        <v>100</v>
      </c>
      <c r="E226" s="11">
        <v>22.987485</v>
      </c>
      <c r="F226" s="11">
        <v>60.291700000000006</v>
      </c>
      <c r="G226" s="10">
        <v>100</v>
      </c>
      <c r="J226" s="103"/>
      <c r="K226" s="86"/>
      <c r="AK226" s="10" t="s">
        <v>30</v>
      </c>
      <c r="AL226" s="10">
        <f t="shared" si="30"/>
        <v>0</v>
      </c>
      <c r="AM226" s="10">
        <f t="shared" si="31"/>
        <v>1</v>
      </c>
      <c r="AN226" s="10">
        <f t="shared" si="32"/>
        <v>0</v>
      </c>
      <c r="AO226" s="10" t="s">
        <v>24</v>
      </c>
      <c r="AP226" s="10">
        <f t="shared" si="33"/>
        <v>0</v>
      </c>
      <c r="AQ226" s="10" t="s">
        <v>25</v>
      </c>
      <c r="AR226" s="10">
        <f t="shared" si="34"/>
        <v>0</v>
      </c>
      <c r="AS226" s="10" t="s">
        <v>26</v>
      </c>
      <c r="AT226" s="10">
        <f t="shared" si="40"/>
        <v>1</v>
      </c>
      <c r="AU226" s="10">
        <f t="shared" si="36"/>
        <v>0</v>
      </c>
      <c r="AV226" s="11">
        <v>10.012499999999999</v>
      </c>
      <c r="AW226" s="11">
        <v>72.958299999999994</v>
      </c>
      <c r="AX226" s="11">
        <v>14.167418</v>
      </c>
      <c r="AY226" s="10">
        <v>30</v>
      </c>
      <c r="AZ226" t="s">
        <v>107</v>
      </c>
      <c r="BA226" s="17">
        <f t="shared" si="37"/>
        <v>1</v>
      </c>
      <c r="BB226" s="17">
        <f t="shared" si="38"/>
        <v>0</v>
      </c>
      <c r="BC226" s="17">
        <f t="shared" si="39"/>
        <v>0</v>
      </c>
      <c r="BG226" s="14">
        <v>0</v>
      </c>
      <c r="BH226" s="14">
        <v>1</v>
      </c>
      <c r="BI226" s="14">
        <v>0</v>
      </c>
      <c r="BJ226" s="14">
        <v>0</v>
      </c>
      <c r="BK226" s="14">
        <v>0</v>
      </c>
      <c r="BL226" s="14">
        <v>1</v>
      </c>
      <c r="BM226" s="14">
        <v>0</v>
      </c>
      <c r="BN226" s="14">
        <v>1</v>
      </c>
      <c r="BO226" s="14">
        <v>0</v>
      </c>
      <c r="BP226" s="14">
        <v>0</v>
      </c>
      <c r="BQ226" s="11">
        <v>10.012499999999999</v>
      </c>
      <c r="BR226" s="11">
        <v>72.958299999999994</v>
      </c>
      <c r="BS226" s="11">
        <v>14.167418</v>
      </c>
      <c r="BT226" s="10">
        <v>30</v>
      </c>
    </row>
    <row r="227" spans="4:72" ht="20.149999999999999" customHeight="1">
      <c r="D227" s="10">
        <v>108</v>
      </c>
      <c r="E227" s="11">
        <v>23.475014999999999</v>
      </c>
      <c r="F227" s="11">
        <v>83.625</v>
      </c>
      <c r="G227" s="10">
        <v>108</v>
      </c>
      <c r="J227" s="103"/>
      <c r="K227" s="86"/>
      <c r="AK227" s="10" t="s">
        <v>30</v>
      </c>
      <c r="AL227" s="10">
        <f t="shared" si="30"/>
        <v>0</v>
      </c>
      <c r="AM227" s="10">
        <f t="shared" si="31"/>
        <v>1</v>
      </c>
      <c r="AN227" s="10">
        <f t="shared" si="32"/>
        <v>0</v>
      </c>
      <c r="AO227" s="10" t="s">
        <v>24</v>
      </c>
      <c r="AP227" s="10">
        <f t="shared" si="33"/>
        <v>0</v>
      </c>
      <c r="AQ227" s="10" t="s">
        <v>25</v>
      </c>
      <c r="AR227" s="10">
        <f t="shared" si="34"/>
        <v>0</v>
      </c>
      <c r="AS227" s="10" t="s">
        <v>26</v>
      </c>
      <c r="AT227" s="10">
        <f t="shared" si="40"/>
        <v>1</v>
      </c>
      <c r="AU227" s="10">
        <f t="shared" si="36"/>
        <v>0</v>
      </c>
      <c r="AV227" s="11">
        <v>14.243490000000001</v>
      </c>
      <c r="AW227" s="11">
        <v>81.75</v>
      </c>
      <c r="AX227" s="11">
        <v>14.916411</v>
      </c>
      <c r="AY227" s="10">
        <v>32</v>
      </c>
      <c r="AZ227" t="s">
        <v>107</v>
      </c>
      <c r="BA227" s="17">
        <f t="shared" si="37"/>
        <v>1</v>
      </c>
      <c r="BB227" s="17">
        <f t="shared" si="38"/>
        <v>0</v>
      </c>
      <c r="BC227" s="17">
        <f t="shared" si="39"/>
        <v>0</v>
      </c>
      <c r="BG227" s="14">
        <v>0</v>
      </c>
      <c r="BH227" s="14">
        <v>1</v>
      </c>
      <c r="BI227" s="14">
        <v>0</v>
      </c>
      <c r="BJ227" s="14">
        <v>0</v>
      </c>
      <c r="BK227" s="14">
        <v>0</v>
      </c>
      <c r="BL227" s="14">
        <v>1</v>
      </c>
      <c r="BM227" s="14">
        <v>0</v>
      </c>
      <c r="BN227" s="14">
        <v>1</v>
      </c>
      <c r="BO227" s="14">
        <v>0</v>
      </c>
      <c r="BP227" s="14">
        <v>0</v>
      </c>
      <c r="BQ227" s="11">
        <v>14.243490000000001</v>
      </c>
      <c r="BR227" s="11">
        <v>81.75</v>
      </c>
      <c r="BS227" s="11">
        <v>14.916411</v>
      </c>
      <c r="BT227" s="10">
        <v>32</v>
      </c>
    </row>
    <row r="228" spans="4:72" ht="20.149999999999999" customHeight="1">
      <c r="D228" s="10">
        <v>110</v>
      </c>
      <c r="E228" s="11">
        <v>24.337485000000001</v>
      </c>
      <c r="F228" s="11">
        <v>87.75</v>
      </c>
      <c r="G228" s="10">
        <v>110</v>
      </c>
      <c r="J228" s="103"/>
      <c r="K228" s="86"/>
      <c r="AK228" s="10" t="s">
        <v>30</v>
      </c>
      <c r="AL228" s="10">
        <f t="shared" si="30"/>
        <v>0</v>
      </c>
      <c r="AM228" s="10">
        <f t="shared" si="31"/>
        <v>1</v>
      </c>
      <c r="AN228" s="10">
        <f t="shared" si="32"/>
        <v>0</v>
      </c>
      <c r="AO228" s="10" t="s">
        <v>24</v>
      </c>
      <c r="AP228" s="10">
        <f t="shared" si="33"/>
        <v>0</v>
      </c>
      <c r="AQ228" s="10" t="s">
        <v>11</v>
      </c>
      <c r="AR228" s="10">
        <f t="shared" si="34"/>
        <v>1</v>
      </c>
      <c r="AS228" s="10" t="s">
        <v>27</v>
      </c>
      <c r="AT228" s="10">
        <f t="shared" si="40"/>
        <v>0</v>
      </c>
      <c r="AU228" s="10">
        <f t="shared" si="36"/>
        <v>0</v>
      </c>
      <c r="AV228" s="11">
        <v>18.675000000000001</v>
      </c>
      <c r="AW228" s="11">
        <v>71.208300000000008</v>
      </c>
      <c r="AX228" s="11">
        <v>13.999917999999999</v>
      </c>
      <c r="AY228" s="10">
        <v>38</v>
      </c>
      <c r="AZ228" t="s">
        <v>107</v>
      </c>
      <c r="BA228" s="17">
        <f t="shared" si="37"/>
        <v>1</v>
      </c>
      <c r="BB228" s="17">
        <f t="shared" si="38"/>
        <v>0</v>
      </c>
      <c r="BC228" s="17">
        <f t="shared" si="39"/>
        <v>0</v>
      </c>
      <c r="BG228" s="14">
        <v>0</v>
      </c>
      <c r="BH228" s="14">
        <v>1</v>
      </c>
      <c r="BI228" s="14">
        <v>0</v>
      </c>
      <c r="BJ228" s="14">
        <v>0</v>
      </c>
      <c r="BK228" s="14">
        <v>1</v>
      </c>
      <c r="BL228" s="14">
        <v>0</v>
      </c>
      <c r="BM228" s="14">
        <v>0</v>
      </c>
      <c r="BN228" s="14">
        <v>1</v>
      </c>
      <c r="BO228" s="14">
        <v>0</v>
      </c>
      <c r="BP228" s="14">
        <v>0</v>
      </c>
      <c r="BQ228" s="11">
        <v>18.675000000000001</v>
      </c>
      <c r="BR228" s="11">
        <v>71.208300000000008</v>
      </c>
      <c r="BS228" s="11">
        <v>13.999917999999999</v>
      </c>
      <c r="BT228" s="10">
        <v>38</v>
      </c>
    </row>
    <row r="229" spans="4:72" ht="20.149999999999999" customHeight="1">
      <c r="D229" s="10">
        <v>102</v>
      </c>
      <c r="E229" s="11">
        <v>25.687485000000002</v>
      </c>
      <c r="F229" s="11">
        <v>85.75</v>
      </c>
      <c r="G229" s="10">
        <v>102</v>
      </c>
      <c r="J229" s="103"/>
      <c r="K229" s="86"/>
      <c r="AK229" s="10" t="s">
        <v>30</v>
      </c>
      <c r="AL229" s="10">
        <f t="shared" si="30"/>
        <v>0</v>
      </c>
      <c r="AM229" s="10">
        <f t="shared" si="31"/>
        <v>1</v>
      </c>
      <c r="AN229" s="10">
        <f t="shared" si="32"/>
        <v>0</v>
      </c>
      <c r="AO229" s="10" t="s">
        <v>24</v>
      </c>
      <c r="AP229" s="10">
        <f t="shared" si="33"/>
        <v>0</v>
      </c>
      <c r="AQ229" s="10" t="s">
        <v>11</v>
      </c>
      <c r="AR229" s="10">
        <f t="shared" si="34"/>
        <v>1</v>
      </c>
      <c r="AS229" s="10" t="s">
        <v>27</v>
      </c>
      <c r="AT229" s="10">
        <f t="shared" si="40"/>
        <v>0</v>
      </c>
      <c r="AU229" s="10">
        <f t="shared" si="36"/>
        <v>0</v>
      </c>
      <c r="AV229" s="11">
        <v>11.973915000000002</v>
      </c>
      <c r="AW229" s="11">
        <v>57.833300000000001</v>
      </c>
      <c r="AX229" s="11">
        <v>15.834043000000001</v>
      </c>
      <c r="AY229" s="10">
        <v>37</v>
      </c>
      <c r="AZ229" t="s">
        <v>107</v>
      </c>
      <c r="BA229" s="17">
        <f t="shared" si="37"/>
        <v>1</v>
      </c>
      <c r="BB229" s="17">
        <f t="shared" si="38"/>
        <v>0</v>
      </c>
      <c r="BC229" s="17">
        <f t="shared" si="39"/>
        <v>0</v>
      </c>
      <c r="BG229" s="14">
        <v>0</v>
      </c>
      <c r="BH229" s="14">
        <v>1</v>
      </c>
      <c r="BI229" s="14">
        <v>0</v>
      </c>
      <c r="BJ229" s="14">
        <v>0</v>
      </c>
      <c r="BK229" s="14">
        <v>1</v>
      </c>
      <c r="BL229" s="14">
        <v>0</v>
      </c>
      <c r="BM229" s="14">
        <v>0</v>
      </c>
      <c r="BN229" s="14">
        <v>1</v>
      </c>
      <c r="BO229" s="14">
        <v>0</v>
      </c>
      <c r="BP229" s="14">
        <v>0</v>
      </c>
      <c r="BQ229" s="11">
        <v>11.973915000000002</v>
      </c>
      <c r="BR229" s="11">
        <v>57.833300000000001</v>
      </c>
      <c r="BS229" s="11">
        <v>15.834043000000001</v>
      </c>
      <c r="BT229" s="10">
        <v>37</v>
      </c>
    </row>
    <row r="230" spans="4:72" ht="20.149999999999999" customHeight="1">
      <c r="D230" s="10">
        <v>91</v>
      </c>
      <c r="E230" s="11">
        <v>25.500015000000001</v>
      </c>
      <c r="F230" s="11">
        <v>71.695599999999999</v>
      </c>
      <c r="G230" s="10">
        <v>91</v>
      </c>
      <c r="J230" s="103"/>
      <c r="K230" s="86"/>
      <c r="AK230" s="10" t="s">
        <v>30</v>
      </c>
      <c r="AL230" s="10">
        <f t="shared" si="30"/>
        <v>0</v>
      </c>
      <c r="AM230" s="10">
        <f t="shared" si="31"/>
        <v>1</v>
      </c>
      <c r="AN230" s="10">
        <f t="shared" si="32"/>
        <v>0</v>
      </c>
      <c r="AO230" s="10" t="s">
        <v>24</v>
      </c>
      <c r="AP230" s="10">
        <f t="shared" si="33"/>
        <v>0</v>
      </c>
      <c r="AQ230" s="10" t="s">
        <v>11</v>
      </c>
      <c r="AR230" s="10">
        <f t="shared" si="34"/>
        <v>1</v>
      </c>
      <c r="AS230" s="10" t="s">
        <v>27</v>
      </c>
      <c r="AT230" s="10">
        <f t="shared" si="40"/>
        <v>0</v>
      </c>
      <c r="AU230" s="10">
        <f t="shared" si="36"/>
        <v>0</v>
      </c>
      <c r="AV230" s="11">
        <v>14.321745</v>
      </c>
      <c r="AW230" s="11">
        <v>57.541699999999999</v>
      </c>
      <c r="AX230" s="11">
        <v>9.6256889999999995</v>
      </c>
      <c r="AY230" s="10">
        <v>42</v>
      </c>
      <c r="AZ230" t="s">
        <v>106</v>
      </c>
      <c r="BA230" s="17">
        <f t="shared" si="37"/>
        <v>0</v>
      </c>
      <c r="BB230" s="17">
        <f t="shared" si="38"/>
        <v>1</v>
      </c>
      <c r="BC230" s="17">
        <f t="shared" si="39"/>
        <v>0</v>
      </c>
      <c r="BG230" s="14">
        <v>0</v>
      </c>
      <c r="BH230" s="14">
        <v>1</v>
      </c>
      <c r="BI230" s="14">
        <v>0</v>
      </c>
      <c r="BJ230" s="14">
        <v>0</v>
      </c>
      <c r="BK230" s="14">
        <v>1</v>
      </c>
      <c r="BL230" s="14">
        <v>0</v>
      </c>
      <c r="BM230" s="14">
        <v>0</v>
      </c>
      <c r="BN230" s="14">
        <v>0</v>
      </c>
      <c r="BO230" s="14">
        <v>1</v>
      </c>
      <c r="BP230" s="14">
        <v>0</v>
      </c>
      <c r="BQ230" s="11">
        <v>14.321745</v>
      </c>
      <c r="BR230" s="11">
        <v>57.541699999999999</v>
      </c>
      <c r="BS230" s="11">
        <v>9.6256889999999995</v>
      </c>
      <c r="BT230" s="10">
        <v>42</v>
      </c>
    </row>
    <row r="231" spans="4:72" ht="20.149999999999999" customHeight="1">
      <c r="D231" s="10">
        <v>48</v>
      </c>
      <c r="E231" s="11">
        <v>24.449984999999998</v>
      </c>
      <c r="F231" s="11">
        <v>73.916700000000006</v>
      </c>
      <c r="G231" s="10">
        <v>48</v>
      </c>
      <c r="J231" s="103"/>
      <c r="K231" s="86"/>
      <c r="AK231" s="10" t="s">
        <v>30</v>
      </c>
      <c r="AL231" s="10">
        <f t="shared" si="30"/>
        <v>0</v>
      </c>
      <c r="AM231" s="10">
        <f t="shared" si="31"/>
        <v>1</v>
      </c>
      <c r="AN231" s="10">
        <f t="shared" si="32"/>
        <v>0</v>
      </c>
      <c r="AO231" s="10" t="s">
        <v>24</v>
      </c>
      <c r="AP231" s="10">
        <f t="shared" si="33"/>
        <v>0</v>
      </c>
      <c r="AQ231" s="10" t="s">
        <v>11</v>
      </c>
      <c r="AR231" s="10">
        <f t="shared" si="34"/>
        <v>1</v>
      </c>
      <c r="AS231" s="10" t="s">
        <v>27</v>
      </c>
      <c r="AT231" s="10">
        <f t="shared" si="40"/>
        <v>0</v>
      </c>
      <c r="AU231" s="10">
        <f t="shared" si="36"/>
        <v>0</v>
      </c>
      <c r="AV231" s="11">
        <v>19.612485</v>
      </c>
      <c r="AW231" s="11">
        <v>65.458300000000008</v>
      </c>
      <c r="AX231" s="11">
        <v>15.624936</v>
      </c>
      <c r="AY231" s="10">
        <v>49</v>
      </c>
      <c r="AZ231" t="s">
        <v>106</v>
      </c>
      <c r="BA231" s="17">
        <f t="shared" si="37"/>
        <v>0</v>
      </c>
      <c r="BB231" s="17">
        <f t="shared" si="38"/>
        <v>1</v>
      </c>
      <c r="BC231" s="17">
        <f t="shared" si="39"/>
        <v>0</v>
      </c>
      <c r="BG231" s="14">
        <v>0</v>
      </c>
      <c r="BH231" s="14">
        <v>1</v>
      </c>
      <c r="BI231" s="14">
        <v>0</v>
      </c>
      <c r="BJ231" s="14">
        <v>0</v>
      </c>
      <c r="BK231" s="14">
        <v>1</v>
      </c>
      <c r="BL231" s="14">
        <v>0</v>
      </c>
      <c r="BM231" s="14">
        <v>0</v>
      </c>
      <c r="BN231" s="14">
        <v>0</v>
      </c>
      <c r="BO231" s="14">
        <v>1</v>
      </c>
      <c r="BP231" s="14">
        <v>0</v>
      </c>
      <c r="BQ231" s="11">
        <v>19.612485</v>
      </c>
      <c r="BR231" s="11">
        <v>65.458300000000008</v>
      </c>
      <c r="BS231" s="11">
        <v>15.624936</v>
      </c>
      <c r="BT231" s="10">
        <v>49</v>
      </c>
    </row>
    <row r="232" spans="4:72" ht="20.149999999999999" customHeight="1">
      <c r="D232" s="10">
        <v>58</v>
      </c>
      <c r="E232" s="11">
        <v>26.512515</v>
      </c>
      <c r="F232" s="11">
        <v>81.916699999999992</v>
      </c>
      <c r="G232" s="10">
        <v>58</v>
      </c>
      <c r="J232" s="103"/>
      <c r="K232" s="86"/>
      <c r="AK232" s="10" t="s">
        <v>30</v>
      </c>
      <c r="AL232" s="10">
        <f t="shared" si="30"/>
        <v>0</v>
      </c>
      <c r="AM232" s="10">
        <f t="shared" si="31"/>
        <v>1</v>
      </c>
      <c r="AN232" s="10">
        <f t="shared" si="32"/>
        <v>0</v>
      </c>
      <c r="AO232" s="10" t="s">
        <v>24</v>
      </c>
      <c r="AP232" s="10">
        <f t="shared" si="33"/>
        <v>0</v>
      </c>
      <c r="AQ232" s="10" t="s">
        <v>11</v>
      </c>
      <c r="AR232" s="10">
        <f t="shared" si="34"/>
        <v>1</v>
      </c>
      <c r="AS232" s="10" t="s">
        <v>26</v>
      </c>
      <c r="AT232" s="10">
        <f t="shared" si="40"/>
        <v>1</v>
      </c>
      <c r="AU232" s="10">
        <f t="shared" si="36"/>
        <v>0</v>
      </c>
      <c r="AV232" s="11">
        <v>23.475014999999999</v>
      </c>
      <c r="AW232" s="11">
        <v>72.291700000000006</v>
      </c>
      <c r="AX232" s="11">
        <v>9.3336359999999985</v>
      </c>
      <c r="AY232" s="10">
        <v>59</v>
      </c>
      <c r="AZ232" t="s">
        <v>106</v>
      </c>
      <c r="BA232" s="17">
        <f t="shared" si="37"/>
        <v>0</v>
      </c>
      <c r="BB232" s="17">
        <f t="shared" si="38"/>
        <v>1</v>
      </c>
      <c r="BC232" s="17">
        <f t="shared" si="39"/>
        <v>0</v>
      </c>
      <c r="BG232" s="14">
        <v>0</v>
      </c>
      <c r="BH232" s="14">
        <v>1</v>
      </c>
      <c r="BI232" s="14">
        <v>0</v>
      </c>
      <c r="BJ232" s="14">
        <v>0</v>
      </c>
      <c r="BK232" s="14">
        <v>1</v>
      </c>
      <c r="BL232" s="14">
        <v>1</v>
      </c>
      <c r="BM232" s="14">
        <v>0</v>
      </c>
      <c r="BN232" s="14">
        <v>0</v>
      </c>
      <c r="BO232" s="14">
        <v>1</v>
      </c>
      <c r="BP232" s="14">
        <v>0</v>
      </c>
      <c r="BQ232" s="11">
        <v>23.475014999999999</v>
      </c>
      <c r="BR232" s="11">
        <v>72.291700000000006</v>
      </c>
      <c r="BS232" s="11">
        <v>9.3336359999999985</v>
      </c>
      <c r="BT232" s="10">
        <v>59</v>
      </c>
    </row>
    <row r="233" spans="4:72" ht="20.149999999999999" customHeight="1">
      <c r="D233" s="10">
        <v>73</v>
      </c>
      <c r="E233" s="11">
        <v>24.787485</v>
      </c>
      <c r="F233" s="11">
        <v>54.041700000000006</v>
      </c>
      <c r="G233" s="10">
        <v>73</v>
      </c>
      <c r="J233" s="103"/>
      <c r="K233" s="86"/>
      <c r="AK233" s="10" t="s">
        <v>30</v>
      </c>
      <c r="AL233" s="10">
        <f t="shared" si="30"/>
        <v>0</v>
      </c>
      <c r="AM233" s="10">
        <f t="shared" si="31"/>
        <v>1</v>
      </c>
      <c r="AN233" s="10">
        <f t="shared" si="32"/>
        <v>0</v>
      </c>
      <c r="AO233" s="10" t="s">
        <v>24</v>
      </c>
      <c r="AP233" s="10">
        <f t="shared" si="33"/>
        <v>0</v>
      </c>
      <c r="AQ233" s="10" t="s">
        <v>25</v>
      </c>
      <c r="AR233" s="10">
        <f t="shared" si="34"/>
        <v>0</v>
      </c>
      <c r="AS233" s="10" t="s">
        <v>27</v>
      </c>
      <c r="AT233" s="10">
        <f t="shared" si="40"/>
        <v>0</v>
      </c>
      <c r="AU233" s="10">
        <f t="shared" si="36"/>
        <v>0</v>
      </c>
      <c r="AV233" s="11">
        <v>17.962515</v>
      </c>
      <c r="AW233" s="11">
        <v>67.416699999999992</v>
      </c>
      <c r="AX233" s="11">
        <v>6.9992890000000001</v>
      </c>
      <c r="AY233" s="10">
        <v>33</v>
      </c>
      <c r="AZ233" t="s">
        <v>107</v>
      </c>
      <c r="BA233" s="17">
        <f t="shared" si="37"/>
        <v>1</v>
      </c>
      <c r="BB233" s="17">
        <f t="shared" si="38"/>
        <v>0</v>
      </c>
      <c r="BC233" s="17">
        <f t="shared" si="39"/>
        <v>0</v>
      </c>
      <c r="BG233" s="14">
        <v>0</v>
      </c>
      <c r="BH233" s="14">
        <v>1</v>
      </c>
      <c r="BI233" s="14">
        <v>0</v>
      </c>
      <c r="BJ233" s="14">
        <v>0</v>
      </c>
      <c r="BK233" s="14">
        <v>0</v>
      </c>
      <c r="BL233" s="14">
        <v>0</v>
      </c>
      <c r="BM233" s="14">
        <v>0</v>
      </c>
      <c r="BN233" s="14">
        <v>1</v>
      </c>
      <c r="BO233" s="14">
        <v>0</v>
      </c>
      <c r="BP233" s="14">
        <v>0</v>
      </c>
      <c r="BQ233" s="11">
        <v>17.962515</v>
      </c>
      <c r="BR233" s="11">
        <v>67.416699999999992</v>
      </c>
      <c r="BS233" s="11">
        <v>6.9992890000000001</v>
      </c>
      <c r="BT233" s="10">
        <v>33</v>
      </c>
    </row>
    <row r="234" spans="4:72" ht="20.149999999999999" customHeight="1">
      <c r="D234" s="10">
        <v>104</v>
      </c>
      <c r="E234" s="11">
        <v>22.800014999999998</v>
      </c>
      <c r="F234" s="11">
        <v>67.125</v>
      </c>
      <c r="G234" s="10">
        <v>104</v>
      </c>
      <c r="J234" s="103"/>
      <c r="K234" s="86"/>
      <c r="AK234" s="10" t="s">
        <v>30</v>
      </c>
      <c r="AL234" s="10">
        <f t="shared" si="30"/>
        <v>0</v>
      </c>
      <c r="AM234" s="10">
        <f t="shared" si="31"/>
        <v>1</v>
      </c>
      <c r="AN234" s="10">
        <f t="shared" si="32"/>
        <v>0</v>
      </c>
      <c r="AO234" s="10" t="s">
        <v>24</v>
      </c>
      <c r="AP234" s="10">
        <f t="shared" si="33"/>
        <v>0</v>
      </c>
      <c r="AQ234" s="10" t="s">
        <v>25</v>
      </c>
      <c r="AR234" s="10">
        <f t="shared" si="34"/>
        <v>0</v>
      </c>
      <c r="AS234" s="10" t="s">
        <v>27</v>
      </c>
      <c r="AT234" s="10">
        <f t="shared" si="40"/>
        <v>0</v>
      </c>
      <c r="AU234" s="10">
        <f t="shared" si="36"/>
        <v>0</v>
      </c>
      <c r="AV234" s="11">
        <v>12.834764999999999</v>
      </c>
      <c r="AW234" s="11">
        <v>77</v>
      </c>
      <c r="AX234" s="11">
        <v>16.666518</v>
      </c>
      <c r="AY234" s="10">
        <v>36</v>
      </c>
      <c r="AZ234" t="s">
        <v>107</v>
      </c>
      <c r="BA234" s="17">
        <f t="shared" si="37"/>
        <v>1</v>
      </c>
      <c r="BB234" s="17">
        <f t="shared" si="38"/>
        <v>0</v>
      </c>
      <c r="BC234" s="17">
        <f t="shared" si="39"/>
        <v>0</v>
      </c>
      <c r="BG234" s="14">
        <v>0</v>
      </c>
      <c r="BH234" s="14">
        <v>1</v>
      </c>
      <c r="BI234" s="14">
        <v>0</v>
      </c>
      <c r="BJ234" s="14">
        <v>0</v>
      </c>
      <c r="BK234" s="14">
        <v>0</v>
      </c>
      <c r="BL234" s="14">
        <v>0</v>
      </c>
      <c r="BM234" s="14">
        <v>0</v>
      </c>
      <c r="BN234" s="14">
        <v>1</v>
      </c>
      <c r="BO234" s="14">
        <v>0</v>
      </c>
      <c r="BP234" s="14">
        <v>0</v>
      </c>
      <c r="BQ234" s="11">
        <v>12.834764999999999</v>
      </c>
      <c r="BR234" s="11">
        <v>77</v>
      </c>
      <c r="BS234" s="11">
        <v>16.666518</v>
      </c>
      <c r="BT234" s="10">
        <v>36</v>
      </c>
    </row>
    <row r="235" spans="4:72" ht="20.149999999999999" customHeight="1">
      <c r="D235" s="10">
        <v>101</v>
      </c>
      <c r="E235" s="11">
        <v>23.025015</v>
      </c>
      <c r="F235" s="11">
        <v>88.833300000000008</v>
      </c>
      <c r="G235" s="10">
        <v>101</v>
      </c>
      <c r="J235" s="103"/>
      <c r="K235" s="86"/>
      <c r="AK235" s="10" t="s">
        <v>30</v>
      </c>
      <c r="AL235" s="10">
        <f t="shared" si="30"/>
        <v>0</v>
      </c>
      <c r="AM235" s="10">
        <f t="shared" si="31"/>
        <v>1</v>
      </c>
      <c r="AN235" s="10">
        <f t="shared" si="32"/>
        <v>0</v>
      </c>
      <c r="AO235" s="10" t="s">
        <v>24</v>
      </c>
      <c r="AP235" s="10">
        <f t="shared" si="33"/>
        <v>0</v>
      </c>
      <c r="AQ235" s="10" t="s">
        <v>11</v>
      </c>
      <c r="AR235" s="10">
        <f t="shared" si="34"/>
        <v>1</v>
      </c>
      <c r="AS235" s="10" t="s">
        <v>27</v>
      </c>
      <c r="AT235" s="10">
        <f t="shared" si="40"/>
        <v>0</v>
      </c>
      <c r="AU235" s="10">
        <f t="shared" si="36"/>
        <v>0</v>
      </c>
      <c r="AV235" s="11">
        <v>13.649985000000001</v>
      </c>
      <c r="AW235" s="11">
        <v>47</v>
      </c>
      <c r="AX235" s="11">
        <v>18.542249999999999</v>
      </c>
      <c r="AY235" s="10">
        <v>22</v>
      </c>
      <c r="AZ235" t="s">
        <v>107</v>
      </c>
      <c r="BA235" s="17">
        <f t="shared" si="37"/>
        <v>1</v>
      </c>
      <c r="BB235" s="17">
        <f t="shared" si="38"/>
        <v>0</v>
      </c>
      <c r="BC235" s="17">
        <f t="shared" si="39"/>
        <v>0</v>
      </c>
      <c r="BG235" s="14">
        <v>0</v>
      </c>
      <c r="BH235" s="14">
        <v>1</v>
      </c>
      <c r="BI235" s="14">
        <v>0</v>
      </c>
      <c r="BJ235" s="14">
        <v>0</v>
      </c>
      <c r="BK235" s="14">
        <v>1</v>
      </c>
      <c r="BL235" s="14">
        <v>0</v>
      </c>
      <c r="BM235" s="14">
        <v>0</v>
      </c>
      <c r="BN235" s="14">
        <v>1</v>
      </c>
      <c r="BO235" s="14">
        <v>0</v>
      </c>
      <c r="BP235" s="14">
        <v>0</v>
      </c>
      <c r="BQ235" s="11">
        <v>13.649985000000001</v>
      </c>
      <c r="BR235" s="11">
        <v>47</v>
      </c>
      <c r="BS235" s="11">
        <v>18.542249999999999</v>
      </c>
      <c r="BT235" s="10">
        <v>22</v>
      </c>
    </row>
    <row r="236" spans="4:72" ht="20.149999999999999" customHeight="1">
      <c r="D236" s="10">
        <v>91</v>
      </c>
      <c r="E236" s="11">
        <v>24.037514999999999</v>
      </c>
      <c r="F236" s="11">
        <v>47.958300000000001</v>
      </c>
      <c r="G236" s="10">
        <v>91</v>
      </c>
      <c r="J236" s="103"/>
      <c r="K236" s="86"/>
      <c r="AK236" s="10" t="s">
        <v>30</v>
      </c>
      <c r="AL236" s="10">
        <f t="shared" si="30"/>
        <v>0</v>
      </c>
      <c r="AM236" s="10">
        <f t="shared" si="31"/>
        <v>1</v>
      </c>
      <c r="AN236" s="10">
        <f t="shared" si="32"/>
        <v>0</v>
      </c>
      <c r="AO236" s="10" t="s">
        <v>24</v>
      </c>
      <c r="AP236" s="10">
        <f t="shared" si="33"/>
        <v>0</v>
      </c>
      <c r="AQ236" s="10" t="s">
        <v>11</v>
      </c>
      <c r="AR236" s="10">
        <f t="shared" si="34"/>
        <v>1</v>
      </c>
      <c r="AS236" s="10" t="s">
        <v>27</v>
      </c>
      <c r="AT236" s="10">
        <f t="shared" si="40"/>
        <v>0</v>
      </c>
      <c r="AU236" s="10">
        <f t="shared" si="36"/>
        <v>0</v>
      </c>
      <c r="AV236" s="11">
        <v>8.1999899999999997</v>
      </c>
      <c r="AW236" s="11">
        <v>45.541699999999999</v>
      </c>
      <c r="AX236" s="11">
        <v>9.8331210000000002</v>
      </c>
      <c r="AY236" s="10">
        <v>29</v>
      </c>
      <c r="AZ236" t="s">
        <v>107</v>
      </c>
      <c r="BA236" s="17">
        <f t="shared" si="37"/>
        <v>1</v>
      </c>
      <c r="BB236" s="17">
        <f t="shared" si="38"/>
        <v>0</v>
      </c>
      <c r="BC236" s="17">
        <f t="shared" si="39"/>
        <v>0</v>
      </c>
      <c r="BG236" s="14">
        <v>0</v>
      </c>
      <c r="BH236" s="14">
        <v>1</v>
      </c>
      <c r="BI236" s="14">
        <v>0</v>
      </c>
      <c r="BJ236" s="14">
        <v>0</v>
      </c>
      <c r="BK236" s="14">
        <v>1</v>
      </c>
      <c r="BL236" s="14">
        <v>0</v>
      </c>
      <c r="BM236" s="14">
        <v>0</v>
      </c>
      <c r="BN236" s="14">
        <v>1</v>
      </c>
      <c r="BO236" s="14">
        <v>0</v>
      </c>
      <c r="BP236" s="14">
        <v>0</v>
      </c>
      <c r="BQ236" s="11">
        <v>8.1999899999999997</v>
      </c>
      <c r="BR236" s="11">
        <v>45.541699999999999</v>
      </c>
      <c r="BS236" s="11">
        <v>9.8331210000000002</v>
      </c>
      <c r="BT236" s="10">
        <v>29</v>
      </c>
    </row>
    <row r="237" spans="4:72" ht="20.149999999999999" customHeight="1">
      <c r="D237" s="10">
        <v>95</v>
      </c>
      <c r="E237" s="11">
        <v>23.962499999999999</v>
      </c>
      <c r="F237" s="11">
        <v>54.25</v>
      </c>
      <c r="G237" s="10">
        <v>95</v>
      </c>
      <c r="J237" s="103"/>
      <c r="K237" s="86"/>
      <c r="AK237" s="10" t="s">
        <v>30</v>
      </c>
      <c r="AL237" s="10">
        <f t="shared" si="30"/>
        <v>0</v>
      </c>
      <c r="AM237" s="10">
        <f t="shared" si="31"/>
        <v>1</v>
      </c>
      <c r="AN237" s="10">
        <f t="shared" si="32"/>
        <v>0</v>
      </c>
      <c r="AO237" s="10" t="s">
        <v>24</v>
      </c>
      <c r="AP237" s="10">
        <f t="shared" si="33"/>
        <v>0</v>
      </c>
      <c r="AQ237" s="10" t="s">
        <v>11</v>
      </c>
      <c r="AR237" s="10">
        <f t="shared" si="34"/>
        <v>1</v>
      </c>
      <c r="AS237" s="10" t="s">
        <v>27</v>
      </c>
      <c r="AT237" s="10">
        <f t="shared" si="40"/>
        <v>0</v>
      </c>
      <c r="AU237" s="10">
        <f t="shared" si="36"/>
        <v>0</v>
      </c>
      <c r="AV237" s="11">
        <v>9.978254999999999</v>
      </c>
      <c r="AW237" s="11">
        <v>60.5</v>
      </c>
      <c r="AX237" s="11">
        <v>16.958235999999999</v>
      </c>
      <c r="AY237" s="10">
        <v>39</v>
      </c>
      <c r="AZ237" t="s">
        <v>107</v>
      </c>
      <c r="BA237" s="17">
        <f t="shared" si="37"/>
        <v>1</v>
      </c>
      <c r="BB237" s="17">
        <f t="shared" si="38"/>
        <v>0</v>
      </c>
      <c r="BC237" s="17">
        <f t="shared" si="39"/>
        <v>0</v>
      </c>
      <c r="BG237" s="14">
        <v>0</v>
      </c>
      <c r="BH237" s="14">
        <v>1</v>
      </c>
      <c r="BI237" s="14">
        <v>0</v>
      </c>
      <c r="BJ237" s="14">
        <v>0</v>
      </c>
      <c r="BK237" s="14">
        <v>1</v>
      </c>
      <c r="BL237" s="14">
        <v>0</v>
      </c>
      <c r="BM237" s="14">
        <v>0</v>
      </c>
      <c r="BN237" s="14">
        <v>1</v>
      </c>
      <c r="BO237" s="14">
        <v>0</v>
      </c>
      <c r="BP237" s="14">
        <v>0</v>
      </c>
      <c r="BQ237" s="11">
        <v>9.978254999999999</v>
      </c>
      <c r="BR237" s="11">
        <v>60.5</v>
      </c>
      <c r="BS237" s="11">
        <v>16.958235999999999</v>
      </c>
      <c r="BT237" s="10">
        <v>39</v>
      </c>
    </row>
    <row r="238" spans="4:72" ht="20.149999999999999" customHeight="1">
      <c r="D238" s="10">
        <v>48</v>
      </c>
      <c r="E238" s="11">
        <v>24.378254999999999</v>
      </c>
      <c r="F238" s="11">
        <v>66.583299999999994</v>
      </c>
      <c r="G238" s="10">
        <v>48</v>
      </c>
      <c r="J238" s="103"/>
      <c r="K238" s="86"/>
      <c r="AK238" s="10" t="s">
        <v>30</v>
      </c>
      <c r="AL238" s="10">
        <f t="shared" si="30"/>
        <v>0</v>
      </c>
      <c r="AM238" s="10">
        <f t="shared" si="31"/>
        <v>1</v>
      </c>
      <c r="AN238" s="10">
        <f t="shared" si="32"/>
        <v>0</v>
      </c>
      <c r="AO238" s="10" t="s">
        <v>24</v>
      </c>
      <c r="AP238" s="10">
        <f t="shared" si="33"/>
        <v>0</v>
      </c>
      <c r="AQ238" s="10" t="s">
        <v>11</v>
      </c>
      <c r="AR238" s="10">
        <f t="shared" si="34"/>
        <v>1</v>
      </c>
      <c r="AS238" s="10" t="s">
        <v>26</v>
      </c>
      <c r="AT238" s="10">
        <f t="shared" si="40"/>
        <v>1</v>
      </c>
      <c r="AU238" s="10">
        <f t="shared" si="36"/>
        <v>0</v>
      </c>
      <c r="AV238" s="11">
        <v>13.304340000000002</v>
      </c>
      <c r="AW238" s="11">
        <v>77.166700000000006</v>
      </c>
      <c r="AX238" s="11">
        <v>14.125810999999999</v>
      </c>
      <c r="AY238" s="10">
        <v>36</v>
      </c>
      <c r="AZ238" t="s">
        <v>107</v>
      </c>
      <c r="BA238" s="17">
        <f t="shared" si="37"/>
        <v>1</v>
      </c>
      <c r="BB238" s="17">
        <f t="shared" si="38"/>
        <v>0</v>
      </c>
      <c r="BC238" s="17">
        <f t="shared" si="39"/>
        <v>0</v>
      </c>
      <c r="BG238" s="14">
        <v>0</v>
      </c>
      <c r="BH238" s="14">
        <v>1</v>
      </c>
      <c r="BI238" s="14">
        <v>0</v>
      </c>
      <c r="BJ238" s="14">
        <v>0</v>
      </c>
      <c r="BK238" s="14">
        <v>1</v>
      </c>
      <c r="BL238" s="14">
        <v>1</v>
      </c>
      <c r="BM238" s="14">
        <v>0</v>
      </c>
      <c r="BN238" s="14">
        <v>1</v>
      </c>
      <c r="BO238" s="14">
        <v>0</v>
      </c>
      <c r="BP238" s="14">
        <v>0</v>
      </c>
      <c r="BQ238" s="11">
        <v>13.304340000000002</v>
      </c>
      <c r="BR238" s="11">
        <v>77.166700000000006</v>
      </c>
      <c r="BS238" s="11">
        <v>14.125810999999999</v>
      </c>
      <c r="BT238" s="10">
        <v>36</v>
      </c>
    </row>
    <row r="239" spans="4:72" ht="20.149999999999999" customHeight="1">
      <c r="D239" s="10">
        <v>83</v>
      </c>
      <c r="E239" s="11">
        <v>21.412485</v>
      </c>
      <c r="F239" s="11">
        <v>61.416699999999999</v>
      </c>
      <c r="G239" s="10">
        <v>83</v>
      </c>
      <c r="J239" s="103"/>
      <c r="K239" s="86"/>
      <c r="AK239" s="10" t="s">
        <v>30</v>
      </c>
      <c r="AL239" s="10">
        <f t="shared" si="30"/>
        <v>0</v>
      </c>
      <c r="AM239" s="10">
        <f t="shared" si="31"/>
        <v>1</v>
      </c>
      <c r="AN239" s="10">
        <f t="shared" si="32"/>
        <v>0</v>
      </c>
      <c r="AO239" s="10" t="s">
        <v>24</v>
      </c>
      <c r="AP239" s="10">
        <f t="shared" si="33"/>
        <v>0</v>
      </c>
      <c r="AQ239" s="10" t="s">
        <v>11</v>
      </c>
      <c r="AR239" s="10">
        <f t="shared" si="34"/>
        <v>1</v>
      </c>
      <c r="AS239" s="10" t="s">
        <v>27</v>
      </c>
      <c r="AT239" s="10">
        <f t="shared" si="40"/>
        <v>0</v>
      </c>
      <c r="AU239" s="10">
        <f t="shared" si="36"/>
        <v>0</v>
      </c>
      <c r="AV239" s="11">
        <v>16.395659999999999</v>
      </c>
      <c r="AW239" s="11">
        <v>76.125</v>
      </c>
      <c r="AX239" s="11">
        <v>5.6254874999999993</v>
      </c>
      <c r="AY239" s="10">
        <v>29</v>
      </c>
      <c r="AZ239" t="s">
        <v>107</v>
      </c>
      <c r="BA239" s="17">
        <f t="shared" si="37"/>
        <v>1</v>
      </c>
      <c r="BB239" s="17">
        <f t="shared" si="38"/>
        <v>0</v>
      </c>
      <c r="BC239" s="17">
        <f t="shared" si="39"/>
        <v>0</v>
      </c>
      <c r="BG239" s="14">
        <v>0</v>
      </c>
      <c r="BH239" s="14">
        <v>1</v>
      </c>
      <c r="BI239" s="14">
        <v>0</v>
      </c>
      <c r="BJ239" s="14">
        <v>0</v>
      </c>
      <c r="BK239" s="14">
        <v>1</v>
      </c>
      <c r="BL239" s="14">
        <v>0</v>
      </c>
      <c r="BM239" s="14">
        <v>0</v>
      </c>
      <c r="BN239" s="14">
        <v>1</v>
      </c>
      <c r="BO239" s="14">
        <v>0</v>
      </c>
      <c r="BP239" s="14">
        <v>0</v>
      </c>
      <c r="BQ239" s="11">
        <v>16.395659999999999</v>
      </c>
      <c r="BR239" s="11">
        <v>76.125</v>
      </c>
      <c r="BS239" s="11">
        <v>5.6254874999999993</v>
      </c>
      <c r="BT239" s="10">
        <v>29</v>
      </c>
    </row>
    <row r="240" spans="4:72" ht="20.149999999999999" customHeight="1">
      <c r="D240" s="10">
        <v>87</v>
      </c>
      <c r="E240" s="11">
        <v>19.237500000000001</v>
      </c>
      <c r="F240" s="11">
        <v>40.708299999999994</v>
      </c>
      <c r="G240" s="10">
        <v>87</v>
      </c>
      <c r="J240" s="103"/>
      <c r="K240" s="86"/>
      <c r="AK240" s="10" t="s">
        <v>30</v>
      </c>
      <c r="AL240" s="10">
        <f t="shared" si="30"/>
        <v>0</v>
      </c>
      <c r="AM240" s="10">
        <f t="shared" si="31"/>
        <v>1</v>
      </c>
      <c r="AN240" s="10">
        <f t="shared" si="32"/>
        <v>0</v>
      </c>
      <c r="AO240" s="10" t="s">
        <v>24</v>
      </c>
      <c r="AP240" s="10">
        <f t="shared" si="33"/>
        <v>0</v>
      </c>
      <c r="AQ240" s="10" t="s">
        <v>25</v>
      </c>
      <c r="AR240" s="10">
        <f t="shared" si="34"/>
        <v>0</v>
      </c>
      <c r="AS240" s="10" t="s">
        <v>26</v>
      </c>
      <c r="AT240" s="10">
        <f t="shared" si="40"/>
        <v>1</v>
      </c>
      <c r="AU240" s="10">
        <f t="shared" si="36"/>
        <v>0</v>
      </c>
      <c r="AV240" s="11">
        <v>12.712499999999999</v>
      </c>
      <c r="AW240" s="11">
        <v>85</v>
      </c>
      <c r="AX240" s="11">
        <v>25.166338999999997</v>
      </c>
      <c r="AY240" s="10">
        <v>39</v>
      </c>
      <c r="AZ240" t="s">
        <v>107</v>
      </c>
      <c r="BA240" s="17">
        <f t="shared" si="37"/>
        <v>1</v>
      </c>
      <c r="BB240" s="17">
        <f t="shared" si="38"/>
        <v>0</v>
      </c>
      <c r="BC240" s="17">
        <f t="shared" si="39"/>
        <v>0</v>
      </c>
      <c r="BG240" s="14">
        <v>0</v>
      </c>
      <c r="BH240" s="14">
        <v>1</v>
      </c>
      <c r="BI240" s="14">
        <v>0</v>
      </c>
      <c r="BJ240" s="14">
        <v>0</v>
      </c>
      <c r="BK240" s="14">
        <v>0</v>
      </c>
      <c r="BL240" s="14">
        <v>1</v>
      </c>
      <c r="BM240" s="14">
        <v>0</v>
      </c>
      <c r="BN240" s="14">
        <v>1</v>
      </c>
      <c r="BO240" s="14">
        <v>0</v>
      </c>
      <c r="BP240" s="14">
        <v>0</v>
      </c>
      <c r="BQ240" s="11">
        <v>12.712499999999999</v>
      </c>
      <c r="BR240" s="11">
        <v>85</v>
      </c>
      <c r="BS240" s="11">
        <v>25.166338999999997</v>
      </c>
      <c r="BT240" s="10">
        <v>39</v>
      </c>
    </row>
    <row r="241" spans="4:72" ht="20.149999999999999" customHeight="1">
      <c r="D241" s="10">
        <v>86</v>
      </c>
      <c r="E241" s="11">
        <v>19.012499999999999</v>
      </c>
      <c r="F241" s="11">
        <v>72.958299999999994</v>
      </c>
      <c r="G241" s="10">
        <v>86</v>
      </c>
      <c r="J241" s="103"/>
      <c r="K241" s="86"/>
      <c r="AK241" s="10" t="s">
        <v>30</v>
      </c>
      <c r="AL241" s="10">
        <f t="shared" si="30"/>
        <v>0</v>
      </c>
      <c r="AM241" s="10">
        <f t="shared" si="31"/>
        <v>1</v>
      </c>
      <c r="AN241" s="10">
        <f t="shared" si="32"/>
        <v>0</v>
      </c>
      <c r="AO241" s="10" t="s">
        <v>24</v>
      </c>
      <c r="AP241" s="10">
        <f t="shared" si="33"/>
        <v>0</v>
      </c>
      <c r="AQ241" s="10" t="s">
        <v>25</v>
      </c>
      <c r="AR241" s="10">
        <f t="shared" si="34"/>
        <v>0</v>
      </c>
      <c r="AS241" s="10" t="s">
        <v>27</v>
      </c>
      <c r="AT241" s="10">
        <f t="shared" si="40"/>
        <v>0</v>
      </c>
      <c r="AU241" s="10">
        <f t="shared" si="36"/>
        <v>0</v>
      </c>
      <c r="AV241" s="11">
        <v>15.45651</v>
      </c>
      <c r="AW241" s="11">
        <v>56.176499999999997</v>
      </c>
      <c r="AX241" s="11">
        <v>20.412153</v>
      </c>
      <c r="AY241" s="10">
        <v>48</v>
      </c>
      <c r="AZ241" t="s">
        <v>106</v>
      </c>
      <c r="BA241" s="17">
        <f t="shared" si="37"/>
        <v>0</v>
      </c>
      <c r="BB241" s="17">
        <f t="shared" si="38"/>
        <v>1</v>
      </c>
      <c r="BC241" s="17">
        <f t="shared" si="39"/>
        <v>0</v>
      </c>
      <c r="BG241" s="14">
        <v>0</v>
      </c>
      <c r="BH241" s="14">
        <v>1</v>
      </c>
      <c r="BI241" s="14">
        <v>0</v>
      </c>
      <c r="BJ241" s="14">
        <v>0</v>
      </c>
      <c r="BK241" s="14">
        <v>0</v>
      </c>
      <c r="BL241" s="14">
        <v>0</v>
      </c>
      <c r="BM241" s="14">
        <v>0</v>
      </c>
      <c r="BN241" s="14">
        <v>0</v>
      </c>
      <c r="BO241" s="14">
        <v>1</v>
      </c>
      <c r="BP241" s="14">
        <v>0</v>
      </c>
      <c r="BQ241" s="11">
        <v>15.45651</v>
      </c>
      <c r="BR241" s="11">
        <v>56.176499999999997</v>
      </c>
      <c r="BS241" s="11">
        <v>20.412153</v>
      </c>
      <c r="BT241" s="10">
        <v>48</v>
      </c>
    </row>
    <row r="242" spans="4:72" ht="20.149999999999999" customHeight="1">
      <c r="D242" s="10">
        <v>87</v>
      </c>
      <c r="E242" s="11">
        <v>18.975014999999999</v>
      </c>
      <c r="F242" s="11">
        <v>88.791699999999992</v>
      </c>
      <c r="G242" s="10">
        <v>87</v>
      </c>
      <c r="J242" s="103"/>
      <c r="K242" s="86"/>
      <c r="AK242" s="10" t="s">
        <v>30</v>
      </c>
      <c r="AL242" s="10">
        <f t="shared" si="30"/>
        <v>0</v>
      </c>
      <c r="AM242" s="10">
        <f t="shared" si="31"/>
        <v>1</v>
      </c>
      <c r="AN242" s="10">
        <f t="shared" si="32"/>
        <v>0</v>
      </c>
      <c r="AO242" s="10" t="s">
        <v>24</v>
      </c>
      <c r="AP242" s="10">
        <f t="shared" si="33"/>
        <v>0</v>
      </c>
      <c r="AQ242" s="10" t="s">
        <v>11</v>
      </c>
      <c r="AR242" s="10">
        <f t="shared" si="34"/>
        <v>1</v>
      </c>
      <c r="AS242" s="10" t="s">
        <v>27</v>
      </c>
      <c r="AT242" s="10">
        <f t="shared" si="40"/>
        <v>0</v>
      </c>
      <c r="AU242" s="10">
        <f t="shared" si="36"/>
        <v>0</v>
      </c>
      <c r="AV242" s="11">
        <v>18.327285</v>
      </c>
      <c r="AW242" s="11">
        <v>55.458300000000008</v>
      </c>
      <c r="AX242" s="11">
        <v>10.708275</v>
      </c>
      <c r="AY242" s="10">
        <v>29</v>
      </c>
      <c r="AZ242" t="s">
        <v>107</v>
      </c>
      <c r="BA242" s="17">
        <f t="shared" si="37"/>
        <v>1</v>
      </c>
      <c r="BB242" s="17">
        <f t="shared" si="38"/>
        <v>0</v>
      </c>
      <c r="BC242" s="17">
        <f t="shared" si="39"/>
        <v>0</v>
      </c>
      <c r="BG242" s="14">
        <v>0</v>
      </c>
      <c r="BH242" s="14">
        <v>1</v>
      </c>
      <c r="BI242" s="14">
        <v>0</v>
      </c>
      <c r="BJ242" s="14">
        <v>0</v>
      </c>
      <c r="BK242" s="14">
        <v>1</v>
      </c>
      <c r="BL242" s="14">
        <v>0</v>
      </c>
      <c r="BM242" s="14">
        <v>0</v>
      </c>
      <c r="BN242" s="14">
        <v>1</v>
      </c>
      <c r="BO242" s="14">
        <v>0</v>
      </c>
      <c r="BP242" s="14">
        <v>0</v>
      </c>
      <c r="BQ242" s="11">
        <v>18.327285</v>
      </c>
      <c r="BR242" s="11">
        <v>55.458300000000008</v>
      </c>
      <c r="BS242" s="11">
        <v>10.708275</v>
      </c>
      <c r="BT242" s="10">
        <v>29</v>
      </c>
    </row>
    <row r="243" spans="4:72" ht="20.149999999999999" customHeight="1">
      <c r="D243" s="10">
        <v>84</v>
      </c>
      <c r="E243" s="11">
        <v>20.849985</v>
      </c>
      <c r="F243" s="11">
        <v>81.083300000000008</v>
      </c>
      <c r="G243" s="10">
        <v>84</v>
      </c>
      <c r="J243" s="103"/>
      <c r="K243" s="86"/>
      <c r="AK243" s="10" t="s">
        <v>30</v>
      </c>
      <c r="AL243" s="10">
        <f t="shared" si="30"/>
        <v>0</v>
      </c>
      <c r="AM243" s="10">
        <f t="shared" si="31"/>
        <v>1</v>
      </c>
      <c r="AN243" s="10">
        <f t="shared" si="32"/>
        <v>0</v>
      </c>
      <c r="AO243" s="10" t="s">
        <v>24</v>
      </c>
      <c r="AP243" s="10">
        <f t="shared" si="33"/>
        <v>0</v>
      </c>
      <c r="AQ243" s="10" t="s">
        <v>11</v>
      </c>
      <c r="AR243" s="10">
        <f t="shared" si="34"/>
        <v>1</v>
      </c>
      <c r="AS243" s="10" t="s">
        <v>27</v>
      </c>
      <c r="AT243" s="10">
        <f t="shared" si="40"/>
        <v>0</v>
      </c>
      <c r="AU243" s="10">
        <f t="shared" si="36"/>
        <v>0</v>
      </c>
      <c r="AV243" s="11">
        <v>12.000014999999999</v>
      </c>
      <c r="AW243" s="11">
        <v>54.833299999999994</v>
      </c>
      <c r="AX243" s="11">
        <v>8.3755360000000003</v>
      </c>
      <c r="AY243" s="10">
        <v>37</v>
      </c>
      <c r="AZ243" t="s">
        <v>107</v>
      </c>
      <c r="BA243" s="17">
        <f t="shared" si="37"/>
        <v>1</v>
      </c>
      <c r="BB243" s="17">
        <f t="shared" si="38"/>
        <v>0</v>
      </c>
      <c r="BC243" s="17">
        <f t="shared" si="39"/>
        <v>0</v>
      </c>
      <c r="BG243" s="14">
        <v>0</v>
      </c>
      <c r="BH243" s="14">
        <v>1</v>
      </c>
      <c r="BI243" s="14">
        <v>0</v>
      </c>
      <c r="BJ243" s="14">
        <v>0</v>
      </c>
      <c r="BK243" s="14">
        <v>1</v>
      </c>
      <c r="BL243" s="14">
        <v>0</v>
      </c>
      <c r="BM243" s="14">
        <v>0</v>
      </c>
      <c r="BN243" s="14">
        <v>1</v>
      </c>
      <c r="BO243" s="14">
        <v>0</v>
      </c>
      <c r="BP243" s="14">
        <v>0</v>
      </c>
      <c r="BQ243" s="11">
        <v>12.000014999999999</v>
      </c>
      <c r="BR243" s="11">
        <v>54.833299999999994</v>
      </c>
      <c r="BS243" s="11">
        <v>8.3755360000000003</v>
      </c>
      <c r="BT243" s="10">
        <v>37</v>
      </c>
    </row>
    <row r="244" spans="4:72" ht="20.149999999999999" customHeight="1">
      <c r="D244" s="10">
        <v>94</v>
      </c>
      <c r="E244" s="11">
        <v>21.225014999999999</v>
      </c>
      <c r="F244" s="11">
        <v>77.666700000000006</v>
      </c>
      <c r="G244" s="10">
        <v>94</v>
      </c>
      <c r="J244" s="103"/>
      <c r="K244" s="86"/>
      <c r="AK244" s="10" t="s">
        <v>30</v>
      </c>
      <c r="AL244" s="10">
        <f t="shared" si="30"/>
        <v>0</v>
      </c>
      <c r="AM244" s="10">
        <f t="shared" si="31"/>
        <v>1</v>
      </c>
      <c r="AN244" s="10">
        <f t="shared" si="32"/>
        <v>0</v>
      </c>
      <c r="AO244" s="10" t="s">
        <v>24</v>
      </c>
      <c r="AP244" s="10">
        <f t="shared" si="33"/>
        <v>0</v>
      </c>
      <c r="AQ244" s="10" t="s">
        <v>11</v>
      </c>
      <c r="AR244" s="10">
        <f t="shared" si="34"/>
        <v>1</v>
      </c>
      <c r="AS244" s="10" t="s">
        <v>27</v>
      </c>
      <c r="AT244" s="10">
        <f t="shared" si="40"/>
        <v>0</v>
      </c>
      <c r="AU244" s="10">
        <f t="shared" si="36"/>
        <v>0</v>
      </c>
      <c r="AV244" s="11">
        <v>15.075000000000001</v>
      </c>
      <c r="AW244" s="11">
        <v>59.791700000000006</v>
      </c>
      <c r="AX244" s="11">
        <v>5.5833310999999997</v>
      </c>
      <c r="AY244" s="10">
        <v>43</v>
      </c>
      <c r="AZ244" t="s">
        <v>106</v>
      </c>
      <c r="BA244" s="17">
        <f t="shared" si="37"/>
        <v>0</v>
      </c>
      <c r="BB244" s="17">
        <f t="shared" si="38"/>
        <v>1</v>
      </c>
      <c r="BC244" s="17">
        <f t="shared" si="39"/>
        <v>0</v>
      </c>
      <c r="BG244" s="14">
        <v>0</v>
      </c>
      <c r="BH244" s="14">
        <v>1</v>
      </c>
      <c r="BI244" s="14">
        <v>0</v>
      </c>
      <c r="BJ244" s="14">
        <v>0</v>
      </c>
      <c r="BK244" s="14">
        <v>1</v>
      </c>
      <c r="BL244" s="14">
        <v>0</v>
      </c>
      <c r="BM244" s="14">
        <v>0</v>
      </c>
      <c r="BN244" s="14">
        <v>0</v>
      </c>
      <c r="BO244" s="14">
        <v>1</v>
      </c>
      <c r="BP244" s="14">
        <v>0</v>
      </c>
      <c r="BQ244" s="11">
        <v>15.075000000000001</v>
      </c>
      <c r="BR244" s="11">
        <v>59.791700000000006</v>
      </c>
      <c r="BS244" s="11">
        <v>5.5833310999999997</v>
      </c>
      <c r="BT244" s="10">
        <v>43</v>
      </c>
    </row>
    <row r="245" spans="4:72" ht="20.149999999999999" customHeight="1">
      <c r="D245" s="10">
        <v>78</v>
      </c>
      <c r="E245" s="11">
        <v>21.787514999999999</v>
      </c>
      <c r="F245" s="11">
        <v>72.916700000000006</v>
      </c>
      <c r="G245" s="10">
        <v>78</v>
      </c>
      <c r="J245" s="103"/>
      <c r="K245" s="86"/>
      <c r="AK245" s="10" t="s">
        <v>31</v>
      </c>
      <c r="AL245" s="10">
        <f t="shared" si="30"/>
        <v>0</v>
      </c>
      <c r="AM245" s="10">
        <f t="shared" si="31"/>
        <v>0</v>
      </c>
      <c r="AN245" s="10">
        <f t="shared" si="32"/>
        <v>1</v>
      </c>
      <c r="AO245" s="10" t="s">
        <v>24</v>
      </c>
      <c r="AP245" s="10">
        <f t="shared" si="33"/>
        <v>0</v>
      </c>
      <c r="AQ245" s="10" t="s">
        <v>11</v>
      </c>
      <c r="AR245" s="10">
        <f t="shared" si="34"/>
        <v>1</v>
      </c>
      <c r="AS245" s="10" t="s">
        <v>27</v>
      </c>
      <c r="AT245" s="10">
        <f t="shared" si="40"/>
        <v>0</v>
      </c>
      <c r="AU245" s="10">
        <f t="shared" si="36"/>
        <v>0</v>
      </c>
      <c r="AV245" s="11">
        <v>8.9249850000000013</v>
      </c>
      <c r="AW245" s="11">
        <v>63.916700000000006</v>
      </c>
      <c r="AX245" s="11">
        <v>9.5003320000000002</v>
      </c>
      <c r="AY245" s="10">
        <v>33</v>
      </c>
      <c r="AZ245" t="s">
        <v>107</v>
      </c>
      <c r="BA245" s="17">
        <f t="shared" si="37"/>
        <v>1</v>
      </c>
      <c r="BB245" s="17">
        <f t="shared" si="38"/>
        <v>0</v>
      </c>
      <c r="BC245" s="17">
        <f t="shared" si="39"/>
        <v>0</v>
      </c>
      <c r="BG245" s="14">
        <v>0</v>
      </c>
      <c r="BH245" s="14">
        <v>0</v>
      </c>
      <c r="BI245" s="14">
        <v>1</v>
      </c>
      <c r="BJ245" s="14">
        <v>0</v>
      </c>
      <c r="BK245" s="14">
        <v>1</v>
      </c>
      <c r="BL245" s="14">
        <v>0</v>
      </c>
      <c r="BM245" s="14">
        <v>0</v>
      </c>
      <c r="BN245" s="14">
        <v>1</v>
      </c>
      <c r="BO245" s="14">
        <v>0</v>
      </c>
      <c r="BP245" s="14">
        <v>0</v>
      </c>
      <c r="BQ245" s="11">
        <v>8.9249850000000013</v>
      </c>
      <c r="BR245" s="11">
        <v>63.916700000000006</v>
      </c>
      <c r="BS245" s="11">
        <v>9.5003320000000002</v>
      </c>
      <c r="BT245" s="10">
        <v>33</v>
      </c>
    </row>
    <row r="246" spans="4:72" ht="20.149999999999999" customHeight="1">
      <c r="D246" s="10">
        <v>53</v>
      </c>
      <c r="E246" s="11">
        <v>21.15</v>
      </c>
      <c r="F246" s="11">
        <v>83.541699999999992</v>
      </c>
      <c r="G246" s="10">
        <v>53</v>
      </c>
      <c r="J246" s="103"/>
      <c r="K246" s="86"/>
      <c r="AK246" s="10" t="s">
        <v>31</v>
      </c>
      <c r="AL246" s="10">
        <f t="shared" si="30"/>
        <v>0</v>
      </c>
      <c r="AM246" s="10">
        <f t="shared" si="31"/>
        <v>0</v>
      </c>
      <c r="AN246" s="10">
        <f t="shared" si="32"/>
        <v>1</v>
      </c>
      <c r="AO246" s="10" t="s">
        <v>24</v>
      </c>
      <c r="AP246" s="10">
        <f t="shared" si="33"/>
        <v>0</v>
      </c>
      <c r="AQ246" s="10" t="s">
        <v>11</v>
      </c>
      <c r="AR246" s="10">
        <f t="shared" si="34"/>
        <v>1</v>
      </c>
      <c r="AS246" s="10" t="s">
        <v>26</v>
      </c>
      <c r="AT246" s="10">
        <f t="shared" si="40"/>
        <v>1</v>
      </c>
      <c r="AU246" s="10">
        <f t="shared" si="36"/>
        <v>0</v>
      </c>
      <c r="AV246" s="11">
        <v>11.775015</v>
      </c>
      <c r="AW246" s="11">
        <v>72.708300000000008</v>
      </c>
      <c r="AX246" s="11">
        <v>9.3752429999999993</v>
      </c>
      <c r="AY246" s="10">
        <v>39</v>
      </c>
      <c r="AZ246" t="s">
        <v>107</v>
      </c>
      <c r="BA246" s="17">
        <f t="shared" si="37"/>
        <v>1</v>
      </c>
      <c r="BB246" s="17">
        <f t="shared" si="38"/>
        <v>0</v>
      </c>
      <c r="BC246" s="17">
        <f t="shared" si="39"/>
        <v>0</v>
      </c>
      <c r="BG246" s="14">
        <v>0</v>
      </c>
      <c r="BH246" s="14">
        <v>0</v>
      </c>
      <c r="BI246" s="14">
        <v>1</v>
      </c>
      <c r="BJ246" s="14">
        <v>0</v>
      </c>
      <c r="BK246" s="14">
        <v>1</v>
      </c>
      <c r="BL246" s="14">
        <v>1</v>
      </c>
      <c r="BM246" s="14">
        <v>0</v>
      </c>
      <c r="BN246" s="14">
        <v>1</v>
      </c>
      <c r="BO246" s="14">
        <v>0</v>
      </c>
      <c r="BP246" s="14">
        <v>0</v>
      </c>
      <c r="BQ246" s="11">
        <v>11.775015</v>
      </c>
      <c r="BR246" s="11">
        <v>72.708300000000008</v>
      </c>
      <c r="BS246" s="11">
        <v>9.3752429999999993</v>
      </c>
      <c r="BT246" s="10">
        <v>39</v>
      </c>
    </row>
    <row r="247" spans="4:72" ht="20.149999999999999" customHeight="1">
      <c r="D247" s="10">
        <v>75</v>
      </c>
      <c r="E247" s="11">
        <v>14.887485</v>
      </c>
      <c r="F247" s="11">
        <v>70.083300000000008</v>
      </c>
      <c r="G247" s="10">
        <v>75</v>
      </c>
      <c r="J247" s="103"/>
      <c r="K247" s="86"/>
      <c r="AK247" s="10" t="s">
        <v>31</v>
      </c>
      <c r="AL247" s="10">
        <f t="shared" si="30"/>
        <v>0</v>
      </c>
      <c r="AM247" s="10">
        <f t="shared" si="31"/>
        <v>0</v>
      </c>
      <c r="AN247" s="10">
        <f t="shared" si="32"/>
        <v>1</v>
      </c>
      <c r="AO247" s="10" t="s">
        <v>24</v>
      </c>
      <c r="AP247" s="10">
        <f t="shared" si="33"/>
        <v>0</v>
      </c>
      <c r="AQ247" s="10" t="s">
        <v>25</v>
      </c>
      <c r="AR247" s="10">
        <f t="shared" si="34"/>
        <v>0</v>
      </c>
      <c r="AS247" s="10" t="s">
        <v>27</v>
      </c>
      <c r="AT247" s="10">
        <f t="shared" si="40"/>
        <v>0</v>
      </c>
      <c r="AU247" s="10">
        <f t="shared" si="36"/>
        <v>0</v>
      </c>
      <c r="AV247" s="11">
        <v>17.287514999999999</v>
      </c>
      <c r="AW247" s="11">
        <v>71.666700000000006</v>
      </c>
      <c r="AX247" s="11">
        <v>12.416774999999999</v>
      </c>
      <c r="AY247" s="10">
        <v>42</v>
      </c>
      <c r="AZ247" t="s">
        <v>106</v>
      </c>
      <c r="BA247" s="17">
        <f t="shared" si="37"/>
        <v>0</v>
      </c>
      <c r="BB247" s="17">
        <f t="shared" si="38"/>
        <v>1</v>
      </c>
      <c r="BC247" s="17">
        <f t="shared" si="39"/>
        <v>0</v>
      </c>
      <c r="BG247" s="14">
        <v>0</v>
      </c>
      <c r="BH247" s="14">
        <v>0</v>
      </c>
      <c r="BI247" s="14">
        <v>1</v>
      </c>
      <c r="BJ247" s="14">
        <v>0</v>
      </c>
      <c r="BK247" s="14">
        <v>0</v>
      </c>
      <c r="BL247" s="14">
        <v>0</v>
      </c>
      <c r="BM247" s="14">
        <v>0</v>
      </c>
      <c r="BN247" s="14">
        <v>0</v>
      </c>
      <c r="BO247" s="14">
        <v>1</v>
      </c>
      <c r="BP247" s="14">
        <v>0</v>
      </c>
      <c r="BQ247" s="11">
        <v>17.287514999999999</v>
      </c>
      <c r="BR247" s="11">
        <v>71.666700000000006</v>
      </c>
      <c r="BS247" s="11">
        <v>12.416774999999999</v>
      </c>
      <c r="BT247" s="10">
        <v>42</v>
      </c>
    </row>
    <row r="248" spans="4:72" ht="20.149999999999999" customHeight="1">
      <c r="D248" s="10">
        <v>12</v>
      </c>
      <c r="E248" s="11">
        <v>11.437514999999999</v>
      </c>
      <c r="F248" s="11">
        <v>45.708300000000001</v>
      </c>
      <c r="G248" s="10">
        <v>12</v>
      </c>
      <c r="J248" s="103"/>
      <c r="K248" s="86"/>
      <c r="AK248" s="10" t="s">
        <v>31</v>
      </c>
      <c r="AL248" s="10">
        <f t="shared" si="30"/>
        <v>0</v>
      </c>
      <c r="AM248" s="10">
        <f t="shared" si="31"/>
        <v>0</v>
      </c>
      <c r="AN248" s="10">
        <f t="shared" si="32"/>
        <v>1</v>
      </c>
      <c r="AO248" s="10" t="s">
        <v>24</v>
      </c>
      <c r="AP248" s="10">
        <f t="shared" si="33"/>
        <v>0</v>
      </c>
      <c r="AQ248" s="10" t="s">
        <v>25</v>
      </c>
      <c r="AR248" s="10">
        <f t="shared" si="34"/>
        <v>0</v>
      </c>
      <c r="AS248" s="10" t="s">
        <v>27</v>
      </c>
      <c r="AT248" s="10">
        <f t="shared" si="40"/>
        <v>0</v>
      </c>
      <c r="AU248" s="10">
        <f t="shared" si="36"/>
        <v>0</v>
      </c>
      <c r="AV248" s="11">
        <v>16.943490000000001</v>
      </c>
      <c r="AW248" s="11">
        <v>74.208300000000008</v>
      </c>
      <c r="AX248" s="11">
        <v>13.833289000000001</v>
      </c>
      <c r="AY248" s="10">
        <v>12</v>
      </c>
      <c r="AZ248" t="s">
        <v>107</v>
      </c>
      <c r="BA248" s="17">
        <f t="shared" si="37"/>
        <v>1</v>
      </c>
      <c r="BB248" s="17">
        <f t="shared" si="38"/>
        <v>0</v>
      </c>
      <c r="BC248" s="17">
        <f t="shared" si="39"/>
        <v>0</v>
      </c>
      <c r="BG248" s="14">
        <v>0</v>
      </c>
      <c r="BH248" s="14">
        <v>0</v>
      </c>
      <c r="BI248" s="14">
        <v>1</v>
      </c>
      <c r="BJ248" s="14">
        <v>0</v>
      </c>
      <c r="BK248" s="14">
        <v>0</v>
      </c>
      <c r="BL248" s="14">
        <v>0</v>
      </c>
      <c r="BM248" s="14">
        <v>0</v>
      </c>
      <c r="BN248" s="14">
        <v>1</v>
      </c>
      <c r="BO248" s="14">
        <v>0</v>
      </c>
      <c r="BP248" s="14">
        <v>0</v>
      </c>
      <c r="BQ248" s="11">
        <v>16.943490000000001</v>
      </c>
      <c r="BR248" s="11">
        <v>74.208300000000008</v>
      </c>
      <c r="BS248" s="11">
        <v>13.833289000000001</v>
      </c>
      <c r="BT248" s="10">
        <v>12</v>
      </c>
    </row>
    <row r="249" spans="4:72" ht="20.149999999999999" customHeight="1">
      <c r="D249" s="10">
        <v>67</v>
      </c>
      <c r="E249" s="11">
        <v>14.362514999999998</v>
      </c>
      <c r="F249" s="11">
        <v>50.333300000000001</v>
      </c>
      <c r="G249" s="10">
        <v>67</v>
      </c>
      <c r="J249" s="103"/>
      <c r="K249" s="86"/>
      <c r="AK249" s="10" t="s">
        <v>31</v>
      </c>
      <c r="AL249" s="10">
        <f t="shared" si="30"/>
        <v>0</v>
      </c>
      <c r="AM249" s="10">
        <f t="shared" si="31"/>
        <v>0</v>
      </c>
      <c r="AN249" s="10">
        <f t="shared" si="32"/>
        <v>1</v>
      </c>
      <c r="AO249" s="10" t="s">
        <v>7</v>
      </c>
      <c r="AP249" s="10">
        <f t="shared" si="33"/>
        <v>1</v>
      </c>
      <c r="AQ249" s="10" t="s">
        <v>25</v>
      </c>
      <c r="AR249" s="10">
        <f t="shared" si="34"/>
        <v>0</v>
      </c>
      <c r="AS249" s="10" t="s">
        <v>26</v>
      </c>
      <c r="AT249" s="10">
        <f t="shared" si="40"/>
        <v>1</v>
      </c>
      <c r="AU249" s="10">
        <f t="shared" si="36"/>
        <v>0</v>
      </c>
      <c r="AV249" s="11">
        <v>11.778255</v>
      </c>
      <c r="AW249" s="11">
        <v>79.041700000000006</v>
      </c>
      <c r="AX249" s="11">
        <v>14.250632</v>
      </c>
      <c r="AY249" s="10">
        <v>38</v>
      </c>
      <c r="AZ249" t="s">
        <v>107</v>
      </c>
      <c r="BA249" s="17">
        <f t="shared" si="37"/>
        <v>1</v>
      </c>
      <c r="BB249" s="17">
        <f t="shared" si="38"/>
        <v>0</v>
      </c>
      <c r="BC249" s="17">
        <f t="shared" si="39"/>
        <v>0</v>
      </c>
      <c r="BG249" s="14">
        <v>0</v>
      </c>
      <c r="BH249" s="14">
        <v>0</v>
      </c>
      <c r="BI249" s="14">
        <v>1</v>
      </c>
      <c r="BJ249" s="14">
        <v>1</v>
      </c>
      <c r="BK249" s="14">
        <v>0</v>
      </c>
      <c r="BL249" s="14">
        <v>1</v>
      </c>
      <c r="BM249" s="14">
        <v>0</v>
      </c>
      <c r="BN249" s="14">
        <v>1</v>
      </c>
      <c r="BO249" s="14">
        <v>0</v>
      </c>
      <c r="BP249" s="14">
        <v>0</v>
      </c>
      <c r="BQ249" s="11">
        <v>11.778255</v>
      </c>
      <c r="BR249" s="11">
        <v>79.041700000000006</v>
      </c>
      <c r="BS249" s="11">
        <v>14.250632</v>
      </c>
      <c r="BT249" s="10">
        <v>38</v>
      </c>
    </row>
    <row r="250" spans="4:72" ht="20.149999999999999" customHeight="1">
      <c r="D250" s="10">
        <v>73</v>
      </c>
      <c r="E250" s="11">
        <v>15.3</v>
      </c>
      <c r="F250" s="11">
        <v>76.208299999999994</v>
      </c>
      <c r="G250" s="10">
        <v>73</v>
      </c>
      <c r="J250" s="103"/>
      <c r="K250" s="86"/>
      <c r="AK250" s="10" t="s">
        <v>31</v>
      </c>
      <c r="AL250" s="10">
        <f t="shared" si="30"/>
        <v>0</v>
      </c>
      <c r="AM250" s="10">
        <f t="shared" si="31"/>
        <v>0</v>
      </c>
      <c r="AN250" s="10">
        <f t="shared" si="32"/>
        <v>1</v>
      </c>
      <c r="AO250" s="10" t="s">
        <v>24</v>
      </c>
      <c r="AP250" s="10">
        <f t="shared" si="33"/>
        <v>0</v>
      </c>
      <c r="AQ250" s="10" t="s">
        <v>11</v>
      </c>
      <c r="AR250" s="10">
        <f t="shared" si="34"/>
        <v>1</v>
      </c>
      <c r="AS250" s="10" t="s">
        <v>28</v>
      </c>
      <c r="AT250" s="10">
        <f t="shared" si="40"/>
        <v>0</v>
      </c>
      <c r="AU250" s="10">
        <f t="shared" si="36"/>
        <v>1</v>
      </c>
      <c r="AV250" s="11">
        <v>13.1625</v>
      </c>
      <c r="AW250" s="11">
        <v>88.695700000000002</v>
      </c>
      <c r="AX250" s="11">
        <v>23.044180999999998</v>
      </c>
      <c r="AY250" s="10">
        <v>42</v>
      </c>
      <c r="AZ250" t="s">
        <v>106</v>
      </c>
      <c r="BA250" s="17">
        <f t="shared" si="37"/>
        <v>0</v>
      </c>
      <c r="BB250" s="17">
        <f t="shared" si="38"/>
        <v>1</v>
      </c>
      <c r="BC250" s="17">
        <f t="shared" si="39"/>
        <v>0</v>
      </c>
      <c r="BG250" s="14">
        <v>0</v>
      </c>
      <c r="BH250" s="14">
        <v>0</v>
      </c>
      <c r="BI250" s="14">
        <v>1</v>
      </c>
      <c r="BJ250" s="14">
        <v>0</v>
      </c>
      <c r="BK250" s="14">
        <v>1</v>
      </c>
      <c r="BL250" s="14">
        <v>0</v>
      </c>
      <c r="BM250" s="14">
        <v>1</v>
      </c>
      <c r="BN250" s="14">
        <v>0</v>
      </c>
      <c r="BO250" s="14">
        <v>1</v>
      </c>
      <c r="BP250" s="14">
        <v>0</v>
      </c>
      <c r="BQ250" s="11">
        <v>13.1625</v>
      </c>
      <c r="BR250" s="11">
        <v>88.695700000000002</v>
      </c>
      <c r="BS250" s="11">
        <v>23.044180999999998</v>
      </c>
      <c r="BT250" s="10">
        <v>42</v>
      </c>
    </row>
    <row r="251" spans="4:72" ht="20.149999999999999" customHeight="1">
      <c r="D251" s="10">
        <v>81</v>
      </c>
      <c r="E251" s="11">
        <v>18.037485</v>
      </c>
      <c r="F251" s="11">
        <v>73</v>
      </c>
      <c r="G251" s="10">
        <v>81</v>
      </c>
      <c r="J251" s="103"/>
      <c r="K251" s="86"/>
      <c r="AK251" s="10" t="s">
        <v>31</v>
      </c>
      <c r="AL251" s="10">
        <f t="shared" si="30"/>
        <v>0</v>
      </c>
      <c r="AM251" s="10">
        <f t="shared" si="31"/>
        <v>0</v>
      </c>
      <c r="AN251" s="10">
        <f t="shared" si="32"/>
        <v>1</v>
      </c>
      <c r="AO251" s="10" t="s">
        <v>24</v>
      </c>
      <c r="AP251" s="10">
        <f t="shared" si="33"/>
        <v>0</v>
      </c>
      <c r="AQ251" s="10" t="s">
        <v>11</v>
      </c>
      <c r="AR251" s="10">
        <f t="shared" si="34"/>
        <v>1</v>
      </c>
      <c r="AS251" s="10" t="s">
        <v>28</v>
      </c>
      <c r="AT251" s="10">
        <f t="shared" si="40"/>
        <v>0</v>
      </c>
      <c r="AU251" s="10">
        <f t="shared" si="36"/>
        <v>1</v>
      </c>
      <c r="AV251" s="11">
        <v>13.312485000000001</v>
      </c>
      <c r="AW251" s="11">
        <v>91.708299999999994</v>
      </c>
      <c r="AX251" s="11">
        <v>6.5003936000000007</v>
      </c>
      <c r="AY251" s="10">
        <v>38</v>
      </c>
      <c r="AZ251" t="s">
        <v>107</v>
      </c>
      <c r="BA251" s="17">
        <f t="shared" si="37"/>
        <v>1</v>
      </c>
      <c r="BB251" s="17">
        <f t="shared" si="38"/>
        <v>0</v>
      </c>
      <c r="BC251" s="17">
        <f t="shared" si="39"/>
        <v>0</v>
      </c>
      <c r="BG251" s="14">
        <v>0</v>
      </c>
      <c r="BH251" s="14">
        <v>0</v>
      </c>
      <c r="BI251" s="14">
        <v>1</v>
      </c>
      <c r="BJ251" s="14">
        <v>0</v>
      </c>
      <c r="BK251" s="14">
        <v>1</v>
      </c>
      <c r="BL251" s="14">
        <v>0</v>
      </c>
      <c r="BM251" s="14">
        <v>1</v>
      </c>
      <c r="BN251" s="14">
        <v>1</v>
      </c>
      <c r="BO251" s="14">
        <v>0</v>
      </c>
      <c r="BP251" s="14">
        <v>0</v>
      </c>
      <c r="BQ251" s="11">
        <v>13.312485000000001</v>
      </c>
      <c r="BR251" s="11">
        <v>91.708299999999994</v>
      </c>
      <c r="BS251" s="11">
        <v>6.5003936000000007</v>
      </c>
      <c r="BT251" s="10">
        <v>38</v>
      </c>
    </row>
    <row r="252" spans="4:72" ht="20.149999999999999" customHeight="1">
      <c r="D252" s="10">
        <v>83</v>
      </c>
      <c r="E252" s="11">
        <v>16.987500000000001</v>
      </c>
      <c r="F252" s="11">
        <v>69.708299999999994</v>
      </c>
      <c r="G252" s="10">
        <v>83</v>
      </c>
      <c r="J252" s="103"/>
      <c r="K252" s="86"/>
      <c r="AK252" s="10" t="s">
        <v>31</v>
      </c>
      <c r="AL252" s="10">
        <f t="shared" si="30"/>
        <v>0</v>
      </c>
      <c r="AM252" s="10">
        <f t="shared" si="31"/>
        <v>0</v>
      </c>
      <c r="AN252" s="10">
        <f t="shared" si="32"/>
        <v>1</v>
      </c>
      <c r="AO252" s="10" t="s">
        <v>24</v>
      </c>
      <c r="AP252" s="10">
        <f t="shared" si="33"/>
        <v>0</v>
      </c>
      <c r="AQ252" s="10" t="s">
        <v>11</v>
      </c>
      <c r="AR252" s="10">
        <f t="shared" si="34"/>
        <v>1</v>
      </c>
      <c r="AS252" s="10" t="s">
        <v>28</v>
      </c>
      <c r="AT252" s="10">
        <f t="shared" si="40"/>
        <v>0</v>
      </c>
      <c r="AU252" s="10">
        <f t="shared" si="36"/>
        <v>1</v>
      </c>
      <c r="AV252" s="11">
        <v>17.509095000000002</v>
      </c>
      <c r="AW252" s="11">
        <v>93.956500000000005</v>
      </c>
      <c r="AX252" s="11">
        <v>12.914116</v>
      </c>
      <c r="AY252" s="10">
        <v>13</v>
      </c>
      <c r="AZ252" t="s">
        <v>107</v>
      </c>
      <c r="BA252" s="17">
        <f t="shared" si="37"/>
        <v>1</v>
      </c>
      <c r="BB252" s="17">
        <f t="shared" si="38"/>
        <v>0</v>
      </c>
      <c r="BC252" s="17">
        <f t="shared" si="39"/>
        <v>0</v>
      </c>
      <c r="BG252" s="14">
        <v>0</v>
      </c>
      <c r="BH252" s="14">
        <v>0</v>
      </c>
      <c r="BI252" s="14">
        <v>1</v>
      </c>
      <c r="BJ252" s="14">
        <v>0</v>
      </c>
      <c r="BK252" s="14">
        <v>1</v>
      </c>
      <c r="BL252" s="14">
        <v>0</v>
      </c>
      <c r="BM252" s="14">
        <v>1</v>
      </c>
      <c r="BN252" s="14">
        <v>1</v>
      </c>
      <c r="BO252" s="14">
        <v>0</v>
      </c>
      <c r="BP252" s="14">
        <v>0</v>
      </c>
      <c r="BQ252" s="11">
        <v>17.509095000000002</v>
      </c>
      <c r="BR252" s="11">
        <v>93.956500000000005</v>
      </c>
      <c r="BS252" s="11">
        <v>12.914116</v>
      </c>
      <c r="BT252" s="10">
        <v>13</v>
      </c>
    </row>
    <row r="253" spans="4:72" ht="20.149999999999999" customHeight="1">
      <c r="D253" s="10">
        <v>79</v>
      </c>
      <c r="E253" s="11">
        <v>18.374984999999999</v>
      </c>
      <c r="F253" s="11">
        <v>73.708300000000008</v>
      </c>
      <c r="G253" s="10">
        <v>79</v>
      </c>
      <c r="J253" s="103"/>
      <c r="K253" s="86"/>
      <c r="AK253" s="10" t="s">
        <v>31</v>
      </c>
      <c r="AL253" s="10">
        <f t="shared" si="30"/>
        <v>0</v>
      </c>
      <c r="AM253" s="10">
        <f t="shared" si="31"/>
        <v>0</v>
      </c>
      <c r="AN253" s="10">
        <f t="shared" si="32"/>
        <v>1</v>
      </c>
      <c r="AO253" s="10" t="s">
        <v>24</v>
      </c>
      <c r="AP253" s="10">
        <f t="shared" si="33"/>
        <v>0</v>
      </c>
      <c r="AQ253" s="10" t="s">
        <v>11</v>
      </c>
      <c r="AR253" s="10">
        <f t="shared" si="34"/>
        <v>1</v>
      </c>
      <c r="AS253" s="10" t="s">
        <v>26</v>
      </c>
      <c r="AT253" s="10">
        <f t="shared" si="40"/>
        <v>1</v>
      </c>
      <c r="AU253" s="10">
        <f t="shared" si="36"/>
        <v>0</v>
      </c>
      <c r="AV253" s="11">
        <v>14.243490000000001</v>
      </c>
      <c r="AW253" s="11">
        <v>89.791699999999992</v>
      </c>
      <c r="AX253" s="11">
        <v>8.3333930000000009</v>
      </c>
      <c r="AY253" s="10">
        <v>40</v>
      </c>
      <c r="AZ253" t="s">
        <v>106</v>
      </c>
      <c r="BA253" s="17">
        <f t="shared" si="37"/>
        <v>0</v>
      </c>
      <c r="BB253" s="17">
        <f t="shared" si="38"/>
        <v>1</v>
      </c>
      <c r="BC253" s="17">
        <f t="shared" si="39"/>
        <v>0</v>
      </c>
      <c r="BG253" s="14">
        <v>0</v>
      </c>
      <c r="BH253" s="14">
        <v>0</v>
      </c>
      <c r="BI253" s="14">
        <v>1</v>
      </c>
      <c r="BJ253" s="14">
        <v>0</v>
      </c>
      <c r="BK253" s="14">
        <v>1</v>
      </c>
      <c r="BL253" s="14">
        <v>1</v>
      </c>
      <c r="BM253" s="14">
        <v>0</v>
      </c>
      <c r="BN253" s="14">
        <v>0</v>
      </c>
      <c r="BO253" s="14">
        <v>1</v>
      </c>
      <c r="BP253" s="14">
        <v>0</v>
      </c>
      <c r="BQ253" s="11">
        <v>14.243490000000001</v>
      </c>
      <c r="BR253" s="11">
        <v>89.791699999999992</v>
      </c>
      <c r="BS253" s="11">
        <v>8.3333930000000009</v>
      </c>
      <c r="BT253" s="10">
        <v>40</v>
      </c>
    </row>
    <row r="254" spans="4:72" ht="20.149999999999999" customHeight="1">
      <c r="D254" s="10">
        <v>81</v>
      </c>
      <c r="E254" s="11">
        <v>18.149985000000001</v>
      </c>
      <c r="F254" s="11">
        <v>44.416699999999999</v>
      </c>
      <c r="G254" s="10">
        <v>81</v>
      </c>
      <c r="J254" s="103"/>
      <c r="K254" s="86"/>
      <c r="AK254" s="10" t="s">
        <v>31</v>
      </c>
      <c r="AL254" s="10">
        <f t="shared" si="30"/>
        <v>0</v>
      </c>
      <c r="AM254" s="10">
        <f t="shared" si="31"/>
        <v>0</v>
      </c>
      <c r="AN254" s="10">
        <f t="shared" si="32"/>
        <v>1</v>
      </c>
      <c r="AO254" s="10" t="s">
        <v>24</v>
      </c>
      <c r="AP254" s="10">
        <f t="shared" si="33"/>
        <v>0</v>
      </c>
      <c r="AQ254" s="10" t="s">
        <v>25</v>
      </c>
      <c r="AR254" s="10">
        <f t="shared" si="34"/>
        <v>0</v>
      </c>
      <c r="AS254" s="10" t="s">
        <v>27</v>
      </c>
      <c r="AT254" s="10">
        <f t="shared" si="40"/>
        <v>0</v>
      </c>
      <c r="AU254" s="10">
        <f t="shared" si="36"/>
        <v>0</v>
      </c>
      <c r="AV254" s="11">
        <v>14.812514999999999</v>
      </c>
      <c r="AW254" s="11">
        <v>75.375</v>
      </c>
      <c r="AX254" s="11">
        <v>10.291736</v>
      </c>
      <c r="AY254" s="10">
        <v>42</v>
      </c>
      <c r="AZ254" t="s">
        <v>106</v>
      </c>
      <c r="BA254" s="17">
        <f t="shared" si="37"/>
        <v>0</v>
      </c>
      <c r="BB254" s="17">
        <f t="shared" si="38"/>
        <v>1</v>
      </c>
      <c r="BC254" s="17">
        <f t="shared" si="39"/>
        <v>0</v>
      </c>
      <c r="BG254" s="14">
        <v>0</v>
      </c>
      <c r="BH254" s="14">
        <v>0</v>
      </c>
      <c r="BI254" s="14">
        <v>1</v>
      </c>
      <c r="BJ254" s="14">
        <v>0</v>
      </c>
      <c r="BK254" s="14">
        <v>0</v>
      </c>
      <c r="BL254" s="14">
        <v>0</v>
      </c>
      <c r="BM254" s="14">
        <v>0</v>
      </c>
      <c r="BN254" s="14">
        <v>0</v>
      </c>
      <c r="BO254" s="14">
        <v>1</v>
      </c>
      <c r="BP254" s="14">
        <v>0</v>
      </c>
      <c r="BQ254" s="11">
        <v>14.812514999999999</v>
      </c>
      <c r="BR254" s="11">
        <v>75.375</v>
      </c>
      <c r="BS254" s="11">
        <v>10.291736</v>
      </c>
      <c r="BT254" s="10">
        <v>42</v>
      </c>
    </row>
    <row r="255" spans="4:72" ht="20.149999999999999" customHeight="1">
      <c r="D255" s="10">
        <v>78</v>
      </c>
      <c r="E255" s="11">
        <v>14.700014999999999</v>
      </c>
      <c r="F255" s="11">
        <v>59</v>
      </c>
      <c r="G255" s="10">
        <v>78</v>
      </c>
      <c r="J255" s="103"/>
      <c r="K255" s="86"/>
      <c r="AK255" s="10" t="s">
        <v>31</v>
      </c>
      <c r="AL255" s="10">
        <f t="shared" si="30"/>
        <v>0</v>
      </c>
      <c r="AM255" s="10">
        <f t="shared" si="31"/>
        <v>0</v>
      </c>
      <c r="AN255" s="10">
        <f t="shared" si="32"/>
        <v>1</v>
      </c>
      <c r="AO255" s="10" t="s">
        <v>24</v>
      </c>
      <c r="AP255" s="10">
        <f t="shared" si="33"/>
        <v>0</v>
      </c>
      <c r="AQ255" s="10" t="s">
        <v>25</v>
      </c>
      <c r="AR255" s="10">
        <f t="shared" si="34"/>
        <v>0</v>
      </c>
      <c r="AS255" s="10" t="s">
        <v>27</v>
      </c>
      <c r="AT255" s="10">
        <f t="shared" si="40"/>
        <v>0</v>
      </c>
      <c r="AU255" s="10">
        <f t="shared" si="36"/>
        <v>0</v>
      </c>
      <c r="AV255" s="11">
        <v>17.295660000000002</v>
      </c>
      <c r="AW255" s="11">
        <v>71.375</v>
      </c>
      <c r="AX255" s="11">
        <v>7.7086180000000004</v>
      </c>
      <c r="AY255" s="10">
        <v>49</v>
      </c>
      <c r="AZ255" t="s">
        <v>106</v>
      </c>
      <c r="BA255" s="17">
        <f t="shared" si="37"/>
        <v>0</v>
      </c>
      <c r="BB255" s="17">
        <f t="shared" si="38"/>
        <v>1</v>
      </c>
      <c r="BC255" s="17">
        <f t="shared" si="39"/>
        <v>0</v>
      </c>
      <c r="BG255" s="14">
        <v>0</v>
      </c>
      <c r="BH255" s="14">
        <v>0</v>
      </c>
      <c r="BI255" s="14">
        <v>1</v>
      </c>
      <c r="BJ255" s="14">
        <v>0</v>
      </c>
      <c r="BK255" s="14">
        <v>0</v>
      </c>
      <c r="BL255" s="14">
        <v>0</v>
      </c>
      <c r="BM255" s="14">
        <v>0</v>
      </c>
      <c r="BN255" s="14">
        <v>0</v>
      </c>
      <c r="BO255" s="14">
        <v>1</v>
      </c>
      <c r="BP255" s="14">
        <v>0</v>
      </c>
      <c r="BQ255" s="11">
        <v>17.295660000000002</v>
      </c>
      <c r="BR255" s="11">
        <v>71.375</v>
      </c>
      <c r="BS255" s="11">
        <v>7.7086180000000004</v>
      </c>
      <c r="BT255" s="10">
        <v>49</v>
      </c>
    </row>
    <row r="256" spans="4:72" ht="20.149999999999999" customHeight="1">
      <c r="D256" s="10">
        <v>73</v>
      </c>
      <c r="E256" s="11">
        <v>15.674985</v>
      </c>
      <c r="F256" s="11">
        <v>54.125</v>
      </c>
      <c r="G256" s="10">
        <v>73</v>
      </c>
      <c r="J256" s="103"/>
      <c r="K256" s="86"/>
      <c r="AK256" s="10" t="s">
        <v>31</v>
      </c>
      <c r="AL256" s="10">
        <f t="shared" si="30"/>
        <v>0</v>
      </c>
      <c r="AM256" s="10">
        <f t="shared" si="31"/>
        <v>0</v>
      </c>
      <c r="AN256" s="10">
        <f t="shared" si="32"/>
        <v>1</v>
      </c>
      <c r="AO256" s="10" t="s">
        <v>24</v>
      </c>
      <c r="AP256" s="10">
        <f t="shared" si="33"/>
        <v>0</v>
      </c>
      <c r="AQ256" s="10" t="s">
        <v>11</v>
      </c>
      <c r="AR256" s="10">
        <f t="shared" si="34"/>
        <v>1</v>
      </c>
      <c r="AS256" s="10" t="s">
        <v>27</v>
      </c>
      <c r="AT256" s="10">
        <f t="shared" si="40"/>
        <v>0</v>
      </c>
      <c r="AU256" s="10">
        <f t="shared" si="36"/>
        <v>0</v>
      </c>
      <c r="AV256" s="11">
        <v>14.634765</v>
      </c>
      <c r="AW256" s="11">
        <v>69.217399999999998</v>
      </c>
      <c r="AX256" s="11">
        <v>5.9571710000000007</v>
      </c>
      <c r="AY256" s="10">
        <v>41</v>
      </c>
      <c r="AZ256" t="s">
        <v>106</v>
      </c>
      <c r="BA256" s="17">
        <f t="shared" si="37"/>
        <v>0</v>
      </c>
      <c r="BB256" s="17">
        <f t="shared" si="38"/>
        <v>1</v>
      </c>
      <c r="BC256" s="17">
        <f t="shared" si="39"/>
        <v>0</v>
      </c>
      <c r="BG256" s="14">
        <v>0</v>
      </c>
      <c r="BH256" s="14">
        <v>0</v>
      </c>
      <c r="BI256" s="14">
        <v>1</v>
      </c>
      <c r="BJ256" s="14">
        <v>0</v>
      </c>
      <c r="BK256" s="14">
        <v>1</v>
      </c>
      <c r="BL256" s="14">
        <v>0</v>
      </c>
      <c r="BM256" s="14">
        <v>0</v>
      </c>
      <c r="BN256" s="14">
        <v>0</v>
      </c>
      <c r="BO256" s="14">
        <v>1</v>
      </c>
      <c r="BP256" s="14">
        <v>0</v>
      </c>
      <c r="BQ256" s="11">
        <v>14.634765</v>
      </c>
      <c r="BR256" s="11">
        <v>69.217399999999998</v>
      </c>
      <c r="BS256" s="11">
        <v>5.9571710000000007</v>
      </c>
      <c r="BT256" s="10">
        <v>41</v>
      </c>
    </row>
    <row r="257" spans="4:72" ht="20.149999999999999" customHeight="1">
      <c r="D257" s="10">
        <v>80</v>
      </c>
      <c r="E257" s="11">
        <v>17.775000000000002</v>
      </c>
      <c r="F257" s="11">
        <v>63.166699999999999</v>
      </c>
      <c r="G257" s="10">
        <v>80</v>
      </c>
      <c r="J257" s="103"/>
      <c r="K257" s="86"/>
      <c r="AK257" s="10" t="s">
        <v>31</v>
      </c>
      <c r="AL257" s="10">
        <f t="shared" si="30"/>
        <v>0</v>
      </c>
      <c r="AM257" s="10">
        <f t="shared" si="31"/>
        <v>0</v>
      </c>
      <c r="AN257" s="10">
        <f t="shared" si="32"/>
        <v>1</v>
      </c>
      <c r="AO257" s="10" t="s">
        <v>24</v>
      </c>
      <c r="AP257" s="10">
        <f t="shared" si="33"/>
        <v>0</v>
      </c>
      <c r="AQ257" s="10" t="s">
        <v>11</v>
      </c>
      <c r="AR257" s="10">
        <f t="shared" si="34"/>
        <v>1</v>
      </c>
      <c r="AS257" s="10" t="s">
        <v>27</v>
      </c>
      <c r="AT257" s="10">
        <f t="shared" si="40"/>
        <v>0</v>
      </c>
      <c r="AU257" s="10">
        <f t="shared" si="36"/>
        <v>0</v>
      </c>
      <c r="AV257" s="11">
        <v>14.282594999999999</v>
      </c>
      <c r="AW257" s="11">
        <v>71.25</v>
      </c>
      <c r="AX257" s="11">
        <v>9.5008680000000005</v>
      </c>
      <c r="AY257" s="10">
        <v>41</v>
      </c>
      <c r="AZ257" t="s">
        <v>106</v>
      </c>
      <c r="BA257" s="17">
        <f t="shared" si="37"/>
        <v>0</v>
      </c>
      <c r="BB257" s="17">
        <f t="shared" si="38"/>
        <v>1</v>
      </c>
      <c r="BC257" s="17">
        <f t="shared" si="39"/>
        <v>0</v>
      </c>
      <c r="BG257" s="14">
        <v>0</v>
      </c>
      <c r="BH257" s="14">
        <v>0</v>
      </c>
      <c r="BI257" s="14">
        <v>1</v>
      </c>
      <c r="BJ257" s="14">
        <v>0</v>
      </c>
      <c r="BK257" s="14">
        <v>1</v>
      </c>
      <c r="BL257" s="14">
        <v>0</v>
      </c>
      <c r="BM257" s="14">
        <v>0</v>
      </c>
      <c r="BN257" s="14">
        <v>0</v>
      </c>
      <c r="BO257" s="14">
        <v>1</v>
      </c>
      <c r="BP257" s="14">
        <v>0</v>
      </c>
      <c r="BQ257" s="11">
        <v>14.282594999999999</v>
      </c>
      <c r="BR257" s="11">
        <v>71.25</v>
      </c>
      <c r="BS257" s="11">
        <v>9.5008680000000005</v>
      </c>
      <c r="BT257" s="10">
        <v>41</v>
      </c>
    </row>
    <row r="258" spans="4:72" ht="20.149999999999999" customHeight="1">
      <c r="D258" s="10">
        <v>85</v>
      </c>
      <c r="E258" s="11">
        <v>18.374984999999999</v>
      </c>
      <c r="F258" s="11">
        <v>58.875</v>
      </c>
      <c r="G258" s="10">
        <v>85</v>
      </c>
      <c r="J258" s="103"/>
      <c r="K258" s="86"/>
      <c r="AK258" s="10" t="s">
        <v>31</v>
      </c>
      <c r="AL258" s="10">
        <f t="shared" si="30"/>
        <v>0</v>
      </c>
      <c r="AM258" s="10">
        <f t="shared" si="31"/>
        <v>0</v>
      </c>
      <c r="AN258" s="10">
        <f t="shared" si="32"/>
        <v>1</v>
      </c>
      <c r="AO258" s="10" t="s">
        <v>24</v>
      </c>
      <c r="AP258" s="10">
        <f t="shared" si="33"/>
        <v>0</v>
      </c>
      <c r="AQ258" s="10" t="s">
        <v>11</v>
      </c>
      <c r="AR258" s="10">
        <f t="shared" si="34"/>
        <v>1</v>
      </c>
      <c r="AS258" s="10" t="s">
        <v>27</v>
      </c>
      <c r="AT258" s="10">
        <f t="shared" si="40"/>
        <v>0</v>
      </c>
      <c r="AU258" s="10">
        <f t="shared" si="36"/>
        <v>0</v>
      </c>
      <c r="AV258" s="11">
        <v>16.434765000000002</v>
      </c>
      <c r="AW258" s="11">
        <v>69.708299999999994</v>
      </c>
      <c r="AX258" s="11">
        <v>11.209099999999999</v>
      </c>
      <c r="AY258" s="10">
        <v>43</v>
      </c>
      <c r="AZ258" t="s">
        <v>106</v>
      </c>
      <c r="BA258" s="17">
        <f t="shared" si="37"/>
        <v>0</v>
      </c>
      <c r="BB258" s="17">
        <f t="shared" si="38"/>
        <v>1</v>
      </c>
      <c r="BC258" s="17">
        <f t="shared" si="39"/>
        <v>0</v>
      </c>
      <c r="BG258" s="14">
        <v>0</v>
      </c>
      <c r="BH258" s="14">
        <v>0</v>
      </c>
      <c r="BI258" s="14">
        <v>1</v>
      </c>
      <c r="BJ258" s="14">
        <v>0</v>
      </c>
      <c r="BK258" s="14">
        <v>1</v>
      </c>
      <c r="BL258" s="14">
        <v>0</v>
      </c>
      <c r="BM258" s="14">
        <v>0</v>
      </c>
      <c r="BN258" s="14">
        <v>0</v>
      </c>
      <c r="BO258" s="14">
        <v>1</v>
      </c>
      <c r="BP258" s="14">
        <v>0</v>
      </c>
      <c r="BQ258" s="11">
        <v>16.434765000000002</v>
      </c>
      <c r="BR258" s="11">
        <v>69.708299999999994</v>
      </c>
      <c r="BS258" s="11">
        <v>11.209099999999999</v>
      </c>
      <c r="BT258" s="10">
        <v>43</v>
      </c>
    </row>
    <row r="259" spans="4:72" ht="20.149999999999999" customHeight="1">
      <c r="D259" s="10">
        <v>82</v>
      </c>
      <c r="E259" s="11">
        <v>18</v>
      </c>
      <c r="F259" s="11">
        <v>48.916699999999999</v>
      </c>
      <c r="G259" s="10">
        <v>82</v>
      </c>
      <c r="J259" s="103"/>
      <c r="K259" s="86"/>
      <c r="AK259" s="10" t="s">
        <v>31</v>
      </c>
      <c r="AL259" s="10">
        <f t="shared" ref="AL259:AL322" si="41">IF(AK259="autumn",1,0)</f>
        <v>0</v>
      </c>
      <c r="AM259" s="10">
        <f t="shared" ref="AM259:AM322" si="42">IF(AK259="winter",1,0)</f>
        <v>0</v>
      </c>
      <c r="AN259" s="10">
        <f t="shared" ref="AN259:AN322" si="43">IF(AK259="spring",1,0)</f>
        <v>1</v>
      </c>
      <c r="AO259" s="10" t="s">
        <v>24</v>
      </c>
      <c r="AP259" s="10">
        <f t="shared" ref="AP259:AP322" si="44">IF(AO259="holiday",1,0)</f>
        <v>0</v>
      </c>
      <c r="AQ259" s="10" t="s">
        <v>11</v>
      </c>
      <c r="AR259" s="10">
        <f t="shared" ref="AR259:AR322" si="45">IF(AQ259="workingday",1,0)</f>
        <v>1</v>
      </c>
      <c r="AS259" s="10" t="s">
        <v>26</v>
      </c>
      <c r="AT259" s="10">
        <f t="shared" si="40"/>
        <v>1</v>
      </c>
      <c r="AU259" s="10">
        <f t="shared" ref="AU259:AU322" si="46">IF(AS259="rain",1,0)</f>
        <v>0</v>
      </c>
      <c r="AV259" s="11">
        <v>18.675000000000001</v>
      </c>
      <c r="AW259" s="11">
        <v>70.916700000000006</v>
      </c>
      <c r="AX259" s="11">
        <v>18.166782000000001</v>
      </c>
      <c r="AY259" s="10">
        <v>54</v>
      </c>
      <c r="AZ259" t="s">
        <v>106</v>
      </c>
      <c r="BA259" s="17">
        <f t="shared" ref="BA259:BA322" si="47">IF(AZ259="queit",1,0)</f>
        <v>0</v>
      </c>
      <c r="BB259" s="17">
        <f t="shared" ref="BB259:BB322" si="48">IF(AZ259="Modest",1,0)</f>
        <v>1</v>
      </c>
      <c r="BC259" s="17">
        <f t="shared" ref="BC259:BC322" si="49">IF(AZ259="busy",1,0)</f>
        <v>0</v>
      </c>
      <c r="BG259" s="14">
        <v>0</v>
      </c>
      <c r="BH259" s="14">
        <v>0</v>
      </c>
      <c r="BI259" s="14">
        <v>1</v>
      </c>
      <c r="BJ259" s="14">
        <v>0</v>
      </c>
      <c r="BK259" s="14">
        <v>1</v>
      </c>
      <c r="BL259" s="14">
        <v>1</v>
      </c>
      <c r="BM259" s="14">
        <v>0</v>
      </c>
      <c r="BN259" s="14">
        <v>0</v>
      </c>
      <c r="BO259" s="14">
        <v>1</v>
      </c>
      <c r="BP259" s="14">
        <v>0</v>
      </c>
      <c r="BQ259" s="11">
        <v>18.675000000000001</v>
      </c>
      <c r="BR259" s="11">
        <v>70.916700000000006</v>
      </c>
      <c r="BS259" s="11">
        <v>18.166782000000001</v>
      </c>
      <c r="BT259" s="10">
        <v>54</v>
      </c>
    </row>
    <row r="260" spans="4:72" ht="20.149999999999999" customHeight="1">
      <c r="D260" s="10">
        <v>59</v>
      </c>
      <c r="E260" s="11">
        <v>17.100000000000001</v>
      </c>
      <c r="F260" s="11">
        <v>63.291699999999992</v>
      </c>
      <c r="G260" s="10">
        <v>59</v>
      </c>
      <c r="J260" s="103"/>
      <c r="K260" s="86"/>
      <c r="AK260" s="10" t="s">
        <v>31</v>
      </c>
      <c r="AL260" s="10">
        <f t="shared" si="41"/>
        <v>0</v>
      </c>
      <c r="AM260" s="10">
        <f t="shared" si="42"/>
        <v>0</v>
      </c>
      <c r="AN260" s="10">
        <f t="shared" si="43"/>
        <v>1</v>
      </c>
      <c r="AO260" s="10" t="s">
        <v>24</v>
      </c>
      <c r="AP260" s="10">
        <f t="shared" si="44"/>
        <v>0</v>
      </c>
      <c r="AQ260" s="10" t="s">
        <v>11</v>
      </c>
      <c r="AR260" s="10">
        <f t="shared" si="45"/>
        <v>1</v>
      </c>
      <c r="AS260" s="10" t="s">
        <v>26</v>
      </c>
      <c r="AT260" s="10">
        <f t="shared" si="40"/>
        <v>1</v>
      </c>
      <c r="AU260" s="10">
        <f t="shared" si="46"/>
        <v>0</v>
      </c>
      <c r="AV260" s="11">
        <v>24.3</v>
      </c>
      <c r="AW260" s="11">
        <v>59.041699999999999</v>
      </c>
      <c r="AX260" s="11">
        <v>11.000261</v>
      </c>
      <c r="AY260" s="10">
        <v>65</v>
      </c>
      <c r="AZ260" t="s">
        <v>106</v>
      </c>
      <c r="BA260" s="17">
        <f t="shared" si="47"/>
        <v>0</v>
      </c>
      <c r="BB260" s="17">
        <f t="shared" si="48"/>
        <v>1</v>
      </c>
      <c r="BC260" s="17">
        <f t="shared" si="49"/>
        <v>0</v>
      </c>
      <c r="BG260" s="14">
        <v>0</v>
      </c>
      <c r="BH260" s="14">
        <v>0</v>
      </c>
      <c r="BI260" s="14">
        <v>1</v>
      </c>
      <c r="BJ260" s="14">
        <v>0</v>
      </c>
      <c r="BK260" s="14">
        <v>1</v>
      </c>
      <c r="BL260" s="14">
        <v>1</v>
      </c>
      <c r="BM260" s="14">
        <v>0</v>
      </c>
      <c r="BN260" s="14">
        <v>0</v>
      </c>
      <c r="BO260" s="14">
        <v>1</v>
      </c>
      <c r="BP260" s="14">
        <v>0</v>
      </c>
      <c r="BQ260" s="11">
        <v>24.3</v>
      </c>
      <c r="BR260" s="11">
        <v>59.041699999999999</v>
      </c>
      <c r="BS260" s="11">
        <v>11.000261</v>
      </c>
      <c r="BT260" s="10">
        <v>65</v>
      </c>
    </row>
    <row r="261" spans="4:72" ht="20.149999999999999" customHeight="1">
      <c r="D261" s="10">
        <v>68</v>
      </c>
      <c r="E261" s="11">
        <v>14.587515</v>
      </c>
      <c r="F261" s="11">
        <v>74.75</v>
      </c>
      <c r="G261" s="10">
        <v>68</v>
      </c>
      <c r="J261" s="103"/>
      <c r="K261" s="86"/>
      <c r="AK261" s="10" t="s">
        <v>31</v>
      </c>
      <c r="AL261" s="10">
        <f t="shared" si="41"/>
        <v>0</v>
      </c>
      <c r="AM261" s="10">
        <f t="shared" si="42"/>
        <v>0</v>
      </c>
      <c r="AN261" s="10">
        <f t="shared" si="43"/>
        <v>1</v>
      </c>
      <c r="AO261" s="10" t="s">
        <v>24</v>
      </c>
      <c r="AP261" s="10">
        <f t="shared" si="44"/>
        <v>0</v>
      </c>
      <c r="AQ261" s="10" t="s">
        <v>25</v>
      </c>
      <c r="AR261" s="10">
        <f t="shared" si="45"/>
        <v>0</v>
      </c>
      <c r="AS261" s="10" t="s">
        <v>26</v>
      </c>
      <c r="AT261" s="10">
        <f t="shared" ref="AT261:AT324" si="50">IF(AS261="cloudy",1,0)</f>
        <v>1</v>
      </c>
      <c r="AU261" s="10">
        <f t="shared" si="46"/>
        <v>0</v>
      </c>
      <c r="AV261" s="11">
        <v>21.262499999999999</v>
      </c>
      <c r="AW261" s="11">
        <v>71.833299999999994</v>
      </c>
      <c r="AX261" s="11">
        <v>12.708225000000001</v>
      </c>
      <c r="AY261" s="10">
        <v>62</v>
      </c>
      <c r="AZ261" t="s">
        <v>106</v>
      </c>
      <c r="BA261" s="17">
        <f t="shared" si="47"/>
        <v>0</v>
      </c>
      <c r="BB261" s="17">
        <f t="shared" si="48"/>
        <v>1</v>
      </c>
      <c r="BC261" s="17">
        <f t="shared" si="49"/>
        <v>0</v>
      </c>
      <c r="BG261" s="14">
        <v>0</v>
      </c>
      <c r="BH261" s="14">
        <v>0</v>
      </c>
      <c r="BI261" s="14">
        <v>1</v>
      </c>
      <c r="BJ261" s="14">
        <v>0</v>
      </c>
      <c r="BK261" s="14">
        <v>0</v>
      </c>
      <c r="BL261" s="14">
        <v>1</v>
      </c>
      <c r="BM261" s="14">
        <v>0</v>
      </c>
      <c r="BN261" s="14">
        <v>0</v>
      </c>
      <c r="BO261" s="14">
        <v>1</v>
      </c>
      <c r="BP261" s="14">
        <v>0</v>
      </c>
      <c r="BQ261" s="11">
        <v>21.262499999999999</v>
      </c>
      <c r="BR261" s="11">
        <v>71.833299999999994</v>
      </c>
      <c r="BS261" s="11">
        <v>12.708225000000001</v>
      </c>
      <c r="BT261" s="10">
        <v>62</v>
      </c>
    </row>
    <row r="262" spans="4:72" ht="20.149999999999999" customHeight="1">
      <c r="D262" s="10">
        <v>82</v>
      </c>
      <c r="E262" s="11">
        <v>16.050015000000002</v>
      </c>
      <c r="F262" s="11">
        <v>86.333300000000008</v>
      </c>
      <c r="G262" s="10">
        <v>82</v>
      </c>
      <c r="J262" s="103"/>
      <c r="K262" s="86"/>
      <c r="AK262" s="10" t="s">
        <v>31</v>
      </c>
      <c r="AL262" s="10">
        <f t="shared" si="41"/>
        <v>0</v>
      </c>
      <c r="AM262" s="10">
        <f t="shared" si="42"/>
        <v>0</v>
      </c>
      <c r="AN262" s="10">
        <f t="shared" si="43"/>
        <v>1</v>
      </c>
      <c r="AO262" s="10" t="s">
        <v>24</v>
      </c>
      <c r="AP262" s="10">
        <f t="shared" si="44"/>
        <v>0</v>
      </c>
      <c r="AQ262" s="10" t="s">
        <v>25</v>
      </c>
      <c r="AR262" s="10">
        <f t="shared" si="45"/>
        <v>0</v>
      </c>
      <c r="AS262" s="10" t="s">
        <v>27</v>
      </c>
      <c r="AT262" s="10">
        <f t="shared" si="50"/>
        <v>0</v>
      </c>
      <c r="AU262" s="10">
        <f t="shared" si="46"/>
        <v>0</v>
      </c>
      <c r="AV262" s="11">
        <v>14.9625</v>
      </c>
      <c r="AW262" s="11">
        <v>69.5</v>
      </c>
      <c r="AX262" s="11">
        <v>11.958361</v>
      </c>
      <c r="AY262" s="10">
        <v>49</v>
      </c>
      <c r="AZ262" t="s">
        <v>106</v>
      </c>
      <c r="BA262" s="17">
        <f t="shared" si="47"/>
        <v>0</v>
      </c>
      <c r="BB262" s="17">
        <f t="shared" si="48"/>
        <v>1</v>
      </c>
      <c r="BC262" s="17">
        <f t="shared" si="49"/>
        <v>0</v>
      </c>
      <c r="BG262" s="14">
        <v>0</v>
      </c>
      <c r="BH262" s="14">
        <v>0</v>
      </c>
      <c r="BI262" s="14">
        <v>1</v>
      </c>
      <c r="BJ262" s="14">
        <v>0</v>
      </c>
      <c r="BK262" s="14">
        <v>0</v>
      </c>
      <c r="BL262" s="14">
        <v>0</v>
      </c>
      <c r="BM262" s="14">
        <v>0</v>
      </c>
      <c r="BN262" s="14">
        <v>0</v>
      </c>
      <c r="BO262" s="14">
        <v>1</v>
      </c>
      <c r="BP262" s="14">
        <v>0</v>
      </c>
      <c r="BQ262" s="11">
        <v>14.9625</v>
      </c>
      <c r="BR262" s="11">
        <v>69.5</v>
      </c>
      <c r="BS262" s="11">
        <v>11.958361</v>
      </c>
      <c r="BT262" s="10">
        <v>49</v>
      </c>
    </row>
    <row r="263" spans="4:72" ht="20.149999999999999" customHeight="1">
      <c r="D263" s="10">
        <v>74</v>
      </c>
      <c r="E263" s="11">
        <v>19.837484999999997</v>
      </c>
      <c r="F263" s="11">
        <v>92.25</v>
      </c>
      <c r="G263" s="10">
        <v>74</v>
      </c>
      <c r="J263" s="103"/>
      <c r="K263" s="86"/>
      <c r="AK263" s="10" t="s">
        <v>31</v>
      </c>
      <c r="AL263" s="10">
        <f t="shared" si="41"/>
        <v>0</v>
      </c>
      <c r="AM263" s="10">
        <f t="shared" si="42"/>
        <v>0</v>
      </c>
      <c r="AN263" s="10">
        <f t="shared" si="43"/>
        <v>1</v>
      </c>
      <c r="AO263" s="10" t="s">
        <v>24</v>
      </c>
      <c r="AP263" s="10">
        <f t="shared" si="44"/>
        <v>0</v>
      </c>
      <c r="AQ263" s="10" t="s">
        <v>11</v>
      </c>
      <c r="AR263" s="10">
        <f t="shared" si="45"/>
        <v>1</v>
      </c>
      <c r="AS263" s="10" t="s">
        <v>26</v>
      </c>
      <c r="AT263" s="10">
        <f t="shared" si="50"/>
        <v>1</v>
      </c>
      <c r="AU263" s="10">
        <f t="shared" si="46"/>
        <v>0</v>
      </c>
      <c r="AV263" s="11">
        <v>19.369575000000001</v>
      </c>
      <c r="AW263" s="11">
        <v>69</v>
      </c>
      <c r="AX263" s="11">
        <v>10.166713999999999</v>
      </c>
      <c r="AY263" s="10">
        <v>42</v>
      </c>
      <c r="AZ263" t="s">
        <v>106</v>
      </c>
      <c r="BA263" s="17">
        <f t="shared" si="47"/>
        <v>0</v>
      </c>
      <c r="BB263" s="17">
        <f t="shared" si="48"/>
        <v>1</v>
      </c>
      <c r="BC263" s="17">
        <f t="shared" si="49"/>
        <v>0</v>
      </c>
      <c r="BG263" s="14">
        <v>0</v>
      </c>
      <c r="BH263" s="14">
        <v>0</v>
      </c>
      <c r="BI263" s="14">
        <v>1</v>
      </c>
      <c r="BJ263" s="14">
        <v>0</v>
      </c>
      <c r="BK263" s="14">
        <v>1</v>
      </c>
      <c r="BL263" s="14">
        <v>1</v>
      </c>
      <c r="BM263" s="14">
        <v>0</v>
      </c>
      <c r="BN263" s="14">
        <v>0</v>
      </c>
      <c r="BO263" s="14">
        <v>1</v>
      </c>
      <c r="BP263" s="14">
        <v>0</v>
      </c>
      <c r="BQ263" s="11">
        <v>19.369575000000001</v>
      </c>
      <c r="BR263" s="11">
        <v>69</v>
      </c>
      <c r="BS263" s="11">
        <v>10.166713999999999</v>
      </c>
      <c r="BT263" s="10">
        <v>42</v>
      </c>
    </row>
    <row r="264" spans="4:72" ht="20.149999999999999" customHeight="1">
      <c r="D264" s="10">
        <v>90</v>
      </c>
      <c r="E264" s="11">
        <v>23.85</v>
      </c>
      <c r="F264" s="11">
        <v>86.708300000000008</v>
      </c>
      <c r="G264" s="10">
        <v>90</v>
      </c>
      <c r="J264" s="103"/>
      <c r="K264" s="86"/>
      <c r="AK264" s="10" t="s">
        <v>31</v>
      </c>
      <c r="AL264" s="10">
        <f t="shared" si="41"/>
        <v>0</v>
      </c>
      <c r="AM264" s="10">
        <f t="shared" si="42"/>
        <v>0</v>
      </c>
      <c r="AN264" s="10">
        <f t="shared" si="43"/>
        <v>1</v>
      </c>
      <c r="AO264" s="10" t="s">
        <v>24</v>
      </c>
      <c r="AP264" s="10">
        <f t="shared" si="44"/>
        <v>0</v>
      </c>
      <c r="AQ264" s="10" t="s">
        <v>11</v>
      </c>
      <c r="AR264" s="10">
        <f t="shared" si="45"/>
        <v>1</v>
      </c>
      <c r="AS264" s="10" t="s">
        <v>26</v>
      </c>
      <c r="AT264" s="10">
        <f t="shared" si="50"/>
        <v>1</v>
      </c>
      <c r="AU264" s="10">
        <f t="shared" si="46"/>
        <v>0</v>
      </c>
      <c r="AV264" s="11">
        <v>19.875014999999998</v>
      </c>
      <c r="AW264" s="11">
        <v>88.125</v>
      </c>
      <c r="AX264" s="11">
        <v>9.041917999999999</v>
      </c>
      <c r="AY264" s="10">
        <v>54</v>
      </c>
      <c r="AZ264" t="s">
        <v>106</v>
      </c>
      <c r="BA264" s="17">
        <f t="shared" si="47"/>
        <v>0</v>
      </c>
      <c r="BB264" s="17">
        <f t="shared" si="48"/>
        <v>1</v>
      </c>
      <c r="BC264" s="17">
        <f t="shared" si="49"/>
        <v>0</v>
      </c>
      <c r="BG264" s="14">
        <v>0</v>
      </c>
      <c r="BH264" s="14">
        <v>0</v>
      </c>
      <c r="BI264" s="14">
        <v>1</v>
      </c>
      <c r="BJ264" s="14">
        <v>0</v>
      </c>
      <c r="BK264" s="14">
        <v>1</v>
      </c>
      <c r="BL264" s="14">
        <v>1</v>
      </c>
      <c r="BM264" s="14">
        <v>0</v>
      </c>
      <c r="BN264" s="14">
        <v>0</v>
      </c>
      <c r="BO264" s="14">
        <v>1</v>
      </c>
      <c r="BP264" s="14">
        <v>0</v>
      </c>
      <c r="BQ264" s="11">
        <v>19.875014999999998</v>
      </c>
      <c r="BR264" s="11">
        <v>88.125</v>
      </c>
      <c r="BS264" s="11">
        <v>9.041917999999999</v>
      </c>
      <c r="BT264" s="10">
        <v>54</v>
      </c>
    </row>
    <row r="265" spans="4:72" ht="20.149999999999999" customHeight="1">
      <c r="D265" s="10">
        <v>84</v>
      </c>
      <c r="E265" s="11">
        <v>23.85</v>
      </c>
      <c r="F265" s="11">
        <v>78.791699999999992</v>
      </c>
      <c r="G265" s="10">
        <v>84</v>
      </c>
      <c r="J265" s="103"/>
      <c r="K265" s="86"/>
      <c r="AK265" s="10" t="s">
        <v>31</v>
      </c>
      <c r="AL265" s="10">
        <f t="shared" si="41"/>
        <v>0</v>
      </c>
      <c r="AM265" s="10">
        <f t="shared" si="42"/>
        <v>0</v>
      </c>
      <c r="AN265" s="10">
        <f t="shared" si="43"/>
        <v>1</v>
      </c>
      <c r="AO265" s="10" t="s">
        <v>24</v>
      </c>
      <c r="AP265" s="10">
        <f t="shared" si="44"/>
        <v>0</v>
      </c>
      <c r="AQ265" s="10" t="s">
        <v>11</v>
      </c>
      <c r="AR265" s="10">
        <f t="shared" si="45"/>
        <v>1</v>
      </c>
      <c r="AS265" s="10" t="s">
        <v>26</v>
      </c>
      <c r="AT265" s="10">
        <f t="shared" si="50"/>
        <v>1</v>
      </c>
      <c r="AU265" s="10">
        <f t="shared" si="46"/>
        <v>0</v>
      </c>
      <c r="AV265" s="11">
        <v>15.613065000000001</v>
      </c>
      <c r="AW265" s="11">
        <v>90</v>
      </c>
      <c r="AX265" s="11">
        <v>6.4590813999999996</v>
      </c>
      <c r="AY265" s="10">
        <v>42</v>
      </c>
      <c r="AZ265" t="s">
        <v>106</v>
      </c>
      <c r="BA265" s="17">
        <f t="shared" si="47"/>
        <v>0</v>
      </c>
      <c r="BB265" s="17">
        <f t="shared" si="48"/>
        <v>1</v>
      </c>
      <c r="BC265" s="17">
        <f t="shared" si="49"/>
        <v>0</v>
      </c>
      <c r="BG265" s="14">
        <v>0</v>
      </c>
      <c r="BH265" s="14">
        <v>0</v>
      </c>
      <c r="BI265" s="14">
        <v>1</v>
      </c>
      <c r="BJ265" s="14">
        <v>0</v>
      </c>
      <c r="BK265" s="14">
        <v>1</v>
      </c>
      <c r="BL265" s="14">
        <v>1</v>
      </c>
      <c r="BM265" s="14">
        <v>0</v>
      </c>
      <c r="BN265" s="14">
        <v>0</v>
      </c>
      <c r="BO265" s="14">
        <v>1</v>
      </c>
      <c r="BP265" s="14">
        <v>0</v>
      </c>
      <c r="BQ265" s="11">
        <v>15.613065000000001</v>
      </c>
      <c r="BR265" s="11">
        <v>90</v>
      </c>
      <c r="BS265" s="11">
        <v>6.4590813999999996</v>
      </c>
      <c r="BT265" s="10">
        <v>42</v>
      </c>
    </row>
    <row r="266" spans="4:72" ht="20.149999999999999" customHeight="1">
      <c r="D266" s="10">
        <v>36</v>
      </c>
      <c r="E266" s="11">
        <v>20.550014999999998</v>
      </c>
      <c r="F266" s="11">
        <v>83.791700000000006</v>
      </c>
      <c r="G266" s="10">
        <v>36</v>
      </c>
      <c r="J266" s="103"/>
      <c r="K266" s="86"/>
      <c r="AK266" s="10" t="s">
        <v>31</v>
      </c>
      <c r="AL266" s="10">
        <f t="shared" si="41"/>
        <v>0</v>
      </c>
      <c r="AM266" s="10">
        <f t="shared" si="42"/>
        <v>0</v>
      </c>
      <c r="AN266" s="10">
        <f t="shared" si="43"/>
        <v>1</v>
      </c>
      <c r="AO266" s="10" t="s">
        <v>24</v>
      </c>
      <c r="AP266" s="10">
        <f t="shared" si="44"/>
        <v>0</v>
      </c>
      <c r="AQ266" s="10" t="s">
        <v>11</v>
      </c>
      <c r="AR266" s="10">
        <f t="shared" si="45"/>
        <v>1</v>
      </c>
      <c r="AS266" s="10" t="s">
        <v>26</v>
      </c>
      <c r="AT266" s="10">
        <f t="shared" si="50"/>
        <v>1</v>
      </c>
      <c r="AU266" s="10">
        <f t="shared" si="46"/>
        <v>0</v>
      </c>
      <c r="AV266" s="11">
        <v>12.824999999999999</v>
      </c>
      <c r="AW266" s="11">
        <v>90.208299999999994</v>
      </c>
      <c r="AX266" s="11">
        <v>8.5843749999999996</v>
      </c>
      <c r="AY266" s="10">
        <v>37</v>
      </c>
      <c r="AZ266" t="s">
        <v>107</v>
      </c>
      <c r="BA266" s="17">
        <f t="shared" si="47"/>
        <v>1</v>
      </c>
      <c r="BB266" s="17">
        <f t="shared" si="48"/>
        <v>0</v>
      </c>
      <c r="BC266" s="17">
        <f t="shared" si="49"/>
        <v>0</v>
      </c>
      <c r="BG266" s="14">
        <v>0</v>
      </c>
      <c r="BH266" s="14">
        <v>0</v>
      </c>
      <c r="BI266" s="14">
        <v>1</v>
      </c>
      <c r="BJ266" s="14">
        <v>0</v>
      </c>
      <c r="BK266" s="14">
        <v>1</v>
      </c>
      <c r="BL266" s="14">
        <v>1</v>
      </c>
      <c r="BM266" s="14">
        <v>0</v>
      </c>
      <c r="BN266" s="14">
        <v>1</v>
      </c>
      <c r="BO266" s="14">
        <v>0</v>
      </c>
      <c r="BP266" s="14">
        <v>0</v>
      </c>
      <c r="BQ266" s="11">
        <v>12.824999999999999</v>
      </c>
      <c r="BR266" s="11">
        <v>90.208299999999994</v>
      </c>
      <c r="BS266" s="11">
        <v>8.5843749999999996</v>
      </c>
      <c r="BT266" s="10">
        <v>37</v>
      </c>
    </row>
    <row r="267" spans="4:72" ht="20.149999999999999" customHeight="1">
      <c r="D267" s="10">
        <v>61</v>
      </c>
      <c r="E267" s="11">
        <v>15.375014999999999</v>
      </c>
      <c r="F267" s="11">
        <v>87</v>
      </c>
      <c r="G267" s="10">
        <v>61</v>
      </c>
      <c r="J267" s="103"/>
      <c r="K267" s="86"/>
      <c r="AK267" s="10" t="s">
        <v>31</v>
      </c>
      <c r="AL267" s="10">
        <f t="shared" si="41"/>
        <v>0</v>
      </c>
      <c r="AM267" s="10">
        <f t="shared" si="42"/>
        <v>0</v>
      </c>
      <c r="AN267" s="10">
        <f t="shared" si="43"/>
        <v>1</v>
      </c>
      <c r="AO267" s="10" t="s">
        <v>24</v>
      </c>
      <c r="AP267" s="10">
        <f t="shared" si="44"/>
        <v>0</v>
      </c>
      <c r="AQ267" s="10" t="s">
        <v>11</v>
      </c>
      <c r="AR267" s="10">
        <f t="shared" si="45"/>
        <v>1</v>
      </c>
      <c r="AS267" s="10" t="s">
        <v>26</v>
      </c>
      <c r="AT267" s="10">
        <f t="shared" si="50"/>
        <v>1</v>
      </c>
      <c r="AU267" s="10">
        <f t="shared" si="46"/>
        <v>0</v>
      </c>
      <c r="AV267" s="11">
        <v>11.887514999999999</v>
      </c>
      <c r="AW267" s="11">
        <v>97.25</v>
      </c>
      <c r="AX267" s="11">
        <v>5.2505689000000002</v>
      </c>
      <c r="AY267" s="10">
        <v>44</v>
      </c>
      <c r="AZ267" t="s">
        <v>106</v>
      </c>
      <c r="BA267" s="17">
        <f t="shared" si="47"/>
        <v>0</v>
      </c>
      <c r="BB267" s="17">
        <f t="shared" si="48"/>
        <v>1</v>
      </c>
      <c r="BC267" s="17">
        <f t="shared" si="49"/>
        <v>0</v>
      </c>
      <c r="BG267" s="14">
        <v>0</v>
      </c>
      <c r="BH267" s="14">
        <v>0</v>
      </c>
      <c r="BI267" s="14">
        <v>1</v>
      </c>
      <c r="BJ267" s="14">
        <v>0</v>
      </c>
      <c r="BK267" s="14">
        <v>1</v>
      </c>
      <c r="BL267" s="14">
        <v>1</v>
      </c>
      <c r="BM267" s="14">
        <v>0</v>
      </c>
      <c r="BN267" s="14">
        <v>0</v>
      </c>
      <c r="BO267" s="14">
        <v>1</v>
      </c>
      <c r="BP267" s="14">
        <v>0</v>
      </c>
      <c r="BQ267" s="11">
        <v>11.887514999999999</v>
      </c>
      <c r="BR267" s="11">
        <v>97.25</v>
      </c>
      <c r="BS267" s="11">
        <v>5.2505689000000002</v>
      </c>
      <c r="BT267" s="10">
        <v>44</v>
      </c>
    </row>
    <row r="268" spans="4:72" ht="20.149999999999999" customHeight="1">
      <c r="D268" s="10">
        <v>68</v>
      </c>
      <c r="E268" s="11">
        <v>12.337515</v>
      </c>
      <c r="F268" s="11">
        <v>82.958299999999994</v>
      </c>
      <c r="G268" s="10">
        <v>68</v>
      </c>
      <c r="J268" s="103"/>
      <c r="K268" s="86"/>
      <c r="AK268" s="10" t="s">
        <v>31</v>
      </c>
      <c r="AL268" s="10">
        <f t="shared" si="41"/>
        <v>0</v>
      </c>
      <c r="AM268" s="10">
        <f t="shared" si="42"/>
        <v>0</v>
      </c>
      <c r="AN268" s="10">
        <f t="shared" si="43"/>
        <v>1</v>
      </c>
      <c r="AO268" s="10" t="s">
        <v>24</v>
      </c>
      <c r="AP268" s="10">
        <f t="shared" si="44"/>
        <v>0</v>
      </c>
      <c r="AQ268" s="10" t="s">
        <v>25</v>
      </c>
      <c r="AR268" s="10">
        <f t="shared" si="45"/>
        <v>0</v>
      </c>
      <c r="AS268" s="10" t="s">
        <v>26</v>
      </c>
      <c r="AT268" s="10">
        <f t="shared" si="50"/>
        <v>1</v>
      </c>
      <c r="AU268" s="10">
        <f t="shared" si="46"/>
        <v>0</v>
      </c>
      <c r="AV268" s="11">
        <v>11.962484999999999</v>
      </c>
      <c r="AW268" s="11">
        <v>86.25</v>
      </c>
      <c r="AX268" s="11">
        <v>5.2516810999999999</v>
      </c>
      <c r="AY268" s="10">
        <v>50</v>
      </c>
      <c r="AZ268" t="s">
        <v>106</v>
      </c>
      <c r="BA268" s="17">
        <f t="shared" si="47"/>
        <v>0</v>
      </c>
      <c r="BB268" s="17">
        <f t="shared" si="48"/>
        <v>1</v>
      </c>
      <c r="BC268" s="17">
        <f t="shared" si="49"/>
        <v>0</v>
      </c>
      <c r="BG268" s="14">
        <v>0</v>
      </c>
      <c r="BH268" s="14">
        <v>0</v>
      </c>
      <c r="BI268" s="14">
        <v>1</v>
      </c>
      <c r="BJ268" s="14">
        <v>0</v>
      </c>
      <c r="BK268" s="14">
        <v>0</v>
      </c>
      <c r="BL268" s="14">
        <v>1</v>
      </c>
      <c r="BM268" s="14">
        <v>0</v>
      </c>
      <c r="BN268" s="14">
        <v>0</v>
      </c>
      <c r="BO268" s="14">
        <v>1</v>
      </c>
      <c r="BP268" s="14">
        <v>0</v>
      </c>
      <c r="BQ268" s="11">
        <v>11.962484999999999</v>
      </c>
      <c r="BR268" s="11">
        <v>86.25</v>
      </c>
      <c r="BS268" s="11">
        <v>5.2516810999999999</v>
      </c>
      <c r="BT268" s="10">
        <v>50</v>
      </c>
    </row>
    <row r="269" spans="4:72" ht="20.149999999999999" customHeight="1">
      <c r="D269" s="10">
        <v>73</v>
      </c>
      <c r="E269" s="11">
        <v>14.812514999999999</v>
      </c>
      <c r="F269" s="11">
        <v>71.958299999999994</v>
      </c>
      <c r="G269" s="10">
        <v>73</v>
      </c>
      <c r="J269" s="103"/>
      <c r="K269" s="86"/>
      <c r="AK269" s="10" t="s">
        <v>31</v>
      </c>
      <c r="AL269" s="10">
        <f t="shared" si="41"/>
        <v>0</v>
      </c>
      <c r="AM269" s="10">
        <f t="shared" si="42"/>
        <v>0</v>
      </c>
      <c r="AN269" s="10">
        <f t="shared" si="43"/>
        <v>1</v>
      </c>
      <c r="AO269" s="10" t="s">
        <v>24</v>
      </c>
      <c r="AP269" s="10">
        <f t="shared" si="44"/>
        <v>0</v>
      </c>
      <c r="AQ269" s="10" t="s">
        <v>25</v>
      </c>
      <c r="AR269" s="10">
        <f t="shared" si="45"/>
        <v>0</v>
      </c>
      <c r="AS269" s="10" t="s">
        <v>26</v>
      </c>
      <c r="AT269" s="10">
        <f t="shared" si="50"/>
        <v>1</v>
      </c>
      <c r="AU269" s="10">
        <f t="shared" si="46"/>
        <v>0</v>
      </c>
      <c r="AV269" s="11">
        <v>11.386935000000001</v>
      </c>
      <c r="AW269" s="11">
        <v>84.5</v>
      </c>
      <c r="AX269" s="11">
        <v>3.3754064000000001</v>
      </c>
      <c r="AY269" s="10">
        <v>33</v>
      </c>
      <c r="AZ269" t="s">
        <v>107</v>
      </c>
      <c r="BA269" s="17">
        <f t="shared" si="47"/>
        <v>1</v>
      </c>
      <c r="BB269" s="17">
        <f t="shared" si="48"/>
        <v>0</v>
      </c>
      <c r="BC269" s="17">
        <f t="shared" si="49"/>
        <v>0</v>
      </c>
      <c r="BG269" s="14">
        <v>0</v>
      </c>
      <c r="BH269" s="14">
        <v>0</v>
      </c>
      <c r="BI269" s="14">
        <v>1</v>
      </c>
      <c r="BJ269" s="14">
        <v>0</v>
      </c>
      <c r="BK269" s="14">
        <v>0</v>
      </c>
      <c r="BL269" s="14">
        <v>1</v>
      </c>
      <c r="BM269" s="14">
        <v>0</v>
      </c>
      <c r="BN269" s="14">
        <v>1</v>
      </c>
      <c r="BO269" s="14">
        <v>0</v>
      </c>
      <c r="BP269" s="14">
        <v>0</v>
      </c>
      <c r="BQ269" s="11">
        <v>11.386935000000001</v>
      </c>
      <c r="BR269" s="11">
        <v>84.5</v>
      </c>
      <c r="BS269" s="11">
        <v>3.3754064000000001</v>
      </c>
      <c r="BT269" s="10">
        <v>33</v>
      </c>
    </row>
    <row r="270" spans="4:72" ht="20.149999999999999" customHeight="1">
      <c r="D270" s="10">
        <v>71</v>
      </c>
      <c r="E270" s="11">
        <v>20.849985</v>
      </c>
      <c r="F270" s="11">
        <v>62.666699999999999</v>
      </c>
      <c r="G270" s="10">
        <v>71</v>
      </c>
      <c r="J270" s="103"/>
      <c r="K270" s="86"/>
      <c r="AK270" s="10" t="s">
        <v>31</v>
      </c>
      <c r="AL270" s="10">
        <f t="shared" si="41"/>
        <v>0</v>
      </c>
      <c r="AM270" s="10">
        <f t="shared" si="42"/>
        <v>0</v>
      </c>
      <c r="AN270" s="10">
        <f t="shared" si="43"/>
        <v>1</v>
      </c>
      <c r="AO270" s="10" t="s">
        <v>24</v>
      </c>
      <c r="AP270" s="10">
        <f t="shared" si="44"/>
        <v>0</v>
      </c>
      <c r="AQ270" s="10" t="s">
        <v>11</v>
      </c>
      <c r="AR270" s="10">
        <f t="shared" si="45"/>
        <v>1</v>
      </c>
      <c r="AS270" s="10" t="s">
        <v>26</v>
      </c>
      <c r="AT270" s="10">
        <f t="shared" si="50"/>
        <v>1</v>
      </c>
      <c r="AU270" s="10">
        <f t="shared" si="46"/>
        <v>0</v>
      </c>
      <c r="AV270" s="11">
        <v>11.895660000000001</v>
      </c>
      <c r="AW270" s="11">
        <v>84.833299999999994</v>
      </c>
      <c r="AX270" s="11">
        <v>7.4169</v>
      </c>
      <c r="AY270" s="10">
        <v>40</v>
      </c>
      <c r="AZ270" t="s">
        <v>106</v>
      </c>
      <c r="BA270" s="17">
        <f t="shared" si="47"/>
        <v>0</v>
      </c>
      <c r="BB270" s="17">
        <f t="shared" si="48"/>
        <v>1</v>
      </c>
      <c r="BC270" s="17">
        <f t="shared" si="49"/>
        <v>0</v>
      </c>
      <c r="BG270" s="14">
        <v>0</v>
      </c>
      <c r="BH270" s="14">
        <v>0</v>
      </c>
      <c r="BI270" s="14">
        <v>1</v>
      </c>
      <c r="BJ270" s="14">
        <v>0</v>
      </c>
      <c r="BK270" s="14">
        <v>1</v>
      </c>
      <c r="BL270" s="14">
        <v>1</v>
      </c>
      <c r="BM270" s="14">
        <v>0</v>
      </c>
      <c r="BN270" s="14">
        <v>0</v>
      </c>
      <c r="BO270" s="14">
        <v>1</v>
      </c>
      <c r="BP270" s="14">
        <v>0</v>
      </c>
      <c r="BQ270" s="11">
        <v>11.895660000000001</v>
      </c>
      <c r="BR270" s="11">
        <v>84.833299999999994</v>
      </c>
      <c r="BS270" s="11">
        <v>7.4169</v>
      </c>
      <c r="BT270" s="10">
        <v>40</v>
      </c>
    </row>
    <row r="271" spans="4:72" ht="20.149999999999999" customHeight="1">
      <c r="D271" s="10">
        <v>55</v>
      </c>
      <c r="E271" s="11">
        <v>20.137499999999999</v>
      </c>
      <c r="F271" s="11">
        <v>74.958299999999994</v>
      </c>
      <c r="G271" s="10">
        <v>55</v>
      </c>
      <c r="J271" s="103"/>
      <c r="K271" s="86"/>
      <c r="AK271" s="10" t="s">
        <v>31</v>
      </c>
      <c r="AL271" s="10">
        <f t="shared" si="41"/>
        <v>0</v>
      </c>
      <c r="AM271" s="10">
        <f t="shared" si="42"/>
        <v>0</v>
      </c>
      <c r="AN271" s="10">
        <f t="shared" si="43"/>
        <v>1</v>
      </c>
      <c r="AO271" s="10" t="s">
        <v>24</v>
      </c>
      <c r="AP271" s="10">
        <f t="shared" si="44"/>
        <v>0</v>
      </c>
      <c r="AQ271" s="10" t="s">
        <v>11</v>
      </c>
      <c r="AR271" s="10">
        <f t="shared" si="45"/>
        <v>1</v>
      </c>
      <c r="AS271" s="10" t="s">
        <v>26</v>
      </c>
      <c r="AT271" s="10">
        <f t="shared" si="50"/>
        <v>1</v>
      </c>
      <c r="AU271" s="10">
        <f t="shared" si="46"/>
        <v>0</v>
      </c>
      <c r="AV271" s="11">
        <v>13.612499999999999</v>
      </c>
      <c r="AW271" s="11">
        <v>88.541700000000006</v>
      </c>
      <c r="AX271" s="11">
        <v>7.9174569999999997</v>
      </c>
      <c r="AY271" s="10">
        <v>48</v>
      </c>
      <c r="AZ271" t="s">
        <v>106</v>
      </c>
      <c r="BA271" s="17">
        <f t="shared" si="47"/>
        <v>0</v>
      </c>
      <c r="BB271" s="17">
        <f t="shared" si="48"/>
        <v>1</v>
      </c>
      <c r="BC271" s="17">
        <f t="shared" si="49"/>
        <v>0</v>
      </c>
      <c r="BG271" s="14">
        <v>0</v>
      </c>
      <c r="BH271" s="14">
        <v>0</v>
      </c>
      <c r="BI271" s="14">
        <v>1</v>
      </c>
      <c r="BJ271" s="14">
        <v>0</v>
      </c>
      <c r="BK271" s="14">
        <v>1</v>
      </c>
      <c r="BL271" s="14">
        <v>1</v>
      </c>
      <c r="BM271" s="14">
        <v>0</v>
      </c>
      <c r="BN271" s="14">
        <v>0</v>
      </c>
      <c r="BO271" s="14">
        <v>1</v>
      </c>
      <c r="BP271" s="14">
        <v>0</v>
      </c>
      <c r="BQ271" s="11">
        <v>13.612499999999999</v>
      </c>
      <c r="BR271" s="11">
        <v>88.541700000000006</v>
      </c>
      <c r="BS271" s="11">
        <v>7.9174569999999997</v>
      </c>
      <c r="BT271" s="10">
        <v>48</v>
      </c>
    </row>
    <row r="272" spans="4:72" ht="20.149999999999999" customHeight="1">
      <c r="D272" s="10">
        <v>32</v>
      </c>
      <c r="E272" s="11">
        <v>18.750015000000001</v>
      </c>
      <c r="F272" s="11">
        <v>81</v>
      </c>
      <c r="G272" s="10">
        <v>32</v>
      </c>
      <c r="J272" s="103"/>
      <c r="K272" s="86"/>
      <c r="AK272" s="10" t="s">
        <v>31</v>
      </c>
      <c r="AL272" s="10">
        <f t="shared" si="41"/>
        <v>0</v>
      </c>
      <c r="AM272" s="10">
        <f t="shared" si="42"/>
        <v>0</v>
      </c>
      <c r="AN272" s="10">
        <f t="shared" si="43"/>
        <v>1</v>
      </c>
      <c r="AO272" s="10" t="s">
        <v>24</v>
      </c>
      <c r="AP272" s="10">
        <f t="shared" si="44"/>
        <v>0</v>
      </c>
      <c r="AQ272" s="10" t="s">
        <v>11</v>
      </c>
      <c r="AR272" s="10">
        <f t="shared" si="45"/>
        <v>1</v>
      </c>
      <c r="AS272" s="10" t="s">
        <v>26</v>
      </c>
      <c r="AT272" s="10">
        <f t="shared" si="50"/>
        <v>1</v>
      </c>
      <c r="AU272" s="10">
        <f t="shared" si="46"/>
        <v>0</v>
      </c>
      <c r="AV272" s="11">
        <v>13.5</v>
      </c>
      <c r="AW272" s="11">
        <v>84.875</v>
      </c>
      <c r="AX272" s="11">
        <v>9.9581430000000015</v>
      </c>
      <c r="AY272" s="10">
        <v>30</v>
      </c>
      <c r="AZ272" t="s">
        <v>107</v>
      </c>
      <c r="BA272" s="17">
        <f t="shared" si="47"/>
        <v>1</v>
      </c>
      <c r="BB272" s="17">
        <f t="shared" si="48"/>
        <v>0</v>
      </c>
      <c r="BC272" s="17">
        <f t="shared" si="49"/>
        <v>0</v>
      </c>
      <c r="BG272" s="14">
        <v>0</v>
      </c>
      <c r="BH272" s="14">
        <v>0</v>
      </c>
      <c r="BI272" s="14">
        <v>1</v>
      </c>
      <c r="BJ272" s="14">
        <v>0</v>
      </c>
      <c r="BK272" s="14">
        <v>1</v>
      </c>
      <c r="BL272" s="14">
        <v>1</v>
      </c>
      <c r="BM272" s="14">
        <v>0</v>
      </c>
      <c r="BN272" s="14">
        <v>1</v>
      </c>
      <c r="BO272" s="14">
        <v>0</v>
      </c>
      <c r="BP272" s="14">
        <v>0</v>
      </c>
      <c r="BQ272" s="11">
        <v>13.5</v>
      </c>
      <c r="BR272" s="11">
        <v>84.875</v>
      </c>
      <c r="BS272" s="11">
        <v>9.9581430000000015</v>
      </c>
      <c r="BT272" s="10">
        <v>30</v>
      </c>
    </row>
    <row r="273" spans="4:72">
      <c r="D273" s="10">
        <v>51</v>
      </c>
      <c r="E273" s="11">
        <v>19.837484999999997</v>
      </c>
      <c r="F273" s="11">
        <v>74.083299999999994</v>
      </c>
      <c r="G273" s="10">
        <v>51</v>
      </c>
      <c r="J273" s="103"/>
      <c r="K273" s="86"/>
      <c r="AK273" s="10" t="s">
        <v>31</v>
      </c>
      <c r="AL273" s="10">
        <f t="shared" si="41"/>
        <v>0</v>
      </c>
      <c r="AM273" s="10">
        <f t="shared" si="42"/>
        <v>0</v>
      </c>
      <c r="AN273" s="10">
        <f t="shared" si="43"/>
        <v>1</v>
      </c>
      <c r="AO273" s="10" t="s">
        <v>24</v>
      </c>
      <c r="AP273" s="10">
        <f t="shared" si="44"/>
        <v>0</v>
      </c>
      <c r="AQ273" s="10" t="s">
        <v>11</v>
      </c>
      <c r="AR273" s="10">
        <f t="shared" si="45"/>
        <v>1</v>
      </c>
      <c r="AS273" s="10" t="s">
        <v>27</v>
      </c>
      <c r="AT273" s="10">
        <f t="shared" si="50"/>
        <v>0</v>
      </c>
      <c r="AU273" s="10">
        <f t="shared" si="46"/>
        <v>0</v>
      </c>
      <c r="AV273" s="11">
        <v>12.074985</v>
      </c>
      <c r="AW273" s="11">
        <v>69.916699999999992</v>
      </c>
      <c r="AX273" s="11">
        <v>11.583161</v>
      </c>
      <c r="AY273" s="10">
        <v>34</v>
      </c>
      <c r="AZ273" t="s">
        <v>107</v>
      </c>
      <c r="BA273" s="17">
        <f t="shared" si="47"/>
        <v>1</v>
      </c>
      <c r="BB273" s="17">
        <f t="shared" si="48"/>
        <v>0</v>
      </c>
      <c r="BC273" s="17">
        <f t="shared" si="49"/>
        <v>0</v>
      </c>
      <c r="BG273" s="14">
        <v>0</v>
      </c>
      <c r="BH273" s="14">
        <v>0</v>
      </c>
      <c r="BI273" s="14">
        <v>1</v>
      </c>
      <c r="BJ273" s="14">
        <v>0</v>
      </c>
      <c r="BK273" s="14">
        <v>1</v>
      </c>
      <c r="BL273" s="14">
        <v>0</v>
      </c>
      <c r="BM273" s="14">
        <v>0</v>
      </c>
      <c r="BN273" s="14">
        <v>1</v>
      </c>
      <c r="BO273" s="14">
        <v>0</v>
      </c>
      <c r="BP273" s="14">
        <v>0</v>
      </c>
      <c r="BQ273" s="11">
        <v>12.074985</v>
      </c>
      <c r="BR273" s="11">
        <v>69.916699999999992</v>
      </c>
      <c r="BS273" s="11">
        <v>11.583161</v>
      </c>
      <c r="BT273" s="10">
        <v>34</v>
      </c>
    </row>
    <row r="274" spans="4:72">
      <c r="D274" s="10">
        <v>30</v>
      </c>
      <c r="E274" s="11">
        <v>16.799985</v>
      </c>
      <c r="F274" s="11">
        <v>69.625</v>
      </c>
      <c r="G274" s="10">
        <v>30</v>
      </c>
      <c r="J274" s="103"/>
      <c r="K274" s="86"/>
      <c r="AK274" s="10" t="s">
        <v>31</v>
      </c>
      <c r="AL274" s="10">
        <f t="shared" si="41"/>
        <v>0</v>
      </c>
      <c r="AM274" s="10">
        <f t="shared" si="42"/>
        <v>0</v>
      </c>
      <c r="AN274" s="10">
        <f t="shared" si="43"/>
        <v>1</v>
      </c>
      <c r="AO274" s="10" t="s">
        <v>24</v>
      </c>
      <c r="AP274" s="10">
        <f t="shared" si="44"/>
        <v>0</v>
      </c>
      <c r="AQ274" s="10" t="s">
        <v>11</v>
      </c>
      <c r="AR274" s="10">
        <f t="shared" si="45"/>
        <v>1</v>
      </c>
      <c r="AS274" s="10" t="s">
        <v>27</v>
      </c>
      <c r="AT274" s="10">
        <f t="shared" si="50"/>
        <v>0</v>
      </c>
      <c r="AU274" s="10">
        <f t="shared" si="46"/>
        <v>0</v>
      </c>
      <c r="AV274" s="11">
        <v>13.5</v>
      </c>
      <c r="AW274" s="11">
        <v>64.75</v>
      </c>
      <c r="AX274" s="11">
        <v>13.833824999999999</v>
      </c>
      <c r="AY274" s="10">
        <v>44</v>
      </c>
      <c r="AZ274" t="s">
        <v>106</v>
      </c>
      <c r="BA274" s="17">
        <f t="shared" si="47"/>
        <v>0</v>
      </c>
      <c r="BB274" s="17">
        <f t="shared" si="48"/>
        <v>1</v>
      </c>
      <c r="BC274" s="17">
        <f t="shared" si="49"/>
        <v>0</v>
      </c>
      <c r="BG274" s="14">
        <v>0</v>
      </c>
      <c r="BH274" s="14">
        <v>0</v>
      </c>
      <c r="BI274" s="14">
        <v>1</v>
      </c>
      <c r="BJ274" s="14">
        <v>0</v>
      </c>
      <c r="BK274" s="14">
        <v>1</v>
      </c>
      <c r="BL274" s="14">
        <v>0</v>
      </c>
      <c r="BM274" s="14">
        <v>0</v>
      </c>
      <c r="BN274" s="14">
        <v>0</v>
      </c>
      <c r="BO274" s="14">
        <v>1</v>
      </c>
      <c r="BP274" s="14">
        <v>0</v>
      </c>
      <c r="BQ274" s="11">
        <v>13.5</v>
      </c>
      <c r="BR274" s="11">
        <v>64.75</v>
      </c>
      <c r="BS274" s="11">
        <v>13.833824999999999</v>
      </c>
      <c r="BT274" s="10">
        <v>44</v>
      </c>
    </row>
    <row r="275" spans="4:72">
      <c r="D275" s="10">
        <v>56</v>
      </c>
      <c r="E275" s="11">
        <v>16.875</v>
      </c>
      <c r="F275" s="11">
        <v>67.75</v>
      </c>
      <c r="G275" s="10">
        <v>56</v>
      </c>
      <c r="J275" s="103"/>
      <c r="K275" s="86"/>
      <c r="AK275" s="10" t="s">
        <v>31</v>
      </c>
      <c r="AL275" s="10">
        <f t="shared" si="41"/>
        <v>0</v>
      </c>
      <c r="AM275" s="10">
        <f t="shared" si="42"/>
        <v>0</v>
      </c>
      <c r="AN275" s="10">
        <f t="shared" si="43"/>
        <v>1</v>
      </c>
      <c r="AO275" s="10" t="s">
        <v>24</v>
      </c>
      <c r="AP275" s="10">
        <f t="shared" si="44"/>
        <v>0</v>
      </c>
      <c r="AQ275" s="10" t="s">
        <v>25</v>
      </c>
      <c r="AR275" s="10">
        <f t="shared" si="45"/>
        <v>0</v>
      </c>
      <c r="AS275" s="10" t="s">
        <v>26</v>
      </c>
      <c r="AT275" s="10">
        <f t="shared" si="50"/>
        <v>1</v>
      </c>
      <c r="AU275" s="10">
        <f t="shared" si="46"/>
        <v>0</v>
      </c>
      <c r="AV275" s="11">
        <v>14.175000000000001</v>
      </c>
      <c r="AW275" s="11">
        <v>75.375</v>
      </c>
      <c r="AX275" s="11">
        <v>19.583832000000001</v>
      </c>
      <c r="AY275" s="10">
        <v>45</v>
      </c>
      <c r="AZ275" t="s">
        <v>106</v>
      </c>
      <c r="BA275" s="17">
        <f t="shared" si="47"/>
        <v>0</v>
      </c>
      <c r="BB275" s="17">
        <f t="shared" si="48"/>
        <v>1</v>
      </c>
      <c r="BC275" s="17">
        <f t="shared" si="49"/>
        <v>0</v>
      </c>
      <c r="BG275" s="14">
        <v>0</v>
      </c>
      <c r="BH275" s="14">
        <v>0</v>
      </c>
      <c r="BI275" s="14">
        <v>1</v>
      </c>
      <c r="BJ275" s="14">
        <v>0</v>
      </c>
      <c r="BK275" s="14">
        <v>0</v>
      </c>
      <c r="BL275" s="14">
        <v>1</v>
      </c>
      <c r="BM275" s="14">
        <v>0</v>
      </c>
      <c r="BN275" s="14">
        <v>0</v>
      </c>
      <c r="BO275" s="14">
        <v>1</v>
      </c>
      <c r="BP275" s="14">
        <v>0</v>
      </c>
      <c r="BQ275" s="11">
        <v>14.175000000000001</v>
      </c>
      <c r="BR275" s="11">
        <v>75.375</v>
      </c>
      <c r="BS275" s="11">
        <v>19.583832000000001</v>
      </c>
      <c r="BT275" s="10">
        <v>45</v>
      </c>
    </row>
    <row r="276" spans="4:72">
      <c r="D276" s="10">
        <v>61</v>
      </c>
      <c r="E276" s="11">
        <v>16.912485</v>
      </c>
      <c r="F276" s="11">
        <v>65.375</v>
      </c>
      <c r="G276" s="10">
        <v>61</v>
      </c>
      <c r="J276" s="103"/>
      <c r="K276" s="86"/>
      <c r="AK276" s="10" t="s">
        <v>31</v>
      </c>
      <c r="AL276" s="10">
        <f t="shared" si="41"/>
        <v>0</v>
      </c>
      <c r="AM276" s="10">
        <f t="shared" si="42"/>
        <v>0</v>
      </c>
      <c r="AN276" s="10">
        <f t="shared" si="43"/>
        <v>1</v>
      </c>
      <c r="AO276" s="10" t="s">
        <v>24</v>
      </c>
      <c r="AP276" s="10">
        <f t="shared" si="44"/>
        <v>0</v>
      </c>
      <c r="AQ276" s="10" t="s">
        <v>25</v>
      </c>
      <c r="AR276" s="10">
        <f t="shared" si="45"/>
        <v>0</v>
      </c>
      <c r="AS276" s="10" t="s">
        <v>26</v>
      </c>
      <c r="AT276" s="10">
        <f t="shared" si="50"/>
        <v>1</v>
      </c>
      <c r="AU276" s="10">
        <f t="shared" si="46"/>
        <v>0</v>
      </c>
      <c r="AV276" s="11">
        <v>17.024984999999997</v>
      </c>
      <c r="AW276" s="11">
        <v>79.166700000000006</v>
      </c>
      <c r="AX276" s="11">
        <v>14.874870999999999</v>
      </c>
      <c r="AY276" s="10">
        <v>65</v>
      </c>
      <c r="AZ276" t="s">
        <v>106</v>
      </c>
      <c r="BA276" s="17">
        <f t="shared" si="47"/>
        <v>0</v>
      </c>
      <c r="BB276" s="17">
        <f t="shared" si="48"/>
        <v>1</v>
      </c>
      <c r="BC276" s="17">
        <f t="shared" si="49"/>
        <v>0</v>
      </c>
      <c r="BG276" s="14">
        <v>0</v>
      </c>
      <c r="BH276" s="14">
        <v>0</v>
      </c>
      <c r="BI276" s="14">
        <v>1</v>
      </c>
      <c r="BJ276" s="14">
        <v>0</v>
      </c>
      <c r="BK276" s="14">
        <v>0</v>
      </c>
      <c r="BL276" s="14">
        <v>1</v>
      </c>
      <c r="BM276" s="14">
        <v>0</v>
      </c>
      <c r="BN276" s="14">
        <v>0</v>
      </c>
      <c r="BO276" s="14">
        <v>1</v>
      </c>
      <c r="BP276" s="14">
        <v>0</v>
      </c>
      <c r="BQ276" s="11">
        <v>17.024984999999997</v>
      </c>
      <c r="BR276" s="11">
        <v>79.166700000000006</v>
      </c>
      <c r="BS276" s="11">
        <v>14.874870999999999</v>
      </c>
      <c r="BT276" s="10">
        <v>65</v>
      </c>
    </row>
    <row r="277" spans="4:72">
      <c r="D277" s="10">
        <v>61</v>
      </c>
      <c r="E277" s="11">
        <v>20.662514999999999</v>
      </c>
      <c r="F277" s="11">
        <v>72.958299999999994</v>
      </c>
      <c r="G277" s="10">
        <v>61</v>
      </c>
      <c r="J277" s="103"/>
      <c r="K277" s="86"/>
      <c r="AK277" s="10" t="s">
        <v>31</v>
      </c>
      <c r="AL277" s="10">
        <f t="shared" si="41"/>
        <v>0</v>
      </c>
      <c r="AM277" s="10">
        <f t="shared" si="42"/>
        <v>0</v>
      </c>
      <c r="AN277" s="10">
        <f t="shared" si="43"/>
        <v>1</v>
      </c>
      <c r="AO277" s="10" t="s">
        <v>24</v>
      </c>
      <c r="AP277" s="10">
        <f t="shared" si="44"/>
        <v>0</v>
      </c>
      <c r="AQ277" s="10" t="s">
        <v>11</v>
      </c>
      <c r="AR277" s="10">
        <f t="shared" si="45"/>
        <v>1</v>
      </c>
      <c r="AS277" s="10" t="s">
        <v>26</v>
      </c>
      <c r="AT277" s="10">
        <f t="shared" si="50"/>
        <v>1</v>
      </c>
      <c r="AU277" s="10">
        <f t="shared" si="46"/>
        <v>0</v>
      </c>
      <c r="AV277" s="11">
        <v>25.799985</v>
      </c>
      <c r="AW277" s="11">
        <v>76.083299999999994</v>
      </c>
      <c r="AX277" s="11">
        <v>5.5841685999999999</v>
      </c>
      <c r="AY277" s="10">
        <v>63</v>
      </c>
      <c r="AZ277" t="s">
        <v>106</v>
      </c>
      <c r="BA277" s="17">
        <f t="shared" si="47"/>
        <v>0</v>
      </c>
      <c r="BB277" s="17">
        <f t="shared" si="48"/>
        <v>1</v>
      </c>
      <c r="BC277" s="17">
        <f t="shared" si="49"/>
        <v>0</v>
      </c>
      <c r="BG277" s="14">
        <v>0</v>
      </c>
      <c r="BH277" s="14">
        <v>0</v>
      </c>
      <c r="BI277" s="14">
        <v>1</v>
      </c>
      <c r="BJ277" s="14">
        <v>0</v>
      </c>
      <c r="BK277" s="14">
        <v>1</v>
      </c>
      <c r="BL277" s="14">
        <v>1</v>
      </c>
      <c r="BM277" s="14">
        <v>0</v>
      </c>
      <c r="BN277" s="14">
        <v>0</v>
      </c>
      <c r="BO277" s="14">
        <v>1</v>
      </c>
      <c r="BP277" s="14">
        <v>0</v>
      </c>
      <c r="BQ277" s="11">
        <v>25.799985</v>
      </c>
      <c r="BR277" s="11">
        <v>76.083299999999994</v>
      </c>
      <c r="BS277" s="11">
        <v>5.5841685999999999</v>
      </c>
      <c r="BT277" s="10">
        <v>63</v>
      </c>
    </row>
    <row r="278" spans="4:72">
      <c r="D278" s="10">
        <v>77</v>
      </c>
      <c r="E278" s="11">
        <v>22.656510000000001</v>
      </c>
      <c r="F278" s="11">
        <v>81.875</v>
      </c>
      <c r="G278" s="10">
        <v>77</v>
      </c>
      <c r="J278" s="103"/>
      <c r="K278" s="86"/>
      <c r="AK278" s="10" t="s">
        <v>31</v>
      </c>
      <c r="AL278" s="10">
        <f t="shared" si="41"/>
        <v>0</v>
      </c>
      <c r="AM278" s="10">
        <f t="shared" si="42"/>
        <v>0</v>
      </c>
      <c r="AN278" s="10">
        <f t="shared" si="43"/>
        <v>1</v>
      </c>
      <c r="AO278" s="10" t="s">
        <v>24</v>
      </c>
      <c r="AP278" s="10">
        <f t="shared" si="44"/>
        <v>0</v>
      </c>
      <c r="AQ278" s="10" t="s">
        <v>11</v>
      </c>
      <c r="AR278" s="10">
        <f t="shared" si="45"/>
        <v>1</v>
      </c>
      <c r="AS278" s="10" t="s">
        <v>27</v>
      </c>
      <c r="AT278" s="10">
        <f t="shared" si="50"/>
        <v>0</v>
      </c>
      <c r="AU278" s="10">
        <f t="shared" si="46"/>
        <v>0</v>
      </c>
      <c r="AV278" s="11">
        <v>18.637515</v>
      </c>
      <c r="AW278" s="11">
        <v>71</v>
      </c>
      <c r="AX278" s="11">
        <v>13.792218</v>
      </c>
      <c r="AY278" s="10">
        <v>36</v>
      </c>
      <c r="AZ278" t="s">
        <v>107</v>
      </c>
      <c r="BA278" s="17">
        <f t="shared" si="47"/>
        <v>1</v>
      </c>
      <c r="BB278" s="17">
        <f t="shared" si="48"/>
        <v>0</v>
      </c>
      <c r="BC278" s="17">
        <f t="shared" si="49"/>
        <v>0</v>
      </c>
      <c r="BG278" s="14">
        <v>0</v>
      </c>
      <c r="BH278" s="14">
        <v>0</v>
      </c>
      <c r="BI278" s="14">
        <v>1</v>
      </c>
      <c r="BJ278" s="14">
        <v>0</v>
      </c>
      <c r="BK278" s="14">
        <v>1</v>
      </c>
      <c r="BL278" s="14">
        <v>0</v>
      </c>
      <c r="BM278" s="14">
        <v>0</v>
      </c>
      <c r="BN278" s="14">
        <v>1</v>
      </c>
      <c r="BO278" s="14">
        <v>0</v>
      </c>
      <c r="BP278" s="14">
        <v>0</v>
      </c>
      <c r="BQ278" s="11">
        <v>18.637515</v>
      </c>
      <c r="BR278" s="11">
        <v>71</v>
      </c>
      <c r="BS278" s="11">
        <v>13.792218</v>
      </c>
      <c r="BT278" s="10">
        <v>36</v>
      </c>
    </row>
    <row r="279" spans="4:72">
      <c r="D279" s="10">
        <v>58</v>
      </c>
      <c r="E279" s="11">
        <v>20.624984999999999</v>
      </c>
      <c r="F279" s="11">
        <v>68.5</v>
      </c>
      <c r="G279" s="10">
        <v>58</v>
      </c>
      <c r="J279" s="103"/>
      <c r="K279" s="86"/>
      <c r="AK279" s="10" t="s">
        <v>31</v>
      </c>
      <c r="AL279" s="10">
        <f t="shared" si="41"/>
        <v>0</v>
      </c>
      <c r="AM279" s="10">
        <f t="shared" si="42"/>
        <v>0</v>
      </c>
      <c r="AN279" s="10">
        <f t="shared" si="43"/>
        <v>1</v>
      </c>
      <c r="AO279" s="10" t="s">
        <v>24</v>
      </c>
      <c r="AP279" s="10">
        <f t="shared" si="44"/>
        <v>0</v>
      </c>
      <c r="AQ279" s="10" t="s">
        <v>11</v>
      </c>
      <c r="AR279" s="10">
        <f t="shared" si="45"/>
        <v>1</v>
      </c>
      <c r="AS279" s="10" t="s">
        <v>27</v>
      </c>
      <c r="AT279" s="10">
        <f t="shared" si="50"/>
        <v>0</v>
      </c>
      <c r="AU279" s="10">
        <f t="shared" si="46"/>
        <v>0</v>
      </c>
      <c r="AV279" s="11">
        <v>17.587485000000001</v>
      </c>
      <c r="AW279" s="11">
        <v>64.791699999999992</v>
      </c>
      <c r="AX279" s="11">
        <v>11.87575</v>
      </c>
      <c r="AY279" s="10">
        <v>56</v>
      </c>
      <c r="AZ279" t="s">
        <v>106</v>
      </c>
      <c r="BA279" s="17">
        <f t="shared" si="47"/>
        <v>0</v>
      </c>
      <c r="BB279" s="17">
        <f t="shared" si="48"/>
        <v>1</v>
      </c>
      <c r="BC279" s="17">
        <f t="shared" si="49"/>
        <v>0</v>
      </c>
      <c r="BG279" s="14">
        <v>0</v>
      </c>
      <c r="BH279" s="14">
        <v>0</v>
      </c>
      <c r="BI279" s="14">
        <v>1</v>
      </c>
      <c r="BJ279" s="14">
        <v>0</v>
      </c>
      <c r="BK279" s="14">
        <v>1</v>
      </c>
      <c r="BL279" s="14">
        <v>0</v>
      </c>
      <c r="BM279" s="14">
        <v>0</v>
      </c>
      <c r="BN279" s="14">
        <v>0</v>
      </c>
      <c r="BO279" s="14">
        <v>1</v>
      </c>
      <c r="BP279" s="14">
        <v>0</v>
      </c>
      <c r="BQ279" s="11">
        <v>17.587485000000001</v>
      </c>
      <c r="BR279" s="11">
        <v>64.791699999999992</v>
      </c>
      <c r="BS279" s="11">
        <v>11.87575</v>
      </c>
      <c r="BT279" s="10">
        <v>56</v>
      </c>
    </row>
    <row r="280" spans="4:72">
      <c r="D280" s="10">
        <v>73</v>
      </c>
      <c r="E280" s="11">
        <v>14.625</v>
      </c>
      <c r="F280" s="11">
        <v>63.666699999999999</v>
      </c>
      <c r="G280" s="10">
        <v>73</v>
      </c>
      <c r="J280" s="103"/>
      <c r="K280" s="86"/>
      <c r="AK280" s="10" t="s">
        <v>31</v>
      </c>
      <c r="AL280" s="10">
        <f t="shared" si="41"/>
        <v>0</v>
      </c>
      <c r="AM280" s="10">
        <f t="shared" si="42"/>
        <v>0</v>
      </c>
      <c r="AN280" s="10">
        <f t="shared" si="43"/>
        <v>1</v>
      </c>
      <c r="AO280" s="10" t="s">
        <v>24</v>
      </c>
      <c r="AP280" s="10">
        <f t="shared" si="44"/>
        <v>0</v>
      </c>
      <c r="AQ280" s="10" t="s">
        <v>11</v>
      </c>
      <c r="AR280" s="10">
        <f t="shared" si="45"/>
        <v>1</v>
      </c>
      <c r="AS280" s="10" t="s">
        <v>27</v>
      </c>
      <c r="AT280" s="10">
        <f t="shared" si="50"/>
        <v>0</v>
      </c>
      <c r="AU280" s="10">
        <f t="shared" si="46"/>
        <v>0</v>
      </c>
      <c r="AV280" s="11">
        <v>19.6875</v>
      </c>
      <c r="AW280" s="11">
        <v>62.083299999999994</v>
      </c>
      <c r="AX280" s="11">
        <v>9.041917999999999</v>
      </c>
      <c r="AY280" s="10">
        <v>62</v>
      </c>
      <c r="AZ280" t="s">
        <v>106</v>
      </c>
      <c r="BA280" s="17">
        <f t="shared" si="47"/>
        <v>0</v>
      </c>
      <c r="BB280" s="17">
        <f t="shared" si="48"/>
        <v>1</v>
      </c>
      <c r="BC280" s="17">
        <f t="shared" si="49"/>
        <v>0</v>
      </c>
      <c r="BG280" s="14">
        <v>0</v>
      </c>
      <c r="BH280" s="14">
        <v>0</v>
      </c>
      <c r="BI280" s="14">
        <v>1</v>
      </c>
      <c r="BJ280" s="14">
        <v>0</v>
      </c>
      <c r="BK280" s="14">
        <v>1</v>
      </c>
      <c r="BL280" s="14">
        <v>0</v>
      </c>
      <c r="BM280" s="14">
        <v>0</v>
      </c>
      <c r="BN280" s="14">
        <v>0</v>
      </c>
      <c r="BO280" s="14">
        <v>1</v>
      </c>
      <c r="BP280" s="14">
        <v>0</v>
      </c>
      <c r="BQ280" s="11">
        <v>19.6875</v>
      </c>
      <c r="BR280" s="11">
        <v>62.083299999999994</v>
      </c>
      <c r="BS280" s="11">
        <v>9.041917999999999</v>
      </c>
      <c r="BT280" s="10">
        <v>62</v>
      </c>
    </row>
    <row r="281" spans="4:72">
      <c r="D281" s="10">
        <v>75</v>
      </c>
      <c r="E281" s="11">
        <v>14.0625</v>
      </c>
      <c r="F281" s="11">
        <v>67.708299999999994</v>
      </c>
      <c r="G281" s="10">
        <v>75</v>
      </c>
      <c r="J281" s="103"/>
      <c r="K281" s="86"/>
      <c r="AK281" s="10" t="s">
        <v>31</v>
      </c>
      <c r="AL281" s="10">
        <f t="shared" si="41"/>
        <v>0</v>
      </c>
      <c r="AM281" s="10">
        <f t="shared" si="42"/>
        <v>0</v>
      </c>
      <c r="AN281" s="10">
        <f t="shared" si="43"/>
        <v>1</v>
      </c>
      <c r="AO281" s="10" t="s">
        <v>24</v>
      </c>
      <c r="AP281" s="10">
        <f t="shared" si="44"/>
        <v>0</v>
      </c>
      <c r="AQ281" s="10" t="s">
        <v>11</v>
      </c>
      <c r="AR281" s="10">
        <f t="shared" si="45"/>
        <v>1</v>
      </c>
      <c r="AS281" s="10" t="s">
        <v>27</v>
      </c>
      <c r="AT281" s="10">
        <f t="shared" si="50"/>
        <v>0</v>
      </c>
      <c r="AU281" s="10">
        <f t="shared" si="46"/>
        <v>0</v>
      </c>
      <c r="AV281" s="11">
        <v>15.112485</v>
      </c>
      <c r="AW281" s="11">
        <v>68.416699999999992</v>
      </c>
      <c r="AX281" s="11">
        <v>1.5002439000000001</v>
      </c>
      <c r="AY281" s="10">
        <v>29</v>
      </c>
      <c r="AZ281" t="s">
        <v>107</v>
      </c>
      <c r="BA281" s="17">
        <f t="shared" si="47"/>
        <v>1</v>
      </c>
      <c r="BB281" s="17">
        <f t="shared" si="48"/>
        <v>0</v>
      </c>
      <c r="BC281" s="17">
        <f t="shared" si="49"/>
        <v>0</v>
      </c>
      <c r="BG281" s="14">
        <v>0</v>
      </c>
      <c r="BH281" s="14">
        <v>0</v>
      </c>
      <c r="BI281" s="14">
        <v>1</v>
      </c>
      <c r="BJ281" s="14">
        <v>0</v>
      </c>
      <c r="BK281" s="14">
        <v>1</v>
      </c>
      <c r="BL281" s="14">
        <v>0</v>
      </c>
      <c r="BM281" s="14">
        <v>0</v>
      </c>
      <c r="BN281" s="14">
        <v>1</v>
      </c>
      <c r="BO281" s="14">
        <v>0</v>
      </c>
      <c r="BP281" s="14">
        <v>0</v>
      </c>
      <c r="BQ281" s="11">
        <v>15.112485</v>
      </c>
      <c r="BR281" s="11">
        <v>68.416699999999992</v>
      </c>
      <c r="BS281" s="11">
        <v>1.5002439000000001</v>
      </c>
      <c r="BT281" s="10">
        <v>29</v>
      </c>
    </row>
    <row r="282" spans="4:72">
      <c r="D282" s="10">
        <v>78</v>
      </c>
      <c r="E282" s="11">
        <v>14.137514999999999</v>
      </c>
      <c r="F282" s="11">
        <v>30.5</v>
      </c>
      <c r="G282" s="10">
        <v>78</v>
      </c>
      <c r="J282" s="103"/>
      <c r="K282" s="86"/>
      <c r="AK282" s="10" t="s">
        <v>31</v>
      </c>
      <c r="AL282" s="10">
        <f t="shared" si="41"/>
        <v>0</v>
      </c>
      <c r="AM282" s="10">
        <f t="shared" si="42"/>
        <v>0</v>
      </c>
      <c r="AN282" s="10">
        <f t="shared" si="43"/>
        <v>1</v>
      </c>
      <c r="AO282" s="10" t="s">
        <v>24</v>
      </c>
      <c r="AP282" s="10">
        <f t="shared" si="44"/>
        <v>0</v>
      </c>
      <c r="AQ282" s="10" t="s">
        <v>25</v>
      </c>
      <c r="AR282" s="10">
        <f t="shared" si="45"/>
        <v>0</v>
      </c>
      <c r="AS282" s="10" t="s">
        <v>27</v>
      </c>
      <c r="AT282" s="10">
        <f t="shared" si="50"/>
        <v>0</v>
      </c>
      <c r="AU282" s="10">
        <f t="shared" si="46"/>
        <v>0</v>
      </c>
      <c r="AV282" s="11">
        <v>15.412500000000001</v>
      </c>
      <c r="AW282" s="11">
        <v>70.125</v>
      </c>
      <c r="AX282" s="11">
        <v>3.0420813999999998</v>
      </c>
      <c r="AY282" s="10">
        <v>50</v>
      </c>
      <c r="AZ282" t="s">
        <v>106</v>
      </c>
      <c r="BA282" s="17">
        <f t="shared" si="47"/>
        <v>0</v>
      </c>
      <c r="BB282" s="17">
        <f t="shared" si="48"/>
        <v>1</v>
      </c>
      <c r="BC282" s="17">
        <f t="shared" si="49"/>
        <v>0</v>
      </c>
      <c r="BG282" s="14">
        <v>0</v>
      </c>
      <c r="BH282" s="14">
        <v>0</v>
      </c>
      <c r="BI282" s="14">
        <v>1</v>
      </c>
      <c r="BJ282" s="14">
        <v>0</v>
      </c>
      <c r="BK282" s="14">
        <v>0</v>
      </c>
      <c r="BL282" s="14">
        <v>0</v>
      </c>
      <c r="BM282" s="14">
        <v>0</v>
      </c>
      <c r="BN282" s="14">
        <v>0</v>
      </c>
      <c r="BO282" s="14">
        <v>1</v>
      </c>
      <c r="BP282" s="14">
        <v>0</v>
      </c>
      <c r="BQ282" s="11">
        <v>15.412500000000001</v>
      </c>
      <c r="BR282" s="11">
        <v>70.125</v>
      </c>
      <c r="BS282" s="11">
        <v>3.0420813999999998</v>
      </c>
      <c r="BT282" s="10">
        <v>50</v>
      </c>
    </row>
    <row r="283" spans="4:72">
      <c r="D283" s="10">
        <v>72</v>
      </c>
      <c r="E283" s="11">
        <v>13.462515000000002</v>
      </c>
      <c r="F283" s="11">
        <v>35.416699999999999</v>
      </c>
      <c r="G283" s="10">
        <v>72</v>
      </c>
      <c r="J283" s="103"/>
      <c r="K283" s="86"/>
      <c r="AK283" s="10" t="s">
        <v>31</v>
      </c>
      <c r="AL283" s="10">
        <f t="shared" si="41"/>
        <v>0</v>
      </c>
      <c r="AM283" s="10">
        <f t="shared" si="42"/>
        <v>0</v>
      </c>
      <c r="AN283" s="10">
        <f t="shared" si="43"/>
        <v>1</v>
      </c>
      <c r="AO283" s="10" t="s">
        <v>24</v>
      </c>
      <c r="AP283" s="10">
        <f t="shared" si="44"/>
        <v>0</v>
      </c>
      <c r="AQ283" s="10" t="s">
        <v>25</v>
      </c>
      <c r="AR283" s="10">
        <f t="shared" si="45"/>
        <v>0</v>
      </c>
      <c r="AS283" s="10" t="s">
        <v>27</v>
      </c>
      <c r="AT283" s="10">
        <f t="shared" si="50"/>
        <v>0</v>
      </c>
      <c r="AU283" s="10">
        <f t="shared" si="46"/>
        <v>0</v>
      </c>
      <c r="AV283" s="11">
        <v>19.200015</v>
      </c>
      <c r="AW283" s="11">
        <v>72.75</v>
      </c>
      <c r="AX283" s="11">
        <v>4.2511500000000009</v>
      </c>
      <c r="AY283" s="10">
        <v>58</v>
      </c>
      <c r="AZ283" t="s">
        <v>106</v>
      </c>
      <c r="BA283" s="17">
        <f t="shared" si="47"/>
        <v>0</v>
      </c>
      <c r="BB283" s="17">
        <f t="shared" si="48"/>
        <v>1</v>
      </c>
      <c r="BC283" s="17">
        <f t="shared" si="49"/>
        <v>0</v>
      </c>
      <c r="BG283" s="14">
        <v>0</v>
      </c>
      <c r="BH283" s="14">
        <v>0</v>
      </c>
      <c r="BI283" s="14">
        <v>1</v>
      </c>
      <c r="BJ283" s="14">
        <v>0</v>
      </c>
      <c r="BK283" s="14">
        <v>0</v>
      </c>
      <c r="BL283" s="14">
        <v>0</v>
      </c>
      <c r="BM283" s="14">
        <v>0</v>
      </c>
      <c r="BN283" s="14">
        <v>0</v>
      </c>
      <c r="BO283" s="14">
        <v>1</v>
      </c>
      <c r="BP283" s="14">
        <v>0</v>
      </c>
      <c r="BQ283" s="11">
        <v>19.200015</v>
      </c>
      <c r="BR283" s="11">
        <v>72.75</v>
      </c>
      <c r="BS283" s="11">
        <v>4.2511500000000009</v>
      </c>
      <c r="BT283" s="10">
        <v>58</v>
      </c>
    </row>
    <row r="284" spans="4:72">
      <c r="D284" s="10">
        <v>70</v>
      </c>
      <c r="E284" s="11">
        <v>14.887485</v>
      </c>
      <c r="F284" s="11">
        <v>45.625</v>
      </c>
      <c r="G284" s="10">
        <v>70</v>
      </c>
      <c r="J284" s="103"/>
      <c r="K284" s="86"/>
      <c r="AK284" s="10" t="s">
        <v>31</v>
      </c>
      <c r="AL284" s="10">
        <f t="shared" si="41"/>
        <v>0</v>
      </c>
      <c r="AM284" s="10">
        <f t="shared" si="42"/>
        <v>0</v>
      </c>
      <c r="AN284" s="10">
        <f t="shared" si="43"/>
        <v>1</v>
      </c>
      <c r="AO284" s="10" t="s">
        <v>7</v>
      </c>
      <c r="AP284" s="10">
        <f t="shared" si="44"/>
        <v>1</v>
      </c>
      <c r="AQ284" s="10" t="s">
        <v>25</v>
      </c>
      <c r="AR284" s="10">
        <f t="shared" si="45"/>
        <v>0</v>
      </c>
      <c r="AS284" s="10" t="s">
        <v>27</v>
      </c>
      <c r="AT284" s="10">
        <f t="shared" si="50"/>
        <v>0</v>
      </c>
      <c r="AU284" s="10">
        <f t="shared" si="46"/>
        <v>0</v>
      </c>
      <c r="AV284" s="11">
        <v>26.80434</v>
      </c>
      <c r="AW284" s="11">
        <v>73.375</v>
      </c>
      <c r="AX284" s="11">
        <v>2.8343813999999998</v>
      </c>
      <c r="AY284" s="10">
        <v>67</v>
      </c>
      <c r="AZ284" t="s">
        <v>106</v>
      </c>
      <c r="BA284" s="17">
        <f t="shared" si="47"/>
        <v>0</v>
      </c>
      <c r="BB284" s="17">
        <f t="shared" si="48"/>
        <v>1</v>
      </c>
      <c r="BC284" s="17">
        <f t="shared" si="49"/>
        <v>0</v>
      </c>
      <c r="BG284" s="14">
        <v>0</v>
      </c>
      <c r="BH284" s="14">
        <v>0</v>
      </c>
      <c r="BI284" s="14">
        <v>1</v>
      </c>
      <c r="BJ284" s="14">
        <v>1</v>
      </c>
      <c r="BK284" s="14">
        <v>0</v>
      </c>
      <c r="BL284" s="14">
        <v>0</v>
      </c>
      <c r="BM284" s="14">
        <v>0</v>
      </c>
      <c r="BN284" s="14">
        <v>0</v>
      </c>
      <c r="BO284" s="14">
        <v>1</v>
      </c>
      <c r="BP284" s="14">
        <v>0</v>
      </c>
      <c r="BQ284" s="11">
        <v>26.80434</v>
      </c>
      <c r="BR284" s="11">
        <v>73.375</v>
      </c>
      <c r="BS284" s="11">
        <v>2.8343813999999998</v>
      </c>
      <c r="BT284" s="10">
        <v>67</v>
      </c>
    </row>
    <row r="285" spans="4:72">
      <c r="D285" s="10">
        <v>77</v>
      </c>
      <c r="E285" s="11">
        <v>17.362485</v>
      </c>
      <c r="F285" s="11">
        <v>65.25</v>
      </c>
      <c r="G285" s="10">
        <v>77</v>
      </c>
      <c r="J285" s="103"/>
      <c r="K285" s="86"/>
      <c r="AK285" s="10" t="s">
        <v>31</v>
      </c>
      <c r="AL285" s="10">
        <f t="shared" si="41"/>
        <v>0</v>
      </c>
      <c r="AM285" s="10">
        <f t="shared" si="42"/>
        <v>0</v>
      </c>
      <c r="AN285" s="10">
        <f t="shared" si="43"/>
        <v>1</v>
      </c>
      <c r="AO285" s="10" t="s">
        <v>24</v>
      </c>
      <c r="AP285" s="10">
        <f t="shared" si="44"/>
        <v>0</v>
      </c>
      <c r="AQ285" s="10" t="s">
        <v>11</v>
      </c>
      <c r="AR285" s="10">
        <f t="shared" si="45"/>
        <v>1</v>
      </c>
      <c r="AS285" s="10" t="s">
        <v>26</v>
      </c>
      <c r="AT285" s="10">
        <f t="shared" si="50"/>
        <v>1</v>
      </c>
      <c r="AU285" s="10">
        <f t="shared" si="46"/>
        <v>0</v>
      </c>
      <c r="AV285" s="11">
        <v>22.612499999999997</v>
      </c>
      <c r="AW285" s="11">
        <v>80.875</v>
      </c>
      <c r="AX285" s="11">
        <v>9.5838140000000003</v>
      </c>
      <c r="AY285" s="10">
        <v>41</v>
      </c>
      <c r="AZ285" t="s">
        <v>106</v>
      </c>
      <c r="BA285" s="17">
        <f t="shared" si="47"/>
        <v>0</v>
      </c>
      <c r="BB285" s="17">
        <f t="shared" si="48"/>
        <v>1</v>
      </c>
      <c r="BC285" s="17">
        <f t="shared" si="49"/>
        <v>0</v>
      </c>
      <c r="BG285" s="14">
        <v>0</v>
      </c>
      <c r="BH285" s="14">
        <v>0</v>
      </c>
      <c r="BI285" s="14">
        <v>1</v>
      </c>
      <c r="BJ285" s="14">
        <v>0</v>
      </c>
      <c r="BK285" s="14">
        <v>1</v>
      </c>
      <c r="BL285" s="14">
        <v>1</v>
      </c>
      <c r="BM285" s="14">
        <v>0</v>
      </c>
      <c r="BN285" s="14">
        <v>0</v>
      </c>
      <c r="BO285" s="14">
        <v>1</v>
      </c>
      <c r="BP285" s="14">
        <v>0</v>
      </c>
      <c r="BQ285" s="11">
        <v>22.612499999999997</v>
      </c>
      <c r="BR285" s="11">
        <v>80.875</v>
      </c>
      <c r="BS285" s="11">
        <v>9.5838140000000003</v>
      </c>
      <c r="BT285" s="10">
        <v>41</v>
      </c>
    </row>
    <row r="286" spans="4:72">
      <c r="D286" s="10">
        <v>52</v>
      </c>
      <c r="E286" s="11">
        <v>20.8125</v>
      </c>
      <c r="F286" s="11">
        <v>60</v>
      </c>
      <c r="G286" s="10">
        <v>52</v>
      </c>
      <c r="J286" s="103"/>
      <c r="K286" s="86"/>
      <c r="AK286" s="10" t="s">
        <v>31</v>
      </c>
      <c r="AL286" s="10">
        <f t="shared" si="41"/>
        <v>0</v>
      </c>
      <c r="AM286" s="10">
        <f t="shared" si="42"/>
        <v>0</v>
      </c>
      <c r="AN286" s="10">
        <f t="shared" si="43"/>
        <v>1</v>
      </c>
      <c r="AO286" s="10" t="s">
        <v>24</v>
      </c>
      <c r="AP286" s="10">
        <f t="shared" si="44"/>
        <v>0</v>
      </c>
      <c r="AQ286" s="10" t="s">
        <v>11</v>
      </c>
      <c r="AR286" s="10">
        <f t="shared" si="45"/>
        <v>1</v>
      </c>
      <c r="AS286" s="10" t="s">
        <v>28</v>
      </c>
      <c r="AT286" s="10">
        <f t="shared" si="50"/>
        <v>0</v>
      </c>
      <c r="AU286" s="10">
        <f t="shared" si="46"/>
        <v>1</v>
      </c>
      <c r="AV286" s="11">
        <v>18.5625</v>
      </c>
      <c r="AW286" s="11">
        <v>90.625</v>
      </c>
      <c r="AX286" s="11">
        <v>16.626049999999999</v>
      </c>
      <c r="AY286" s="10">
        <v>43</v>
      </c>
      <c r="AZ286" t="s">
        <v>106</v>
      </c>
      <c r="BA286" s="17">
        <f t="shared" si="47"/>
        <v>0</v>
      </c>
      <c r="BB286" s="17">
        <f t="shared" si="48"/>
        <v>1</v>
      </c>
      <c r="BC286" s="17">
        <f t="shared" si="49"/>
        <v>0</v>
      </c>
      <c r="BG286" s="14">
        <v>0</v>
      </c>
      <c r="BH286" s="14">
        <v>0</v>
      </c>
      <c r="BI286" s="14">
        <v>1</v>
      </c>
      <c r="BJ286" s="14">
        <v>0</v>
      </c>
      <c r="BK286" s="14">
        <v>1</v>
      </c>
      <c r="BL286" s="14">
        <v>0</v>
      </c>
      <c r="BM286" s="14">
        <v>1</v>
      </c>
      <c r="BN286" s="14">
        <v>0</v>
      </c>
      <c r="BO286" s="14">
        <v>1</v>
      </c>
      <c r="BP286" s="14">
        <v>0</v>
      </c>
      <c r="BQ286" s="11">
        <v>18.5625</v>
      </c>
      <c r="BR286" s="11">
        <v>90.625</v>
      </c>
      <c r="BS286" s="11">
        <v>16.626049999999999</v>
      </c>
      <c r="BT286" s="10">
        <v>43</v>
      </c>
    </row>
    <row r="287" spans="4:72">
      <c r="D287" s="10">
        <v>14</v>
      </c>
      <c r="E287" s="11">
        <v>18.45</v>
      </c>
      <c r="F287" s="11">
        <v>59.791700000000006</v>
      </c>
      <c r="G287" s="10">
        <v>14</v>
      </c>
      <c r="J287" s="103"/>
      <c r="K287" s="86"/>
      <c r="AK287" s="10" t="s">
        <v>31</v>
      </c>
      <c r="AL287" s="10">
        <f t="shared" si="41"/>
        <v>0</v>
      </c>
      <c r="AM287" s="10">
        <f t="shared" si="42"/>
        <v>0</v>
      </c>
      <c r="AN287" s="10">
        <f t="shared" si="43"/>
        <v>1</v>
      </c>
      <c r="AO287" s="10" t="s">
        <v>24</v>
      </c>
      <c r="AP287" s="10">
        <f t="shared" si="44"/>
        <v>0</v>
      </c>
      <c r="AQ287" s="10" t="s">
        <v>11</v>
      </c>
      <c r="AR287" s="10">
        <f t="shared" si="45"/>
        <v>1</v>
      </c>
      <c r="AS287" s="10" t="s">
        <v>26</v>
      </c>
      <c r="AT287" s="10">
        <f t="shared" si="50"/>
        <v>1</v>
      </c>
      <c r="AU287" s="10">
        <f t="shared" si="46"/>
        <v>0</v>
      </c>
      <c r="AV287" s="11">
        <v>21.037500000000001</v>
      </c>
      <c r="AW287" s="11">
        <v>89.666700000000006</v>
      </c>
      <c r="AX287" s="11">
        <v>9.4997290000000003</v>
      </c>
      <c r="AY287" s="10">
        <v>66</v>
      </c>
      <c r="AZ287" t="s">
        <v>106</v>
      </c>
      <c r="BA287" s="17">
        <f t="shared" si="47"/>
        <v>0</v>
      </c>
      <c r="BB287" s="17">
        <f t="shared" si="48"/>
        <v>1</v>
      </c>
      <c r="BC287" s="17">
        <f t="shared" si="49"/>
        <v>0</v>
      </c>
      <c r="BG287" s="14">
        <v>0</v>
      </c>
      <c r="BH287" s="14">
        <v>0</v>
      </c>
      <c r="BI287" s="14">
        <v>1</v>
      </c>
      <c r="BJ287" s="14">
        <v>0</v>
      </c>
      <c r="BK287" s="14">
        <v>1</v>
      </c>
      <c r="BL287" s="14">
        <v>1</v>
      </c>
      <c r="BM287" s="14">
        <v>0</v>
      </c>
      <c r="BN287" s="14">
        <v>0</v>
      </c>
      <c r="BO287" s="14">
        <v>1</v>
      </c>
      <c r="BP287" s="14">
        <v>0</v>
      </c>
      <c r="BQ287" s="11">
        <v>21.037500000000001</v>
      </c>
      <c r="BR287" s="11">
        <v>89.666700000000006</v>
      </c>
      <c r="BS287" s="11">
        <v>9.4997290000000003</v>
      </c>
      <c r="BT287" s="10">
        <v>66</v>
      </c>
    </row>
    <row r="288" spans="4:72">
      <c r="D288" s="10">
        <v>66</v>
      </c>
      <c r="E288" s="11">
        <v>11.962484999999999</v>
      </c>
      <c r="F288" s="11">
        <v>62.208300000000008</v>
      </c>
      <c r="G288" s="10">
        <v>66</v>
      </c>
      <c r="J288" s="103"/>
      <c r="K288" s="86"/>
      <c r="AK288" s="10" t="s">
        <v>31</v>
      </c>
      <c r="AL288" s="10">
        <f t="shared" si="41"/>
        <v>0</v>
      </c>
      <c r="AM288" s="10">
        <f t="shared" si="42"/>
        <v>0</v>
      </c>
      <c r="AN288" s="10">
        <f t="shared" si="43"/>
        <v>1</v>
      </c>
      <c r="AO288" s="10" t="s">
        <v>24</v>
      </c>
      <c r="AP288" s="10">
        <f t="shared" si="44"/>
        <v>0</v>
      </c>
      <c r="AQ288" s="10" t="s">
        <v>11</v>
      </c>
      <c r="AR288" s="10">
        <f t="shared" si="45"/>
        <v>1</v>
      </c>
      <c r="AS288" s="10" t="s">
        <v>26</v>
      </c>
      <c r="AT288" s="10">
        <f t="shared" si="50"/>
        <v>1</v>
      </c>
      <c r="AU288" s="10">
        <f t="shared" si="46"/>
        <v>0</v>
      </c>
      <c r="AV288" s="11">
        <v>20.100014999999999</v>
      </c>
      <c r="AW288" s="11">
        <v>71.625</v>
      </c>
      <c r="AX288" s="11">
        <v>15.000161</v>
      </c>
      <c r="AY288" s="10">
        <v>63</v>
      </c>
      <c r="AZ288" t="s">
        <v>106</v>
      </c>
      <c r="BA288" s="17">
        <f t="shared" si="47"/>
        <v>0</v>
      </c>
      <c r="BB288" s="17">
        <f t="shared" si="48"/>
        <v>1</v>
      </c>
      <c r="BC288" s="17">
        <f t="shared" si="49"/>
        <v>0</v>
      </c>
      <c r="BG288" s="14">
        <v>0</v>
      </c>
      <c r="BH288" s="14">
        <v>0</v>
      </c>
      <c r="BI288" s="14">
        <v>1</v>
      </c>
      <c r="BJ288" s="14">
        <v>0</v>
      </c>
      <c r="BK288" s="14">
        <v>1</v>
      </c>
      <c r="BL288" s="14">
        <v>1</v>
      </c>
      <c r="BM288" s="14">
        <v>0</v>
      </c>
      <c r="BN288" s="14">
        <v>0</v>
      </c>
      <c r="BO288" s="14">
        <v>1</v>
      </c>
      <c r="BP288" s="14">
        <v>0</v>
      </c>
      <c r="BQ288" s="11">
        <v>20.100014999999999</v>
      </c>
      <c r="BR288" s="11">
        <v>71.625</v>
      </c>
      <c r="BS288" s="11">
        <v>15.000161</v>
      </c>
      <c r="BT288" s="10">
        <v>63</v>
      </c>
    </row>
    <row r="289" spans="4:72">
      <c r="D289" s="10">
        <v>72</v>
      </c>
      <c r="E289" s="11">
        <v>13.087485000000001</v>
      </c>
      <c r="F289" s="11">
        <v>56.833299999999994</v>
      </c>
      <c r="G289" s="10">
        <v>72</v>
      </c>
      <c r="J289" s="103"/>
      <c r="K289" s="86"/>
      <c r="AK289" s="10" t="s">
        <v>31</v>
      </c>
      <c r="AL289" s="10">
        <f t="shared" si="41"/>
        <v>0</v>
      </c>
      <c r="AM289" s="10">
        <f t="shared" si="42"/>
        <v>0</v>
      </c>
      <c r="AN289" s="10">
        <f t="shared" si="43"/>
        <v>1</v>
      </c>
      <c r="AO289" s="10" t="s">
        <v>24</v>
      </c>
      <c r="AP289" s="10">
        <f t="shared" si="44"/>
        <v>0</v>
      </c>
      <c r="AQ289" s="10" t="s">
        <v>25</v>
      </c>
      <c r="AR289" s="10">
        <f t="shared" si="45"/>
        <v>0</v>
      </c>
      <c r="AS289" s="10" t="s">
        <v>27</v>
      </c>
      <c r="AT289" s="10">
        <f t="shared" si="50"/>
        <v>0</v>
      </c>
      <c r="AU289" s="10">
        <f t="shared" si="46"/>
        <v>0</v>
      </c>
      <c r="AV289" s="11">
        <v>19.387485000000002</v>
      </c>
      <c r="AW289" s="11">
        <v>48.333300000000001</v>
      </c>
      <c r="AX289" s="11">
        <v>17.291561000000002</v>
      </c>
      <c r="AY289" s="10">
        <v>15</v>
      </c>
      <c r="AZ289" t="s">
        <v>107</v>
      </c>
      <c r="BA289" s="17">
        <f t="shared" si="47"/>
        <v>1</v>
      </c>
      <c r="BB289" s="17">
        <f t="shared" si="48"/>
        <v>0</v>
      </c>
      <c r="BC289" s="17">
        <f t="shared" si="49"/>
        <v>0</v>
      </c>
      <c r="BG289" s="14">
        <v>0</v>
      </c>
      <c r="BH289" s="14">
        <v>0</v>
      </c>
      <c r="BI289" s="14">
        <v>1</v>
      </c>
      <c r="BJ289" s="14">
        <v>0</v>
      </c>
      <c r="BK289" s="14">
        <v>0</v>
      </c>
      <c r="BL289" s="14">
        <v>0</v>
      </c>
      <c r="BM289" s="14">
        <v>0</v>
      </c>
      <c r="BN289" s="14">
        <v>1</v>
      </c>
      <c r="BO289" s="14">
        <v>0</v>
      </c>
      <c r="BP289" s="14">
        <v>0</v>
      </c>
      <c r="BQ289" s="11">
        <v>19.387485000000002</v>
      </c>
      <c r="BR289" s="11">
        <v>48.333300000000001</v>
      </c>
      <c r="BS289" s="11">
        <v>17.291561000000002</v>
      </c>
      <c r="BT289" s="10">
        <v>15</v>
      </c>
    </row>
    <row r="290" spans="4:72">
      <c r="D290" s="10">
        <v>64</v>
      </c>
      <c r="E290" s="11">
        <v>12.375000000000002</v>
      </c>
      <c r="F290" s="11">
        <v>60.5</v>
      </c>
      <c r="G290" s="10">
        <v>64</v>
      </c>
      <c r="J290" s="103"/>
      <c r="K290" s="86"/>
      <c r="AK290" s="10" t="s">
        <v>31</v>
      </c>
      <c r="AL290" s="10">
        <f t="shared" si="41"/>
        <v>0</v>
      </c>
      <c r="AM290" s="10">
        <f t="shared" si="42"/>
        <v>0</v>
      </c>
      <c r="AN290" s="10">
        <f t="shared" si="43"/>
        <v>1</v>
      </c>
      <c r="AO290" s="10" t="s">
        <v>24</v>
      </c>
      <c r="AP290" s="10">
        <f t="shared" si="44"/>
        <v>0</v>
      </c>
      <c r="AQ290" s="10" t="s">
        <v>25</v>
      </c>
      <c r="AR290" s="10">
        <f t="shared" si="45"/>
        <v>0</v>
      </c>
      <c r="AS290" s="10" t="s">
        <v>27</v>
      </c>
      <c r="AT290" s="10">
        <f t="shared" si="50"/>
        <v>0</v>
      </c>
      <c r="AU290" s="10">
        <f t="shared" si="46"/>
        <v>0</v>
      </c>
      <c r="AV290" s="11">
        <v>20.550014999999998</v>
      </c>
      <c r="AW290" s="11">
        <v>48.666699999999999</v>
      </c>
      <c r="AX290" s="11">
        <v>18.875039000000001</v>
      </c>
      <c r="AY290" s="10">
        <v>75</v>
      </c>
      <c r="AZ290" t="s">
        <v>104</v>
      </c>
      <c r="BA290" s="17">
        <f t="shared" si="47"/>
        <v>0</v>
      </c>
      <c r="BB290" s="17">
        <f t="shared" si="48"/>
        <v>0</v>
      </c>
      <c r="BC290" s="17">
        <f t="shared" si="49"/>
        <v>0</v>
      </c>
      <c r="BG290" s="14">
        <v>0</v>
      </c>
      <c r="BH290" s="14">
        <v>0</v>
      </c>
      <c r="BI290" s="14">
        <v>1</v>
      </c>
      <c r="BJ290" s="14">
        <v>0</v>
      </c>
      <c r="BK290" s="14">
        <v>0</v>
      </c>
      <c r="BL290" s="14">
        <v>0</v>
      </c>
      <c r="BM290" s="14">
        <v>0</v>
      </c>
      <c r="BN290" s="14">
        <v>0</v>
      </c>
      <c r="BO290" s="14">
        <v>0</v>
      </c>
      <c r="BP290" s="14">
        <v>0</v>
      </c>
      <c r="BQ290" s="11">
        <v>20.550014999999998</v>
      </c>
      <c r="BR290" s="11">
        <v>48.666699999999999</v>
      </c>
      <c r="BS290" s="11">
        <v>18.875039000000001</v>
      </c>
      <c r="BT290" s="10">
        <v>75</v>
      </c>
    </row>
    <row r="291" spans="4:72">
      <c r="D291" s="10">
        <v>55</v>
      </c>
      <c r="E291" s="11">
        <v>9.9374850000000006</v>
      </c>
      <c r="F291" s="11">
        <v>65.458300000000008</v>
      </c>
      <c r="G291" s="10">
        <v>55</v>
      </c>
      <c r="J291" s="103"/>
      <c r="K291" s="86"/>
      <c r="AK291" s="10" t="s">
        <v>31</v>
      </c>
      <c r="AL291" s="10">
        <f t="shared" si="41"/>
        <v>0</v>
      </c>
      <c r="AM291" s="10">
        <f t="shared" si="42"/>
        <v>0</v>
      </c>
      <c r="AN291" s="10">
        <f t="shared" si="43"/>
        <v>1</v>
      </c>
      <c r="AO291" s="10" t="s">
        <v>24</v>
      </c>
      <c r="AP291" s="10">
        <f t="shared" si="44"/>
        <v>0</v>
      </c>
      <c r="AQ291" s="10" t="s">
        <v>11</v>
      </c>
      <c r="AR291" s="10">
        <f t="shared" si="45"/>
        <v>1</v>
      </c>
      <c r="AS291" s="10" t="s">
        <v>27</v>
      </c>
      <c r="AT291" s="10">
        <f t="shared" si="50"/>
        <v>0</v>
      </c>
      <c r="AU291" s="10">
        <f t="shared" si="46"/>
        <v>0</v>
      </c>
      <c r="AV291" s="11">
        <v>23.062499999999996</v>
      </c>
      <c r="AW291" s="11">
        <v>57.958299999999994</v>
      </c>
      <c r="AX291" s="11">
        <v>11.750393000000001</v>
      </c>
      <c r="AY291" s="10">
        <v>68</v>
      </c>
      <c r="AZ291" t="s">
        <v>106</v>
      </c>
      <c r="BA291" s="17">
        <f t="shared" si="47"/>
        <v>0</v>
      </c>
      <c r="BB291" s="17">
        <f t="shared" si="48"/>
        <v>1</v>
      </c>
      <c r="BC291" s="17">
        <f t="shared" si="49"/>
        <v>0</v>
      </c>
      <c r="BG291" s="14">
        <v>0</v>
      </c>
      <c r="BH291" s="14">
        <v>0</v>
      </c>
      <c r="BI291" s="14">
        <v>1</v>
      </c>
      <c r="BJ291" s="14">
        <v>0</v>
      </c>
      <c r="BK291" s="14">
        <v>1</v>
      </c>
      <c r="BL291" s="14">
        <v>0</v>
      </c>
      <c r="BM291" s="14">
        <v>0</v>
      </c>
      <c r="BN291" s="14">
        <v>0</v>
      </c>
      <c r="BO291" s="14">
        <v>1</v>
      </c>
      <c r="BP291" s="14">
        <v>0</v>
      </c>
      <c r="BQ291" s="11">
        <v>23.062499999999996</v>
      </c>
      <c r="BR291" s="11">
        <v>57.958299999999994</v>
      </c>
      <c r="BS291" s="11">
        <v>11.750393000000001</v>
      </c>
      <c r="BT291" s="10">
        <v>68</v>
      </c>
    </row>
    <row r="292" spans="4:72">
      <c r="D292" s="10">
        <v>66</v>
      </c>
      <c r="E292" s="11">
        <v>10.724985</v>
      </c>
      <c r="F292" s="11">
        <v>74.791700000000006</v>
      </c>
      <c r="G292" s="10">
        <v>66</v>
      </c>
      <c r="J292" s="103"/>
      <c r="K292" s="86"/>
      <c r="AK292" s="10" t="s">
        <v>31</v>
      </c>
      <c r="AL292" s="10">
        <f t="shared" si="41"/>
        <v>0</v>
      </c>
      <c r="AM292" s="10">
        <f t="shared" si="42"/>
        <v>0</v>
      </c>
      <c r="AN292" s="10">
        <f t="shared" si="43"/>
        <v>1</v>
      </c>
      <c r="AO292" s="10" t="s">
        <v>24</v>
      </c>
      <c r="AP292" s="10">
        <f t="shared" si="44"/>
        <v>0</v>
      </c>
      <c r="AQ292" s="10" t="s">
        <v>11</v>
      </c>
      <c r="AR292" s="10">
        <f t="shared" si="45"/>
        <v>1</v>
      </c>
      <c r="AS292" s="10" t="s">
        <v>26</v>
      </c>
      <c r="AT292" s="10">
        <f t="shared" si="50"/>
        <v>1</v>
      </c>
      <c r="AU292" s="10">
        <f t="shared" si="46"/>
        <v>0</v>
      </c>
      <c r="AV292" s="11">
        <v>22.762484999999998</v>
      </c>
      <c r="AW292" s="11">
        <v>70.166700000000006</v>
      </c>
      <c r="AX292" s="11">
        <v>7.3758290000000004</v>
      </c>
      <c r="AY292" s="10">
        <v>64</v>
      </c>
      <c r="AZ292" t="s">
        <v>106</v>
      </c>
      <c r="BA292" s="17">
        <f t="shared" si="47"/>
        <v>0</v>
      </c>
      <c r="BB292" s="17">
        <f t="shared" si="48"/>
        <v>1</v>
      </c>
      <c r="BC292" s="17">
        <f t="shared" si="49"/>
        <v>0</v>
      </c>
      <c r="BG292" s="14">
        <v>0</v>
      </c>
      <c r="BH292" s="14">
        <v>0</v>
      </c>
      <c r="BI292" s="14">
        <v>1</v>
      </c>
      <c r="BJ292" s="14">
        <v>0</v>
      </c>
      <c r="BK292" s="14">
        <v>1</v>
      </c>
      <c r="BL292" s="14">
        <v>1</v>
      </c>
      <c r="BM292" s="14">
        <v>0</v>
      </c>
      <c r="BN292" s="14">
        <v>0</v>
      </c>
      <c r="BO292" s="14">
        <v>1</v>
      </c>
      <c r="BP292" s="14">
        <v>0</v>
      </c>
      <c r="BQ292" s="11">
        <v>22.762484999999998</v>
      </c>
      <c r="BR292" s="11">
        <v>70.166700000000006</v>
      </c>
      <c r="BS292" s="11">
        <v>7.3758290000000004</v>
      </c>
      <c r="BT292" s="10">
        <v>64</v>
      </c>
    </row>
    <row r="293" spans="4:72">
      <c r="D293" s="10">
        <v>70</v>
      </c>
      <c r="E293" s="11">
        <v>12.712499999999999</v>
      </c>
      <c r="F293" s="11">
        <v>49.458300000000001</v>
      </c>
      <c r="G293" s="10">
        <v>70</v>
      </c>
      <c r="J293" s="103"/>
      <c r="K293" s="86"/>
      <c r="AK293" s="10" t="s">
        <v>31</v>
      </c>
      <c r="AL293" s="10">
        <f t="shared" si="41"/>
        <v>0</v>
      </c>
      <c r="AM293" s="10">
        <f t="shared" si="42"/>
        <v>0</v>
      </c>
      <c r="AN293" s="10">
        <f t="shared" si="43"/>
        <v>1</v>
      </c>
      <c r="AO293" s="10" t="s">
        <v>24</v>
      </c>
      <c r="AP293" s="10">
        <f t="shared" si="44"/>
        <v>0</v>
      </c>
      <c r="AQ293" s="10" t="s">
        <v>11</v>
      </c>
      <c r="AR293" s="10">
        <f t="shared" si="45"/>
        <v>1</v>
      </c>
      <c r="AS293" s="10" t="s">
        <v>28</v>
      </c>
      <c r="AT293" s="10">
        <f t="shared" si="50"/>
        <v>0</v>
      </c>
      <c r="AU293" s="10">
        <f t="shared" si="46"/>
        <v>1</v>
      </c>
      <c r="AV293" s="11">
        <v>26.774999999999999</v>
      </c>
      <c r="AW293" s="11">
        <v>89.52170000000001</v>
      </c>
      <c r="AX293" s="11">
        <v>16.303712999999998</v>
      </c>
      <c r="AY293" s="10">
        <v>79</v>
      </c>
      <c r="AZ293" t="s">
        <v>104</v>
      </c>
      <c r="BA293" s="17">
        <f t="shared" si="47"/>
        <v>0</v>
      </c>
      <c r="BB293" s="17">
        <f t="shared" si="48"/>
        <v>0</v>
      </c>
      <c r="BC293" s="17">
        <f t="shared" si="49"/>
        <v>0</v>
      </c>
      <c r="BG293" s="14">
        <v>0</v>
      </c>
      <c r="BH293" s="14">
        <v>0</v>
      </c>
      <c r="BI293" s="14">
        <v>1</v>
      </c>
      <c r="BJ293" s="14">
        <v>0</v>
      </c>
      <c r="BK293" s="14">
        <v>1</v>
      </c>
      <c r="BL293" s="14">
        <v>0</v>
      </c>
      <c r="BM293" s="14">
        <v>1</v>
      </c>
      <c r="BN293" s="14">
        <v>0</v>
      </c>
      <c r="BO293" s="14">
        <v>0</v>
      </c>
      <c r="BP293" s="14">
        <v>0</v>
      </c>
      <c r="BQ293" s="11">
        <v>26.774999999999999</v>
      </c>
      <c r="BR293" s="11">
        <v>89.52170000000001</v>
      </c>
      <c r="BS293" s="11">
        <v>16.303712999999998</v>
      </c>
      <c r="BT293" s="10">
        <v>79</v>
      </c>
    </row>
    <row r="294" spans="4:72">
      <c r="D294" s="10">
        <v>75</v>
      </c>
      <c r="E294" s="11">
        <v>14.2875</v>
      </c>
      <c r="F294" s="11">
        <v>50.708299999999994</v>
      </c>
      <c r="G294" s="10">
        <v>75</v>
      </c>
      <c r="J294" s="103"/>
      <c r="K294" s="86"/>
      <c r="AK294" s="10" t="s">
        <v>31</v>
      </c>
      <c r="AL294" s="10">
        <f t="shared" si="41"/>
        <v>0</v>
      </c>
      <c r="AM294" s="10">
        <f t="shared" si="42"/>
        <v>0</v>
      </c>
      <c r="AN294" s="10">
        <f t="shared" si="43"/>
        <v>1</v>
      </c>
      <c r="AO294" s="10" t="s">
        <v>24</v>
      </c>
      <c r="AP294" s="10">
        <f t="shared" si="44"/>
        <v>0</v>
      </c>
      <c r="AQ294" s="10" t="s">
        <v>11</v>
      </c>
      <c r="AR294" s="10">
        <f t="shared" si="45"/>
        <v>1</v>
      </c>
      <c r="AS294" s="10" t="s">
        <v>27</v>
      </c>
      <c r="AT294" s="10">
        <f t="shared" si="50"/>
        <v>0</v>
      </c>
      <c r="AU294" s="10">
        <f t="shared" si="46"/>
        <v>0</v>
      </c>
      <c r="AV294" s="11">
        <v>20.662514999999999</v>
      </c>
      <c r="AW294" s="11">
        <v>63.625</v>
      </c>
      <c r="AX294" s="11">
        <v>28.292425000000001</v>
      </c>
      <c r="AY294" s="10">
        <v>84</v>
      </c>
      <c r="AZ294" t="s">
        <v>104</v>
      </c>
      <c r="BA294" s="17">
        <f t="shared" si="47"/>
        <v>0</v>
      </c>
      <c r="BB294" s="17">
        <f t="shared" si="48"/>
        <v>0</v>
      </c>
      <c r="BC294" s="17">
        <f t="shared" si="49"/>
        <v>0</v>
      </c>
      <c r="BG294" s="14">
        <v>0</v>
      </c>
      <c r="BH294" s="14">
        <v>0</v>
      </c>
      <c r="BI294" s="14">
        <v>1</v>
      </c>
      <c r="BJ294" s="14">
        <v>0</v>
      </c>
      <c r="BK294" s="14">
        <v>1</v>
      </c>
      <c r="BL294" s="14">
        <v>0</v>
      </c>
      <c r="BM294" s="14">
        <v>0</v>
      </c>
      <c r="BN294" s="14">
        <v>0</v>
      </c>
      <c r="BO294" s="14">
        <v>0</v>
      </c>
      <c r="BP294" s="14">
        <v>0</v>
      </c>
      <c r="BQ294" s="11">
        <v>20.662514999999999</v>
      </c>
      <c r="BR294" s="11">
        <v>63.625</v>
      </c>
      <c r="BS294" s="11">
        <v>28.292425000000001</v>
      </c>
      <c r="BT294" s="10">
        <v>84</v>
      </c>
    </row>
    <row r="295" spans="4:72">
      <c r="D295" s="10">
        <v>75</v>
      </c>
      <c r="E295" s="11">
        <v>19.012499999999999</v>
      </c>
      <c r="F295" s="11">
        <v>47.166699999999999</v>
      </c>
      <c r="G295" s="10">
        <v>75</v>
      </c>
      <c r="J295" s="103"/>
      <c r="K295" s="86"/>
      <c r="AK295" s="10" t="s">
        <v>31</v>
      </c>
      <c r="AL295" s="10">
        <f t="shared" si="41"/>
        <v>0</v>
      </c>
      <c r="AM295" s="10">
        <f t="shared" si="42"/>
        <v>0</v>
      </c>
      <c r="AN295" s="10">
        <f t="shared" si="43"/>
        <v>1</v>
      </c>
      <c r="AO295" s="10" t="s">
        <v>24</v>
      </c>
      <c r="AP295" s="10">
        <f t="shared" si="44"/>
        <v>0</v>
      </c>
      <c r="AQ295" s="10" t="s">
        <v>11</v>
      </c>
      <c r="AR295" s="10">
        <f t="shared" si="45"/>
        <v>1</v>
      </c>
      <c r="AS295" s="10" t="s">
        <v>27</v>
      </c>
      <c r="AT295" s="10">
        <f t="shared" si="50"/>
        <v>0</v>
      </c>
      <c r="AU295" s="10">
        <f t="shared" si="46"/>
        <v>0</v>
      </c>
      <c r="AV295" s="11">
        <v>15.150015</v>
      </c>
      <c r="AW295" s="11">
        <v>57.416699999999999</v>
      </c>
      <c r="AX295" s="11">
        <v>14.833532</v>
      </c>
      <c r="AY295" s="10">
        <v>34</v>
      </c>
      <c r="AZ295" t="s">
        <v>107</v>
      </c>
      <c r="BA295" s="17">
        <f t="shared" si="47"/>
        <v>1</v>
      </c>
      <c r="BB295" s="17">
        <f t="shared" si="48"/>
        <v>0</v>
      </c>
      <c r="BC295" s="17">
        <f t="shared" si="49"/>
        <v>0</v>
      </c>
      <c r="BG295" s="14">
        <v>0</v>
      </c>
      <c r="BH295" s="14">
        <v>0</v>
      </c>
      <c r="BI295" s="14">
        <v>1</v>
      </c>
      <c r="BJ295" s="14">
        <v>0</v>
      </c>
      <c r="BK295" s="14">
        <v>1</v>
      </c>
      <c r="BL295" s="14">
        <v>0</v>
      </c>
      <c r="BM295" s="14">
        <v>0</v>
      </c>
      <c r="BN295" s="14">
        <v>1</v>
      </c>
      <c r="BO295" s="14">
        <v>0</v>
      </c>
      <c r="BP295" s="14">
        <v>0</v>
      </c>
      <c r="BQ295" s="11">
        <v>15.150015</v>
      </c>
      <c r="BR295" s="11">
        <v>57.416699999999999</v>
      </c>
      <c r="BS295" s="11">
        <v>14.833532</v>
      </c>
      <c r="BT295" s="10">
        <v>34</v>
      </c>
    </row>
    <row r="296" spans="4:72">
      <c r="D296" s="10">
        <v>72</v>
      </c>
      <c r="E296" s="11">
        <v>16.875</v>
      </c>
      <c r="F296" s="11">
        <v>68.833299999999994</v>
      </c>
      <c r="G296" s="10">
        <v>72</v>
      </c>
      <c r="J296" s="103"/>
      <c r="K296" s="86"/>
      <c r="AK296" s="10" t="s">
        <v>31</v>
      </c>
      <c r="AL296" s="10">
        <f t="shared" si="41"/>
        <v>0</v>
      </c>
      <c r="AM296" s="10">
        <f t="shared" si="42"/>
        <v>0</v>
      </c>
      <c r="AN296" s="10">
        <f t="shared" si="43"/>
        <v>1</v>
      </c>
      <c r="AO296" s="10" t="s">
        <v>24</v>
      </c>
      <c r="AP296" s="10">
        <f t="shared" si="44"/>
        <v>0</v>
      </c>
      <c r="AQ296" s="10" t="s">
        <v>25</v>
      </c>
      <c r="AR296" s="10">
        <f t="shared" si="45"/>
        <v>0</v>
      </c>
      <c r="AS296" s="10" t="s">
        <v>27</v>
      </c>
      <c r="AT296" s="10">
        <f t="shared" si="50"/>
        <v>0</v>
      </c>
      <c r="AU296" s="10">
        <f t="shared" si="46"/>
        <v>0</v>
      </c>
      <c r="AV296" s="11">
        <v>20.7</v>
      </c>
      <c r="AW296" s="11">
        <v>62.916700000000006</v>
      </c>
      <c r="AX296" s="11">
        <v>6.2086689000000002</v>
      </c>
      <c r="AY296" s="10">
        <v>80</v>
      </c>
      <c r="AZ296" t="s">
        <v>104</v>
      </c>
      <c r="BA296" s="17">
        <f t="shared" si="47"/>
        <v>0</v>
      </c>
      <c r="BB296" s="17">
        <f t="shared" si="48"/>
        <v>0</v>
      </c>
      <c r="BC296" s="17">
        <f t="shared" si="49"/>
        <v>0</v>
      </c>
      <c r="BG296" s="14">
        <v>0</v>
      </c>
      <c r="BH296" s="14">
        <v>0</v>
      </c>
      <c r="BI296" s="14">
        <v>1</v>
      </c>
      <c r="BJ296" s="14">
        <v>0</v>
      </c>
      <c r="BK296" s="14">
        <v>0</v>
      </c>
      <c r="BL296" s="14">
        <v>0</v>
      </c>
      <c r="BM296" s="14">
        <v>0</v>
      </c>
      <c r="BN296" s="14">
        <v>0</v>
      </c>
      <c r="BO296" s="14">
        <v>0</v>
      </c>
      <c r="BP296" s="14">
        <v>0</v>
      </c>
      <c r="BQ296" s="11">
        <v>20.7</v>
      </c>
      <c r="BR296" s="11">
        <v>62.916700000000006</v>
      </c>
      <c r="BS296" s="11">
        <v>6.2086689000000002</v>
      </c>
      <c r="BT296" s="10">
        <v>80</v>
      </c>
    </row>
    <row r="297" spans="4:72">
      <c r="D297" s="10">
        <v>55</v>
      </c>
      <c r="E297" s="11">
        <v>11.624984999999999</v>
      </c>
      <c r="F297" s="11">
        <v>73.583299999999994</v>
      </c>
      <c r="G297" s="10">
        <v>55</v>
      </c>
      <c r="J297" s="103"/>
      <c r="K297" s="86"/>
      <c r="AK297" s="10" t="s">
        <v>31</v>
      </c>
      <c r="AL297" s="10">
        <f t="shared" si="41"/>
        <v>0</v>
      </c>
      <c r="AM297" s="10">
        <f t="shared" si="42"/>
        <v>0</v>
      </c>
      <c r="AN297" s="10">
        <f t="shared" si="43"/>
        <v>1</v>
      </c>
      <c r="AO297" s="10" t="s">
        <v>24</v>
      </c>
      <c r="AP297" s="10">
        <f t="shared" si="44"/>
        <v>0</v>
      </c>
      <c r="AQ297" s="10" t="s">
        <v>25</v>
      </c>
      <c r="AR297" s="10">
        <f t="shared" si="45"/>
        <v>0</v>
      </c>
      <c r="AS297" s="10" t="s">
        <v>27</v>
      </c>
      <c r="AT297" s="10">
        <f t="shared" si="50"/>
        <v>0</v>
      </c>
      <c r="AU297" s="10">
        <f t="shared" si="46"/>
        <v>0</v>
      </c>
      <c r="AV297" s="11">
        <v>26.175015000000002</v>
      </c>
      <c r="AW297" s="11">
        <v>74.125</v>
      </c>
      <c r="AX297" s="11">
        <v>6.6673375000000004</v>
      </c>
      <c r="AY297" s="10">
        <v>84</v>
      </c>
      <c r="AZ297" t="s">
        <v>104</v>
      </c>
      <c r="BA297" s="17">
        <f t="shared" si="47"/>
        <v>0</v>
      </c>
      <c r="BB297" s="17">
        <f t="shared" si="48"/>
        <v>0</v>
      </c>
      <c r="BC297" s="17">
        <f t="shared" si="49"/>
        <v>0</v>
      </c>
      <c r="BG297" s="14">
        <v>0</v>
      </c>
      <c r="BH297" s="14">
        <v>0</v>
      </c>
      <c r="BI297" s="14">
        <v>1</v>
      </c>
      <c r="BJ297" s="14">
        <v>0</v>
      </c>
      <c r="BK297" s="14">
        <v>0</v>
      </c>
      <c r="BL297" s="14">
        <v>0</v>
      </c>
      <c r="BM297" s="14">
        <v>0</v>
      </c>
      <c r="BN297" s="14">
        <v>0</v>
      </c>
      <c r="BO297" s="14">
        <v>0</v>
      </c>
      <c r="BP297" s="14">
        <v>0</v>
      </c>
      <c r="BQ297" s="11">
        <v>26.175015000000002</v>
      </c>
      <c r="BR297" s="11">
        <v>74.125</v>
      </c>
      <c r="BS297" s="11">
        <v>6.6673375000000004</v>
      </c>
      <c r="BT297" s="10">
        <v>84</v>
      </c>
    </row>
    <row r="298" spans="4:72">
      <c r="D298" s="10">
        <v>48</v>
      </c>
      <c r="E298" s="11">
        <v>10.724985</v>
      </c>
      <c r="F298" s="11">
        <v>67.041700000000006</v>
      </c>
      <c r="G298" s="10">
        <v>48</v>
      </c>
      <c r="J298" s="103"/>
      <c r="K298" s="86"/>
      <c r="AK298" s="10" t="s">
        <v>31</v>
      </c>
      <c r="AL298" s="10">
        <f t="shared" si="41"/>
        <v>0</v>
      </c>
      <c r="AM298" s="10">
        <f t="shared" si="42"/>
        <v>0</v>
      </c>
      <c r="AN298" s="10">
        <f t="shared" si="43"/>
        <v>1</v>
      </c>
      <c r="AO298" s="10" t="s">
        <v>24</v>
      </c>
      <c r="AP298" s="10">
        <f t="shared" si="44"/>
        <v>0</v>
      </c>
      <c r="AQ298" s="10" t="s">
        <v>11</v>
      </c>
      <c r="AR298" s="10">
        <f t="shared" si="45"/>
        <v>1</v>
      </c>
      <c r="AS298" s="10" t="s">
        <v>27</v>
      </c>
      <c r="AT298" s="10">
        <f t="shared" si="50"/>
        <v>0</v>
      </c>
      <c r="AU298" s="10">
        <f t="shared" si="46"/>
        <v>0</v>
      </c>
      <c r="AV298" s="11">
        <v>27.300014999999998</v>
      </c>
      <c r="AW298" s="11">
        <v>77.208299999999994</v>
      </c>
      <c r="AX298" s="11">
        <v>7.9590639999999997</v>
      </c>
      <c r="AY298" s="10">
        <v>81</v>
      </c>
      <c r="AZ298" t="s">
        <v>104</v>
      </c>
      <c r="BA298" s="17">
        <f t="shared" si="47"/>
        <v>0</v>
      </c>
      <c r="BB298" s="17">
        <f t="shared" si="48"/>
        <v>0</v>
      </c>
      <c r="BC298" s="17">
        <f t="shared" si="49"/>
        <v>0</v>
      </c>
      <c r="BG298" s="14">
        <v>0</v>
      </c>
      <c r="BH298" s="14">
        <v>0</v>
      </c>
      <c r="BI298" s="14">
        <v>1</v>
      </c>
      <c r="BJ298" s="14">
        <v>0</v>
      </c>
      <c r="BK298" s="14">
        <v>1</v>
      </c>
      <c r="BL298" s="14">
        <v>0</v>
      </c>
      <c r="BM298" s="14">
        <v>0</v>
      </c>
      <c r="BN298" s="14">
        <v>0</v>
      </c>
      <c r="BO298" s="14">
        <v>0</v>
      </c>
      <c r="BP298" s="14">
        <v>0</v>
      </c>
      <c r="BQ298" s="11">
        <v>27.300014999999998</v>
      </c>
      <c r="BR298" s="11">
        <v>77.208299999999994</v>
      </c>
      <c r="BS298" s="11">
        <v>7.9590639999999997</v>
      </c>
      <c r="BT298" s="10">
        <v>81</v>
      </c>
    </row>
    <row r="299" spans="4:72">
      <c r="D299" s="10">
        <v>68</v>
      </c>
      <c r="E299" s="11">
        <v>12.450015</v>
      </c>
      <c r="F299" s="11">
        <v>66.666700000000006</v>
      </c>
      <c r="G299" s="10">
        <v>68</v>
      </c>
      <c r="J299" s="103"/>
      <c r="K299" s="86"/>
      <c r="AK299" s="10" t="s">
        <v>31</v>
      </c>
      <c r="AL299" s="10">
        <f t="shared" si="41"/>
        <v>0</v>
      </c>
      <c r="AM299" s="10">
        <f t="shared" si="42"/>
        <v>0</v>
      </c>
      <c r="AN299" s="10">
        <f t="shared" si="43"/>
        <v>1</v>
      </c>
      <c r="AO299" s="10" t="s">
        <v>24</v>
      </c>
      <c r="AP299" s="10">
        <f t="shared" si="44"/>
        <v>0</v>
      </c>
      <c r="AQ299" s="10" t="s">
        <v>11</v>
      </c>
      <c r="AR299" s="10">
        <f t="shared" si="45"/>
        <v>1</v>
      </c>
      <c r="AS299" s="10" t="s">
        <v>27</v>
      </c>
      <c r="AT299" s="10">
        <f t="shared" si="50"/>
        <v>0</v>
      </c>
      <c r="AU299" s="10">
        <f t="shared" si="46"/>
        <v>0</v>
      </c>
      <c r="AV299" s="11">
        <v>28.425014999999998</v>
      </c>
      <c r="AW299" s="11">
        <v>62.291700000000006</v>
      </c>
      <c r="AX299" s="11">
        <v>11.166086</v>
      </c>
      <c r="AY299" s="10">
        <v>88</v>
      </c>
      <c r="AZ299" t="s">
        <v>104</v>
      </c>
      <c r="BA299" s="17">
        <f t="shared" si="47"/>
        <v>0</v>
      </c>
      <c r="BB299" s="17">
        <f t="shared" si="48"/>
        <v>0</v>
      </c>
      <c r="BC299" s="17">
        <f t="shared" si="49"/>
        <v>0</v>
      </c>
      <c r="BG299" s="14">
        <v>0</v>
      </c>
      <c r="BH299" s="14">
        <v>0</v>
      </c>
      <c r="BI299" s="14">
        <v>1</v>
      </c>
      <c r="BJ299" s="14">
        <v>0</v>
      </c>
      <c r="BK299" s="14">
        <v>1</v>
      </c>
      <c r="BL299" s="14">
        <v>0</v>
      </c>
      <c r="BM299" s="14">
        <v>0</v>
      </c>
      <c r="BN299" s="14">
        <v>0</v>
      </c>
      <c r="BO299" s="14">
        <v>0</v>
      </c>
      <c r="BP299" s="14">
        <v>0</v>
      </c>
      <c r="BQ299" s="11">
        <v>28.425014999999998</v>
      </c>
      <c r="BR299" s="11">
        <v>62.291700000000006</v>
      </c>
      <c r="BS299" s="11">
        <v>11.166086</v>
      </c>
      <c r="BT299" s="10">
        <v>88</v>
      </c>
    </row>
    <row r="300" spans="4:72">
      <c r="D300" s="10">
        <v>75</v>
      </c>
      <c r="E300" s="11">
        <v>17.362485</v>
      </c>
      <c r="F300" s="11">
        <v>74.625</v>
      </c>
      <c r="G300" s="10">
        <v>75</v>
      </c>
      <c r="J300" s="103"/>
      <c r="K300" s="86"/>
      <c r="AK300" s="10" t="s">
        <v>31</v>
      </c>
      <c r="AL300" s="10">
        <f t="shared" si="41"/>
        <v>0</v>
      </c>
      <c r="AM300" s="10">
        <f t="shared" si="42"/>
        <v>0</v>
      </c>
      <c r="AN300" s="10">
        <f t="shared" si="43"/>
        <v>1</v>
      </c>
      <c r="AO300" s="10" t="s">
        <v>24</v>
      </c>
      <c r="AP300" s="10">
        <f t="shared" si="44"/>
        <v>0</v>
      </c>
      <c r="AQ300" s="10" t="s">
        <v>11</v>
      </c>
      <c r="AR300" s="10">
        <f t="shared" si="45"/>
        <v>1</v>
      </c>
      <c r="AS300" s="10" t="s">
        <v>26</v>
      </c>
      <c r="AT300" s="10">
        <f t="shared" si="50"/>
        <v>1</v>
      </c>
      <c r="AU300" s="10">
        <f t="shared" si="46"/>
        <v>0</v>
      </c>
      <c r="AV300" s="11">
        <v>27.9</v>
      </c>
      <c r="AW300" s="11">
        <v>72.041699999999992</v>
      </c>
      <c r="AX300" s="11">
        <v>9.9590139999999998</v>
      </c>
      <c r="AY300" s="10">
        <v>78</v>
      </c>
      <c r="AZ300" t="s">
        <v>104</v>
      </c>
      <c r="BA300" s="17">
        <f t="shared" si="47"/>
        <v>0</v>
      </c>
      <c r="BB300" s="17">
        <f t="shared" si="48"/>
        <v>0</v>
      </c>
      <c r="BC300" s="17">
        <f t="shared" si="49"/>
        <v>0</v>
      </c>
      <c r="BG300" s="14">
        <v>0</v>
      </c>
      <c r="BH300" s="14">
        <v>0</v>
      </c>
      <c r="BI300" s="14">
        <v>1</v>
      </c>
      <c r="BJ300" s="14">
        <v>0</v>
      </c>
      <c r="BK300" s="14">
        <v>1</v>
      </c>
      <c r="BL300" s="14">
        <v>1</v>
      </c>
      <c r="BM300" s="14">
        <v>0</v>
      </c>
      <c r="BN300" s="14">
        <v>0</v>
      </c>
      <c r="BO300" s="14">
        <v>0</v>
      </c>
      <c r="BP300" s="14">
        <v>0</v>
      </c>
      <c r="BQ300" s="11">
        <v>27.9</v>
      </c>
      <c r="BR300" s="11">
        <v>72.041699999999992</v>
      </c>
      <c r="BS300" s="11">
        <v>9.9590139999999998</v>
      </c>
      <c r="BT300" s="10">
        <v>78</v>
      </c>
    </row>
    <row r="301" spans="4:72">
      <c r="D301" s="10">
        <v>53</v>
      </c>
      <c r="E301" s="11">
        <v>19.274985000000001</v>
      </c>
      <c r="F301" s="11">
        <v>77.041700000000006</v>
      </c>
      <c r="G301" s="10">
        <v>53</v>
      </c>
      <c r="J301" s="103"/>
      <c r="AK301" s="10" t="s">
        <v>31</v>
      </c>
      <c r="AL301" s="10">
        <f t="shared" si="41"/>
        <v>0</v>
      </c>
      <c r="AM301" s="10">
        <f t="shared" si="42"/>
        <v>0</v>
      </c>
      <c r="AN301" s="10">
        <f t="shared" si="43"/>
        <v>1</v>
      </c>
      <c r="AO301" s="10" t="s">
        <v>24</v>
      </c>
      <c r="AP301" s="10">
        <f t="shared" si="44"/>
        <v>0</v>
      </c>
      <c r="AQ301" s="10" t="s">
        <v>11</v>
      </c>
      <c r="AR301" s="10">
        <f t="shared" si="45"/>
        <v>1</v>
      </c>
      <c r="AS301" s="10" t="s">
        <v>26</v>
      </c>
      <c r="AT301" s="10">
        <f t="shared" si="50"/>
        <v>1</v>
      </c>
      <c r="AU301" s="10">
        <f t="shared" si="46"/>
        <v>0</v>
      </c>
      <c r="AV301" s="11">
        <v>27.787500000000001</v>
      </c>
      <c r="AW301" s="11">
        <v>81.291700000000006</v>
      </c>
      <c r="AX301" s="11">
        <v>13.250121</v>
      </c>
      <c r="AY301" s="10">
        <v>81</v>
      </c>
      <c r="AZ301" t="s">
        <v>104</v>
      </c>
      <c r="BA301" s="17">
        <f t="shared" si="47"/>
        <v>0</v>
      </c>
      <c r="BB301" s="17">
        <f t="shared" si="48"/>
        <v>0</v>
      </c>
      <c r="BC301" s="17">
        <f t="shared" si="49"/>
        <v>0</v>
      </c>
      <c r="BG301" s="14">
        <v>0</v>
      </c>
      <c r="BH301" s="14">
        <v>0</v>
      </c>
      <c r="BI301" s="14">
        <v>1</v>
      </c>
      <c r="BJ301" s="14">
        <v>0</v>
      </c>
      <c r="BK301" s="14">
        <v>1</v>
      </c>
      <c r="BL301" s="14">
        <v>1</v>
      </c>
      <c r="BM301" s="14">
        <v>0</v>
      </c>
      <c r="BN301" s="14">
        <v>0</v>
      </c>
      <c r="BO301" s="14">
        <v>0</v>
      </c>
      <c r="BP301" s="14">
        <v>0</v>
      </c>
      <c r="BQ301" s="11">
        <v>27.787500000000001</v>
      </c>
      <c r="BR301" s="11">
        <v>81.291700000000006</v>
      </c>
      <c r="BS301" s="11">
        <v>13.250121</v>
      </c>
      <c r="BT301" s="10">
        <v>81</v>
      </c>
    </row>
    <row r="302" spans="4:72">
      <c r="D302" s="10">
        <v>62</v>
      </c>
      <c r="E302" s="11">
        <v>19.049985</v>
      </c>
      <c r="F302" s="11">
        <v>70.75</v>
      </c>
      <c r="G302" s="10">
        <v>62</v>
      </c>
      <c r="J302" s="103"/>
      <c r="AK302" s="10" t="s">
        <v>31</v>
      </c>
      <c r="AL302" s="10">
        <f t="shared" si="41"/>
        <v>0</v>
      </c>
      <c r="AM302" s="10">
        <f t="shared" si="42"/>
        <v>0</v>
      </c>
      <c r="AN302" s="10">
        <f t="shared" si="43"/>
        <v>1</v>
      </c>
      <c r="AO302" s="10" t="s">
        <v>24</v>
      </c>
      <c r="AP302" s="10">
        <f t="shared" si="44"/>
        <v>0</v>
      </c>
      <c r="AQ302" s="10" t="s">
        <v>11</v>
      </c>
      <c r="AR302" s="10">
        <f t="shared" si="45"/>
        <v>1</v>
      </c>
      <c r="AS302" s="10" t="s">
        <v>26</v>
      </c>
      <c r="AT302" s="10">
        <f t="shared" si="50"/>
        <v>1</v>
      </c>
      <c r="AU302" s="10">
        <f t="shared" si="46"/>
        <v>0</v>
      </c>
      <c r="AV302" s="11">
        <v>22.95</v>
      </c>
      <c r="AW302" s="11">
        <v>58.583300000000008</v>
      </c>
      <c r="AX302" s="11">
        <v>15.375093</v>
      </c>
      <c r="AY302" s="10">
        <v>92</v>
      </c>
      <c r="AZ302" t="s">
        <v>104</v>
      </c>
      <c r="BA302" s="17">
        <f t="shared" si="47"/>
        <v>0</v>
      </c>
      <c r="BB302" s="17">
        <f t="shared" si="48"/>
        <v>0</v>
      </c>
      <c r="BC302" s="17">
        <f t="shared" si="49"/>
        <v>0</v>
      </c>
      <c r="BG302" s="14">
        <v>0</v>
      </c>
      <c r="BH302" s="14">
        <v>0</v>
      </c>
      <c r="BI302" s="14">
        <v>1</v>
      </c>
      <c r="BJ302" s="14">
        <v>0</v>
      </c>
      <c r="BK302" s="14">
        <v>1</v>
      </c>
      <c r="BL302" s="14">
        <v>1</v>
      </c>
      <c r="BM302" s="14">
        <v>0</v>
      </c>
      <c r="BN302" s="14">
        <v>0</v>
      </c>
      <c r="BO302" s="14">
        <v>0</v>
      </c>
      <c r="BP302" s="14">
        <v>0</v>
      </c>
      <c r="BQ302" s="11">
        <v>22.95</v>
      </c>
      <c r="BR302" s="11">
        <v>58.583300000000008</v>
      </c>
      <c r="BS302" s="11">
        <v>15.375093</v>
      </c>
      <c r="BT302" s="10">
        <v>92</v>
      </c>
    </row>
    <row r="303" spans="4:72">
      <c r="D303" s="10">
        <v>44</v>
      </c>
      <c r="E303" s="11">
        <v>16.799985</v>
      </c>
      <c r="F303" s="11">
        <v>70.333299999999994</v>
      </c>
      <c r="G303" s="10">
        <v>44</v>
      </c>
      <c r="J303" s="103"/>
      <c r="AK303" s="10" t="s">
        <v>31</v>
      </c>
      <c r="AL303" s="10">
        <f t="shared" si="41"/>
        <v>0</v>
      </c>
      <c r="AM303" s="10">
        <f t="shared" si="42"/>
        <v>0</v>
      </c>
      <c r="AN303" s="10">
        <f t="shared" si="43"/>
        <v>1</v>
      </c>
      <c r="AO303" s="10" t="s">
        <v>24</v>
      </c>
      <c r="AP303" s="10">
        <f t="shared" si="44"/>
        <v>0</v>
      </c>
      <c r="AQ303" s="10" t="s">
        <v>25</v>
      </c>
      <c r="AR303" s="10">
        <f t="shared" si="45"/>
        <v>0</v>
      </c>
      <c r="AS303" s="10" t="s">
        <v>28</v>
      </c>
      <c r="AT303" s="10">
        <f t="shared" si="50"/>
        <v>0</v>
      </c>
      <c r="AU303" s="10">
        <f t="shared" si="46"/>
        <v>1</v>
      </c>
      <c r="AV303" s="11">
        <v>21.262499999999999</v>
      </c>
      <c r="AW303" s="11">
        <v>88.25</v>
      </c>
      <c r="AX303" s="11">
        <v>23.541857</v>
      </c>
      <c r="AY303" s="10">
        <v>106</v>
      </c>
      <c r="AZ303" t="s">
        <v>105</v>
      </c>
      <c r="BA303" s="17">
        <f t="shared" si="47"/>
        <v>0</v>
      </c>
      <c r="BB303" s="17">
        <f t="shared" si="48"/>
        <v>0</v>
      </c>
      <c r="BC303" s="17">
        <f t="shared" si="49"/>
        <v>1</v>
      </c>
      <c r="BG303" s="14">
        <v>0</v>
      </c>
      <c r="BH303" s="14">
        <v>0</v>
      </c>
      <c r="BI303" s="14">
        <v>1</v>
      </c>
      <c r="BJ303" s="14">
        <v>0</v>
      </c>
      <c r="BK303" s="14">
        <v>0</v>
      </c>
      <c r="BL303" s="14">
        <v>0</v>
      </c>
      <c r="BM303" s="14">
        <v>1</v>
      </c>
      <c r="BN303" s="14">
        <v>0</v>
      </c>
      <c r="BO303" s="14">
        <v>0</v>
      </c>
      <c r="BP303" s="14">
        <v>1</v>
      </c>
      <c r="BQ303" s="11">
        <v>21.262499999999999</v>
      </c>
      <c r="BR303" s="11">
        <v>88.25</v>
      </c>
      <c r="BS303" s="11">
        <v>23.541857</v>
      </c>
      <c r="BT303" s="10">
        <v>106</v>
      </c>
    </row>
    <row r="304" spans="4:72">
      <c r="D304" s="10">
        <v>20</v>
      </c>
      <c r="E304" s="11">
        <v>13.612499999999999</v>
      </c>
      <c r="F304" s="11">
        <v>57.333300000000001</v>
      </c>
      <c r="G304" s="10">
        <v>20</v>
      </c>
      <c r="J304" s="103"/>
      <c r="AK304" s="10" t="s">
        <v>31</v>
      </c>
      <c r="AL304" s="10">
        <f t="shared" si="41"/>
        <v>0</v>
      </c>
      <c r="AM304" s="10">
        <f t="shared" si="42"/>
        <v>0</v>
      </c>
      <c r="AN304" s="10">
        <f t="shared" si="43"/>
        <v>1</v>
      </c>
      <c r="AO304" s="10" t="s">
        <v>24</v>
      </c>
      <c r="AP304" s="10">
        <f t="shared" si="44"/>
        <v>0</v>
      </c>
      <c r="AQ304" s="10" t="s">
        <v>25</v>
      </c>
      <c r="AR304" s="10">
        <f t="shared" si="45"/>
        <v>0</v>
      </c>
      <c r="AS304" s="10" t="s">
        <v>27</v>
      </c>
      <c r="AT304" s="10">
        <f t="shared" si="50"/>
        <v>0</v>
      </c>
      <c r="AU304" s="10">
        <f t="shared" si="46"/>
        <v>0</v>
      </c>
      <c r="AV304" s="11">
        <v>20.325015</v>
      </c>
      <c r="AW304" s="11">
        <v>62.375</v>
      </c>
      <c r="AX304" s="11">
        <v>11.833339</v>
      </c>
      <c r="AY304" s="10">
        <v>67</v>
      </c>
      <c r="AZ304" t="s">
        <v>106</v>
      </c>
      <c r="BA304" s="17">
        <f t="shared" si="47"/>
        <v>0</v>
      </c>
      <c r="BB304" s="17">
        <f t="shared" si="48"/>
        <v>1</v>
      </c>
      <c r="BC304" s="17">
        <f t="shared" si="49"/>
        <v>0</v>
      </c>
      <c r="BG304" s="14">
        <v>0</v>
      </c>
      <c r="BH304" s="14">
        <v>0</v>
      </c>
      <c r="BI304" s="14">
        <v>1</v>
      </c>
      <c r="BJ304" s="14">
        <v>0</v>
      </c>
      <c r="BK304" s="14">
        <v>0</v>
      </c>
      <c r="BL304" s="14">
        <v>0</v>
      </c>
      <c r="BM304" s="14">
        <v>0</v>
      </c>
      <c r="BN304" s="14">
        <v>0</v>
      </c>
      <c r="BO304" s="14">
        <v>1</v>
      </c>
      <c r="BP304" s="14">
        <v>0</v>
      </c>
      <c r="BQ304" s="11">
        <v>20.325015</v>
      </c>
      <c r="BR304" s="11">
        <v>62.375</v>
      </c>
      <c r="BS304" s="11">
        <v>11.833339</v>
      </c>
      <c r="BT304" s="10">
        <v>67</v>
      </c>
    </row>
    <row r="305" spans="4:72">
      <c r="D305" s="10">
        <v>15</v>
      </c>
      <c r="E305" s="11">
        <v>12.365235</v>
      </c>
      <c r="F305" s="11">
        <v>48.333300000000001</v>
      </c>
      <c r="G305" s="10">
        <v>15</v>
      </c>
      <c r="J305" s="103"/>
      <c r="AK305" s="10" t="s">
        <v>31</v>
      </c>
      <c r="AL305" s="10">
        <f t="shared" si="41"/>
        <v>0</v>
      </c>
      <c r="AM305" s="10">
        <f t="shared" si="42"/>
        <v>0</v>
      </c>
      <c r="AN305" s="10">
        <f t="shared" si="43"/>
        <v>1</v>
      </c>
      <c r="AO305" s="10" t="s">
        <v>24</v>
      </c>
      <c r="AP305" s="10">
        <f t="shared" si="44"/>
        <v>0</v>
      </c>
      <c r="AQ305" s="10" t="s">
        <v>11</v>
      </c>
      <c r="AR305" s="10">
        <f t="shared" si="45"/>
        <v>1</v>
      </c>
      <c r="AS305" s="10" t="s">
        <v>27</v>
      </c>
      <c r="AT305" s="10">
        <f t="shared" si="50"/>
        <v>0</v>
      </c>
      <c r="AU305" s="10">
        <f t="shared" si="46"/>
        <v>0</v>
      </c>
      <c r="AV305" s="11">
        <v>24.712515</v>
      </c>
      <c r="AW305" s="11">
        <v>70.333299999999994</v>
      </c>
      <c r="AX305" s="11">
        <v>7.1254499999999998</v>
      </c>
      <c r="AY305" s="10">
        <v>88</v>
      </c>
      <c r="AZ305" t="s">
        <v>104</v>
      </c>
      <c r="BA305" s="17">
        <f t="shared" si="47"/>
        <v>0</v>
      </c>
      <c r="BB305" s="17">
        <f t="shared" si="48"/>
        <v>0</v>
      </c>
      <c r="BC305" s="17">
        <f t="shared" si="49"/>
        <v>0</v>
      </c>
      <c r="BG305" s="14">
        <v>0</v>
      </c>
      <c r="BH305" s="14">
        <v>0</v>
      </c>
      <c r="BI305" s="14">
        <v>1</v>
      </c>
      <c r="BJ305" s="14">
        <v>0</v>
      </c>
      <c r="BK305" s="14">
        <v>1</v>
      </c>
      <c r="BL305" s="14">
        <v>0</v>
      </c>
      <c r="BM305" s="14">
        <v>0</v>
      </c>
      <c r="BN305" s="14">
        <v>0</v>
      </c>
      <c r="BO305" s="14">
        <v>0</v>
      </c>
      <c r="BP305" s="14">
        <v>0</v>
      </c>
      <c r="BQ305" s="11">
        <v>24.712515</v>
      </c>
      <c r="BR305" s="11">
        <v>70.333299999999994</v>
      </c>
      <c r="BS305" s="11">
        <v>7.1254499999999998</v>
      </c>
      <c r="BT305" s="10">
        <v>88</v>
      </c>
    </row>
    <row r="306" spans="4:72">
      <c r="D306" s="10">
        <v>27</v>
      </c>
      <c r="E306" s="11">
        <v>14.478255000000001</v>
      </c>
      <c r="F306" s="11">
        <v>51.333300000000001</v>
      </c>
      <c r="G306" s="10">
        <v>27</v>
      </c>
      <c r="J306" s="103"/>
      <c r="AK306" s="10" t="s">
        <v>31</v>
      </c>
      <c r="AL306" s="10">
        <f t="shared" si="41"/>
        <v>0</v>
      </c>
      <c r="AM306" s="10">
        <f t="shared" si="42"/>
        <v>0</v>
      </c>
      <c r="AN306" s="10">
        <f t="shared" si="43"/>
        <v>1</v>
      </c>
      <c r="AO306" s="10" t="s">
        <v>24</v>
      </c>
      <c r="AP306" s="10">
        <f t="shared" si="44"/>
        <v>0</v>
      </c>
      <c r="AQ306" s="10" t="s">
        <v>11</v>
      </c>
      <c r="AR306" s="10">
        <f t="shared" si="45"/>
        <v>1</v>
      </c>
      <c r="AS306" s="10" t="s">
        <v>27</v>
      </c>
      <c r="AT306" s="10">
        <f t="shared" si="50"/>
        <v>0</v>
      </c>
      <c r="AU306" s="10">
        <f t="shared" si="46"/>
        <v>0</v>
      </c>
      <c r="AV306" s="11">
        <v>27.750014999999998</v>
      </c>
      <c r="AW306" s="11">
        <v>68.375</v>
      </c>
      <c r="AX306" s="11">
        <v>9.0832569999999997</v>
      </c>
      <c r="AY306" s="10">
        <v>89</v>
      </c>
      <c r="AZ306" t="s">
        <v>104</v>
      </c>
      <c r="BA306" s="17">
        <f t="shared" si="47"/>
        <v>0</v>
      </c>
      <c r="BB306" s="17">
        <f t="shared" si="48"/>
        <v>0</v>
      </c>
      <c r="BC306" s="17">
        <f t="shared" si="49"/>
        <v>0</v>
      </c>
      <c r="BG306" s="14">
        <v>0</v>
      </c>
      <c r="BH306" s="14">
        <v>0</v>
      </c>
      <c r="BI306" s="14">
        <v>1</v>
      </c>
      <c r="BJ306" s="14">
        <v>0</v>
      </c>
      <c r="BK306" s="14">
        <v>1</v>
      </c>
      <c r="BL306" s="14">
        <v>0</v>
      </c>
      <c r="BM306" s="14">
        <v>0</v>
      </c>
      <c r="BN306" s="14">
        <v>0</v>
      </c>
      <c r="BO306" s="14">
        <v>0</v>
      </c>
      <c r="BP306" s="14">
        <v>0</v>
      </c>
      <c r="BQ306" s="11">
        <v>27.750014999999998</v>
      </c>
      <c r="BR306" s="11">
        <v>68.375</v>
      </c>
      <c r="BS306" s="11">
        <v>9.0832569999999997</v>
      </c>
      <c r="BT306" s="10">
        <v>89</v>
      </c>
    </row>
    <row r="307" spans="4:72">
      <c r="D307" s="10">
        <v>23</v>
      </c>
      <c r="E307" s="11">
        <v>14.625</v>
      </c>
      <c r="F307" s="11">
        <v>65.833299999999994</v>
      </c>
      <c r="G307" s="10">
        <v>23</v>
      </c>
      <c r="J307" s="103"/>
      <c r="AK307" s="10" t="s">
        <v>31</v>
      </c>
      <c r="AL307" s="10">
        <f t="shared" si="41"/>
        <v>0</v>
      </c>
      <c r="AM307" s="10">
        <f t="shared" si="42"/>
        <v>0</v>
      </c>
      <c r="AN307" s="10">
        <f t="shared" si="43"/>
        <v>1</v>
      </c>
      <c r="AO307" s="10" t="s">
        <v>24</v>
      </c>
      <c r="AP307" s="10">
        <f t="shared" si="44"/>
        <v>0</v>
      </c>
      <c r="AQ307" s="10" t="s">
        <v>11</v>
      </c>
      <c r="AR307" s="10">
        <f t="shared" si="45"/>
        <v>1</v>
      </c>
      <c r="AS307" s="10" t="s">
        <v>27</v>
      </c>
      <c r="AT307" s="10">
        <f t="shared" si="50"/>
        <v>0</v>
      </c>
      <c r="AU307" s="10">
        <f t="shared" si="46"/>
        <v>0</v>
      </c>
      <c r="AV307" s="11">
        <v>18.637515</v>
      </c>
      <c r="AW307" s="11">
        <v>71.875</v>
      </c>
      <c r="AX307" s="11">
        <v>5.5001439000000003</v>
      </c>
      <c r="AY307" s="10">
        <v>53</v>
      </c>
      <c r="AZ307" t="s">
        <v>106</v>
      </c>
      <c r="BA307" s="17">
        <f t="shared" si="47"/>
        <v>0</v>
      </c>
      <c r="BB307" s="17">
        <f t="shared" si="48"/>
        <v>1</v>
      </c>
      <c r="BC307" s="17">
        <f t="shared" si="49"/>
        <v>0</v>
      </c>
      <c r="BG307" s="14">
        <v>0</v>
      </c>
      <c r="BH307" s="14">
        <v>0</v>
      </c>
      <c r="BI307" s="14">
        <v>1</v>
      </c>
      <c r="BJ307" s="14">
        <v>0</v>
      </c>
      <c r="BK307" s="14">
        <v>1</v>
      </c>
      <c r="BL307" s="14">
        <v>0</v>
      </c>
      <c r="BM307" s="14">
        <v>0</v>
      </c>
      <c r="BN307" s="14">
        <v>0</v>
      </c>
      <c r="BO307" s="14">
        <v>1</v>
      </c>
      <c r="BP307" s="14">
        <v>0</v>
      </c>
      <c r="BQ307" s="11">
        <v>18.637515</v>
      </c>
      <c r="BR307" s="11">
        <v>71.875</v>
      </c>
      <c r="BS307" s="11">
        <v>5.5001439000000003</v>
      </c>
      <c r="BT307" s="10">
        <v>53</v>
      </c>
    </row>
    <row r="308" spans="4:72">
      <c r="D308" s="10">
        <v>46</v>
      </c>
      <c r="E308" s="11">
        <v>13.460850000000001</v>
      </c>
      <c r="F308" s="11">
        <v>63.416700000000006</v>
      </c>
      <c r="G308" s="10">
        <v>46</v>
      </c>
      <c r="J308" s="103"/>
      <c r="AK308" s="10" t="s">
        <v>31</v>
      </c>
      <c r="AL308" s="10">
        <f t="shared" si="41"/>
        <v>0</v>
      </c>
      <c r="AM308" s="10">
        <f t="shared" si="42"/>
        <v>0</v>
      </c>
      <c r="AN308" s="10">
        <f t="shared" si="43"/>
        <v>1</v>
      </c>
      <c r="AO308" s="10" t="s">
        <v>24</v>
      </c>
      <c r="AP308" s="10">
        <f t="shared" si="44"/>
        <v>0</v>
      </c>
      <c r="AQ308" s="10" t="s">
        <v>11</v>
      </c>
      <c r="AR308" s="10">
        <f t="shared" si="45"/>
        <v>1</v>
      </c>
      <c r="AS308" s="10" t="s">
        <v>27</v>
      </c>
      <c r="AT308" s="10">
        <f t="shared" si="50"/>
        <v>0</v>
      </c>
      <c r="AU308" s="10">
        <f t="shared" si="46"/>
        <v>0</v>
      </c>
      <c r="AV308" s="11">
        <v>20.662514999999999</v>
      </c>
      <c r="AW308" s="11">
        <v>70.208300000000008</v>
      </c>
      <c r="AX308" s="11">
        <v>9.1667389999999997</v>
      </c>
      <c r="AY308" s="10">
        <v>88</v>
      </c>
      <c r="AZ308" t="s">
        <v>104</v>
      </c>
      <c r="BA308" s="17">
        <f t="shared" si="47"/>
        <v>0</v>
      </c>
      <c r="BB308" s="17">
        <f t="shared" si="48"/>
        <v>0</v>
      </c>
      <c r="BC308" s="17">
        <f t="shared" si="49"/>
        <v>0</v>
      </c>
      <c r="BG308" s="14">
        <v>0</v>
      </c>
      <c r="BH308" s="14">
        <v>0</v>
      </c>
      <c r="BI308" s="14">
        <v>1</v>
      </c>
      <c r="BJ308" s="14">
        <v>0</v>
      </c>
      <c r="BK308" s="14">
        <v>1</v>
      </c>
      <c r="BL308" s="14">
        <v>0</v>
      </c>
      <c r="BM308" s="14">
        <v>0</v>
      </c>
      <c r="BN308" s="14">
        <v>0</v>
      </c>
      <c r="BO308" s="14">
        <v>0</v>
      </c>
      <c r="BP308" s="14">
        <v>0</v>
      </c>
      <c r="BQ308" s="11">
        <v>20.662514999999999</v>
      </c>
      <c r="BR308" s="11">
        <v>70.208300000000008</v>
      </c>
      <c r="BS308" s="11">
        <v>9.1667389999999997</v>
      </c>
      <c r="BT308" s="10">
        <v>88</v>
      </c>
    </row>
    <row r="309" spans="4:72">
      <c r="D309" s="10">
        <v>48</v>
      </c>
      <c r="E309" s="11">
        <v>11.174985</v>
      </c>
      <c r="F309" s="11">
        <v>49.791699999999999</v>
      </c>
      <c r="G309" s="10">
        <v>48</v>
      </c>
      <c r="AK309" s="10" t="s">
        <v>31</v>
      </c>
      <c r="AL309" s="10">
        <f t="shared" si="41"/>
        <v>0</v>
      </c>
      <c r="AM309" s="10">
        <f t="shared" si="42"/>
        <v>0</v>
      </c>
      <c r="AN309" s="10">
        <f t="shared" si="43"/>
        <v>1</v>
      </c>
      <c r="AO309" s="10" t="s">
        <v>24</v>
      </c>
      <c r="AP309" s="10">
        <f t="shared" si="44"/>
        <v>0</v>
      </c>
      <c r="AQ309" s="10" t="s">
        <v>11</v>
      </c>
      <c r="AR309" s="10">
        <f t="shared" si="45"/>
        <v>1</v>
      </c>
      <c r="AS309" s="10" t="s">
        <v>26</v>
      </c>
      <c r="AT309" s="10">
        <f t="shared" si="50"/>
        <v>1</v>
      </c>
      <c r="AU309" s="10">
        <f t="shared" si="46"/>
        <v>0</v>
      </c>
      <c r="AV309" s="11">
        <v>21.562515000000001</v>
      </c>
      <c r="AW309" s="11">
        <v>62.250000000000007</v>
      </c>
      <c r="AX309" s="11">
        <v>18.209192999999999</v>
      </c>
      <c r="AY309" s="10">
        <v>92</v>
      </c>
      <c r="AZ309" t="s">
        <v>104</v>
      </c>
      <c r="BA309" s="17">
        <f t="shared" si="47"/>
        <v>0</v>
      </c>
      <c r="BB309" s="17">
        <f t="shared" si="48"/>
        <v>0</v>
      </c>
      <c r="BC309" s="17">
        <f t="shared" si="49"/>
        <v>0</v>
      </c>
      <c r="BG309" s="14">
        <v>0</v>
      </c>
      <c r="BH309" s="14">
        <v>0</v>
      </c>
      <c r="BI309" s="14">
        <v>1</v>
      </c>
      <c r="BJ309" s="14">
        <v>0</v>
      </c>
      <c r="BK309" s="14">
        <v>1</v>
      </c>
      <c r="BL309" s="14">
        <v>1</v>
      </c>
      <c r="BM309" s="14">
        <v>0</v>
      </c>
      <c r="BN309" s="14">
        <v>0</v>
      </c>
      <c r="BO309" s="14">
        <v>0</v>
      </c>
      <c r="BP309" s="14">
        <v>0</v>
      </c>
      <c r="BQ309" s="11">
        <v>21.562515000000001</v>
      </c>
      <c r="BR309" s="11">
        <v>62.250000000000007</v>
      </c>
      <c r="BS309" s="11">
        <v>18.209192999999999</v>
      </c>
      <c r="BT309" s="10">
        <v>92</v>
      </c>
    </row>
    <row r="310" spans="4:72">
      <c r="D310" s="10">
        <v>60</v>
      </c>
      <c r="E310" s="11">
        <v>14.025015000000002</v>
      </c>
      <c r="F310" s="11">
        <v>43.416700000000006</v>
      </c>
      <c r="G310" s="10">
        <v>60</v>
      </c>
      <c r="J310" s="96"/>
      <c r="AK310" s="10" t="s">
        <v>31</v>
      </c>
      <c r="AL310" s="10">
        <f t="shared" si="41"/>
        <v>0</v>
      </c>
      <c r="AM310" s="10">
        <f t="shared" si="42"/>
        <v>0</v>
      </c>
      <c r="AN310" s="10">
        <f t="shared" si="43"/>
        <v>1</v>
      </c>
      <c r="AO310" s="10" t="s">
        <v>24</v>
      </c>
      <c r="AP310" s="10">
        <f t="shared" si="44"/>
        <v>0</v>
      </c>
      <c r="AQ310" s="10" t="s">
        <v>25</v>
      </c>
      <c r="AR310" s="10">
        <f t="shared" si="45"/>
        <v>0</v>
      </c>
      <c r="AS310" s="10" t="s">
        <v>27</v>
      </c>
      <c r="AT310" s="10">
        <f t="shared" si="50"/>
        <v>0</v>
      </c>
      <c r="AU310" s="10">
        <f t="shared" si="46"/>
        <v>0</v>
      </c>
      <c r="AV310" s="11">
        <v>23.400000000000002</v>
      </c>
      <c r="AW310" s="11">
        <v>51.916700000000006</v>
      </c>
      <c r="AX310" s="11">
        <v>12.667154</v>
      </c>
      <c r="AY310" s="10">
        <v>94</v>
      </c>
      <c r="AZ310" t="s">
        <v>104</v>
      </c>
      <c r="BA310" s="17">
        <f t="shared" si="47"/>
        <v>0</v>
      </c>
      <c r="BB310" s="17">
        <f t="shared" si="48"/>
        <v>0</v>
      </c>
      <c r="BC310" s="17">
        <f t="shared" si="49"/>
        <v>0</v>
      </c>
      <c r="BG310" s="14">
        <v>0</v>
      </c>
      <c r="BH310" s="14">
        <v>0</v>
      </c>
      <c r="BI310" s="14">
        <v>1</v>
      </c>
      <c r="BJ310" s="14">
        <v>0</v>
      </c>
      <c r="BK310" s="14">
        <v>0</v>
      </c>
      <c r="BL310" s="14">
        <v>0</v>
      </c>
      <c r="BM310" s="14">
        <v>0</v>
      </c>
      <c r="BN310" s="14">
        <v>0</v>
      </c>
      <c r="BO310" s="14">
        <v>0</v>
      </c>
      <c r="BP310" s="14">
        <v>0</v>
      </c>
      <c r="BQ310" s="11">
        <v>23.400000000000002</v>
      </c>
      <c r="BR310" s="11">
        <v>51.916700000000006</v>
      </c>
      <c r="BS310" s="11">
        <v>12.667154</v>
      </c>
      <c r="BT310" s="10">
        <v>94</v>
      </c>
    </row>
    <row r="311" spans="4:72">
      <c r="D311" s="10">
        <v>49</v>
      </c>
      <c r="E311" s="11">
        <v>18.45</v>
      </c>
      <c r="F311" s="11">
        <v>39.625</v>
      </c>
      <c r="G311" s="10">
        <v>49</v>
      </c>
      <c r="AK311" s="10" t="s">
        <v>31</v>
      </c>
      <c r="AL311" s="10">
        <f t="shared" si="41"/>
        <v>0</v>
      </c>
      <c r="AM311" s="10">
        <f t="shared" si="42"/>
        <v>0</v>
      </c>
      <c r="AN311" s="10">
        <f t="shared" si="43"/>
        <v>1</v>
      </c>
      <c r="AO311" s="10" t="s">
        <v>24</v>
      </c>
      <c r="AP311" s="10">
        <f t="shared" si="44"/>
        <v>0</v>
      </c>
      <c r="AQ311" s="10" t="s">
        <v>25</v>
      </c>
      <c r="AR311" s="10">
        <f t="shared" si="45"/>
        <v>0</v>
      </c>
      <c r="AS311" s="10" t="s">
        <v>27</v>
      </c>
      <c r="AT311" s="10">
        <f t="shared" si="50"/>
        <v>0</v>
      </c>
      <c r="AU311" s="10">
        <f t="shared" si="46"/>
        <v>0</v>
      </c>
      <c r="AV311" s="11">
        <v>23.774985000000001</v>
      </c>
      <c r="AW311" s="11">
        <v>73.458299999999994</v>
      </c>
      <c r="AX311" s="11">
        <v>6.1676314000000003</v>
      </c>
      <c r="AY311" s="10">
        <v>87</v>
      </c>
      <c r="AZ311" t="s">
        <v>104</v>
      </c>
      <c r="BA311" s="17">
        <f t="shared" si="47"/>
        <v>0</v>
      </c>
      <c r="BB311" s="17">
        <f t="shared" si="48"/>
        <v>0</v>
      </c>
      <c r="BC311" s="17">
        <f t="shared" si="49"/>
        <v>0</v>
      </c>
      <c r="BG311" s="14">
        <v>0</v>
      </c>
      <c r="BH311" s="14">
        <v>0</v>
      </c>
      <c r="BI311" s="14">
        <v>1</v>
      </c>
      <c r="BJ311" s="14">
        <v>0</v>
      </c>
      <c r="BK311" s="14">
        <v>0</v>
      </c>
      <c r="BL311" s="14">
        <v>0</v>
      </c>
      <c r="BM311" s="14">
        <v>0</v>
      </c>
      <c r="BN311" s="14">
        <v>0</v>
      </c>
      <c r="BO311" s="14">
        <v>0</v>
      </c>
      <c r="BP311" s="14">
        <v>0</v>
      </c>
      <c r="BQ311" s="11">
        <v>23.774985000000001</v>
      </c>
      <c r="BR311" s="11">
        <v>73.458299999999994</v>
      </c>
      <c r="BS311" s="11">
        <v>6.1676314000000003</v>
      </c>
      <c r="BT311" s="10">
        <v>87</v>
      </c>
    </row>
    <row r="312" spans="4:72">
      <c r="D312" s="10">
        <v>20</v>
      </c>
      <c r="E312" s="11">
        <v>15.487515</v>
      </c>
      <c r="F312" s="11">
        <v>44.458300000000001</v>
      </c>
      <c r="G312" s="10">
        <v>20</v>
      </c>
      <c r="AK312" s="10" t="s">
        <v>31</v>
      </c>
      <c r="AL312" s="10">
        <f t="shared" si="41"/>
        <v>0</v>
      </c>
      <c r="AM312" s="10">
        <f t="shared" si="42"/>
        <v>0</v>
      </c>
      <c r="AN312" s="10">
        <f t="shared" si="43"/>
        <v>1</v>
      </c>
      <c r="AO312" s="10" t="s">
        <v>24</v>
      </c>
      <c r="AP312" s="10">
        <f t="shared" si="44"/>
        <v>0</v>
      </c>
      <c r="AQ312" s="10" t="s">
        <v>11</v>
      </c>
      <c r="AR312" s="10">
        <f t="shared" si="45"/>
        <v>1</v>
      </c>
      <c r="AS312" s="10" t="s">
        <v>27</v>
      </c>
      <c r="AT312" s="10">
        <f t="shared" si="50"/>
        <v>0</v>
      </c>
      <c r="AU312" s="10">
        <f t="shared" si="46"/>
        <v>0</v>
      </c>
      <c r="AV312" s="11">
        <v>23.962499999999999</v>
      </c>
      <c r="AW312" s="11">
        <v>75.875</v>
      </c>
      <c r="AX312" s="11">
        <v>3.8340749999999999</v>
      </c>
      <c r="AY312" s="10">
        <v>87</v>
      </c>
      <c r="AZ312" t="s">
        <v>104</v>
      </c>
      <c r="BA312" s="17">
        <f t="shared" si="47"/>
        <v>0</v>
      </c>
      <c r="BB312" s="17">
        <f t="shared" si="48"/>
        <v>0</v>
      </c>
      <c r="BC312" s="17">
        <f t="shared" si="49"/>
        <v>0</v>
      </c>
      <c r="BG312" s="14">
        <v>0</v>
      </c>
      <c r="BH312" s="14">
        <v>0</v>
      </c>
      <c r="BI312" s="14">
        <v>1</v>
      </c>
      <c r="BJ312" s="14">
        <v>0</v>
      </c>
      <c r="BK312" s="14">
        <v>1</v>
      </c>
      <c r="BL312" s="14">
        <v>0</v>
      </c>
      <c r="BM312" s="14">
        <v>0</v>
      </c>
      <c r="BN312" s="14">
        <v>0</v>
      </c>
      <c r="BO312" s="14">
        <v>0</v>
      </c>
      <c r="BP312" s="14">
        <v>0</v>
      </c>
      <c r="BQ312" s="11">
        <v>23.962499999999999</v>
      </c>
      <c r="BR312" s="11">
        <v>75.875</v>
      </c>
      <c r="BS312" s="11">
        <v>3.8340749999999999</v>
      </c>
      <c r="BT312" s="10">
        <v>87</v>
      </c>
    </row>
    <row r="313" spans="4:72">
      <c r="D313" s="10">
        <v>16</v>
      </c>
      <c r="E313" s="11">
        <v>16.35651</v>
      </c>
      <c r="F313" s="11">
        <v>68.25</v>
      </c>
      <c r="G313" s="10">
        <v>16</v>
      </c>
      <c r="AK313" s="10" t="s">
        <v>31</v>
      </c>
      <c r="AL313" s="10">
        <f t="shared" si="41"/>
        <v>0</v>
      </c>
      <c r="AM313" s="10">
        <f t="shared" si="42"/>
        <v>0</v>
      </c>
      <c r="AN313" s="10">
        <f t="shared" si="43"/>
        <v>1</v>
      </c>
      <c r="AO313" s="10" t="s">
        <v>24</v>
      </c>
      <c r="AP313" s="10">
        <f t="shared" si="44"/>
        <v>0</v>
      </c>
      <c r="AQ313" s="10" t="s">
        <v>11</v>
      </c>
      <c r="AR313" s="10">
        <f t="shared" si="45"/>
        <v>1</v>
      </c>
      <c r="AS313" s="10" t="s">
        <v>27</v>
      </c>
      <c r="AT313" s="10">
        <f t="shared" si="50"/>
        <v>0</v>
      </c>
      <c r="AU313" s="10">
        <f t="shared" si="46"/>
        <v>0</v>
      </c>
      <c r="AV313" s="11">
        <v>23.962499999999999</v>
      </c>
      <c r="AW313" s="11">
        <v>72.166699999999992</v>
      </c>
      <c r="AX313" s="11">
        <v>4.6255125000000001</v>
      </c>
      <c r="AY313" s="10">
        <v>96</v>
      </c>
      <c r="AZ313" t="s">
        <v>104</v>
      </c>
      <c r="BA313" s="17">
        <f t="shared" si="47"/>
        <v>0</v>
      </c>
      <c r="BB313" s="17">
        <f t="shared" si="48"/>
        <v>0</v>
      </c>
      <c r="BC313" s="17">
        <f t="shared" si="49"/>
        <v>0</v>
      </c>
      <c r="BG313" s="14">
        <v>0</v>
      </c>
      <c r="BH313" s="14">
        <v>0</v>
      </c>
      <c r="BI313" s="14">
        <v>1</v>
      </c>
      <c r="BJ313" s="14">
        <v>0</v>
      </c>
      <c r="BK313" s="14">
        <v>1</v>
      </c>
      <c r="BL313" s="14">
        <v>0</v>
      </c>
      <c r="BM313" s="14">
        <v>0</v>
      </c>
      <c r="BN313" s="14">
        <v>0</v>
      </c>
      <c r="BO313" s="14">
        <v>0</v>
      </c>
      <c r="BP313" s="14">
        <v>0</v>
      </c>
      <c r="BQ313" s="11">
        <v>23.962499999999999</v>
      </c>
      <c r="BR313" s="11">
        <v>72.166699999999992</v>
      </c>
      <c r="BS313" s="11">
        <v>4.6255125000000001</v>
      </c>
      <c r="BT313" s="10">
        <v>96</v>
      </c>
    </row>
    <row r="314" spans="4:72">
      <c r="D314" s="10">
        <v>27</v>
      </c>
      <c r="E314" s="11">
        <v>8.8363800000000001</v>
      </c>
      <c r="F314" s="11">
        <v>63.791699999999999</v>
      </c>
      <c r="G314" s="10">
        <v>27</v>
      </c>
      <c r="AK314" s="10" t="s">
        <v>31</v>
      </c>
      <c r="AL314" s="10">
        <f t="shared" si="41"/>
        <v>0</v>
      </c>
      <c r="AM314" s="10">
        <f t="shared" si="42"/>
        <v>0</v>
      </c>
      <c r="AN314" s="10">
        <f t="shared" si="43"/>
        <v>1</v>
      </c>
      <c r="AO314" s="10" t="s">
        <v>24</v>
      </c>
      <c r="AP314" s="10">
        <f t="shared" si="44"/>
        <v>0</v>
      </c>
      <c r="AQ314" s="10" t="s">
        <v>11</v>
      </c>
      <c r="AR314" s="10">
        <f t="shared" si="45"/>
        <v>1</v>
      </c>
      <c r="AS314" s="10" t="s">
        <v>27</v>
      </c>
      <c r="AT314" s="10">
        <f t="shared" si="50"/>
        <v>0</v>
      </c>
      <c r="AU314" s="10">
        <f t="shared" si="46"/>
        <v>0</v>
      </c>
      <c r="AV314" s="11">
        <v>24.412499999999998</v>
      </c>
      <c r="AW314" s="11">
        <v>75.833300000000008</v>
      </c>
      <c r="AX314" s="11">
        <v>4.1671186000000002</v>
      </c>
      <c r="AY314" s="10">
        <v>84</v>
      </c>
      <c r="AZ314" t="s">
        <v>104</v>
      </c>
      <c r="BA314" s="17">
        <f t="shared" si="47"/>
        <v>0</v>
      </c>
      <c r="BB314" s="17">
        <f t="shared" si="48"/>
        <v>0</v>
      </c>
      <c r="BC314" s="17">
        <f t="shared" si="49"/>
        <v>0</v>
      </c>
      <c r="BG314" s="14">
        <v>0</v>
      </c>
      <c r="BH314" s="14">
        <v>0</v>
      </c>
      <c r="BI314" s="14">
        <v>1</v>
      </c>
      <c r="BJ314" s="14">
        <v>0</v>
      </c>
      <c r="BK314" s="14">
        <v>1</v>
      </c>
      <c r="BL314" s="14">
        <v>0</v>
      </c>
      <c r="BM314" s="14">
        <v>0</v>
      </c>
      <c r="BN314" s="14">
        <v>0</v>
      </c>
      <c r="BO314" s="14">
        <v>0</v>
      </c>
      <c r="BP314" s="14">
        <v>0</v>
      </c>
      <c r="BQ314" s="11">
        <v>24.412499999999998</v>
      </c>
      <c r="BR314" s="11">
        <v>75.833300000000008</v>
      </c>
      <c r="BS314" s="11">
        <v>4.1671186000000002</v>
      </c>
      <c r="BT314" s="10">
        <v>84</v>
      </c>
    </row>
    <row r="315" spans="4:72">
      <c r="D315" s="10">
        <v>31</v>
      </c>
      <c r="E315" s="11">
        <v>9</v>
      </c>
      <c r="F315" s="11">
        <v>59.041699999999999</v>
      </c>
      <c r="G315" s="10">
        <v>31</v>
      </c>
      <c r="AK315" s="10" t="s">
        <v>31</v>
      </c>
      <c r="AL315" s="10">
        <f t="shared" si="41"/>
        <v>0</v>
      </c>
      <c r="AM315" s="10">
        <f t="shared" si="42"/>
        <v>0</v>
      </c>
      <c r="AN315" s="10">
        <f t="shared" si="43"/>
        <v>1</v>
      </c>
      <c r="AO315" s="10" t="s">
        <v>24</v>
      </c>
      <c r="AP315" s="10">
        <f t="shared" si="44"/>
        <v>0</v>
      </c>
      <c r="AQ315" s="10" t="s">
        <v>11</v>
      </c>
      <c r="AR315" s="10">
        <f t="shared" si="45"/>
        <v>1</v>
      </c>
      <c r="AS315" s="10" t="s">
        <v>26</v>
      </c>
      <c r="AT315" s="10">
        <f t="shared" si="50"/>
        <v>1</v>
      </c>
      <c r="AU315" s="10">
        <f t="shared" si="46"/>
        <v>0</v>
      </c>
      <c r="AV315" s="11">
        <v>24.075000000000003</v>
      </c>
      <c r="AW315" s="11">
        <v>81.333299999999994</v>
      </c>
      <c r="AX315" s="11">
        <v>12.667489000000002</v>
      </c>
      <c r="AY315" s="10">
        <v>97</v>
      </c>
      <c r="AZ315" t="s">
        <v>104</v>
      </c>
      <c r="BA315" s="17">
        <f t="shared" si="47"/>
        <v>0</v>
      </c>
      <c r="BB315" s="17">
        <f t="shared" si="48"/>
        <v>0</v>
      </c>
      <c r="BC315" s="17">
        <f t="shared" si="49"/>
        <v>0</v>
      </c>
      <c r="BG315" s="14">
        <v>0</v>
      </c>
      <c r="BH315" s="14">
        <v>0</v>
      </c>
      <c r="BI315" s="14">
        <v>1</v>
      </c>
      <c r="BJ315" s="14">
        <v>0</v>
      </c>
      <c r="BK315" s="14">
        <v>1</v>
      </c>
      <c r="BL315" s="14">
        <v>1</v>
      </c>
      <c r="BM315" s="14">
        <v>0</v>
      </c>
      <c r="BN315" s="14">
        <v>0</v>
      </c>
      <c r="BO315" s="14">
        <v>0</v>
      </c>
      <c r="BP315" s="14">
        <v>0</v>
      </c>
      <c r="BQ315" s="11">
        <v>24.075000000000003</v>
      </c>
      <c r="BR315" s="11">
        <v>81.333299999999994</v>
      </c>
      <c r="BS315" s="11">
        <v>12.667489000000002</v>
      </c>
      <c r="BT315" s="10">
        <v>97</v>
      </c>
    </row>
    <row r="316" spans="4:72">
      <c r="D316" s="10">
        <v>32</v>
      </c>
      <c r="E316" s="11">
        <v>10.213065</v>
      </c>
      <c r="F316" s="11">
        <v>74.333300000000008</v>
      </c>
      <c r="G316" s="10">
        <v>32</v>
      </c>
      <c r="AK316" s="10" t="s">
        <v>31</v>
      </c>
      <c r="AL316" s="10">
        <f t="shared" si="41"/>
        <v>0</v>
      </c>
      <c r="AM316" s="10">
        <f t="shared" si="42"/>
        <v>0</v>
      </c>
      <c r="AN316" s="10">
        <f t="shared" si="43"/>
        <v>1</v>
      </c>
      <c r="AO316" s="10" t="s">
        <v>7</v>
      </c>
      <c r="AP316" s="10">
        <f t="shared" si="44"/>
        <v>1</v>
      </c>
      <c r="AQ316" s="10" t="s">
        <v>25</v>
      </c>
      <c r="AR316" s="10">
        <f t="shared" si="45"/>
        <v>0</v>
      </c>
      <c r="AS316" s="10" t="s">
        <v>27</v>
      </c>
      <c r="AT316" s="10">
        <f t="shared" si="50"/>
        <v>0</v>
      </c>
      <c r="AU316" s="10">
        <f t="shared" si="46"/>
        <v>0</v>
      </c>
      <c r="AV316" s="11">
        <v>23.062499999999996</v>
      </c>
      <c r="AW316" s="11">
        <v>44.625</v>
      </c>
      <c r="AX316" s="11">
        <v>21.083224999999999</v>
      </c>
      <c r="AY316" s="10">
        <v>82</v>
      </c>
      <c r="AZ316" t="s">
        <v>104</v>
      </c>
      <c r="BA316" s="17">
        <f t="shared" si="47"/>
        <v>0</v>
      </c>
      <c r="BB316" s="17">
        <f t="shared" si="48"/>
        <v>0</v>
      </c>
      <c r="BC316" s="17">
        <f t="shared" si="49"/>
        <v>0</v>
      </c>
      <c r="BG316" s="14">
        <v>0</v>
      </c>
      <c r="BH316" s="14">
        <v>0</v>
      </c>
      <c r="BI316" s="14">
        <v>1</v>
      </c>
      <c r="BJ316" s="14">
        <v>1</v>
      </c>
      <c r="BK316" s="14">
        <v>0</v>
      </c>
      <c r="BL316" s="14">
        <v>0</v>
      </c>
      <c r="BM316" s="14">
        <v>0</v>
      </c>
      <c r="BN316" s="14">
        <v>0</v>
      </c>
      <c r="BO316" s="14">
        <v>0</v>
      </c>
      <c r="BP316" s="14">
        <v>0</v>
      </c>
      <c r="BQ316" s="11">
        <v>23.062499999999996</v>
      </c>
      <c r="BR316" s="11">
        <v>44.625</v>
      </c>
      <c r="BS316" s="11">
        <v>21.083224999999999</v>
      </c>
      <c r="BT316" s="10">
        <v>82</v>
      </c>
    </row>
    <row r="317" spans="4:72">
      <c r="D317" s="10">
        <v>32</v>
      </c>
      <c r="E317" s="11">
        <v>9.1956600000000002</v>
      </c>
      <c r="F317" s="11">
        <v>65.125</v>
      </c>
      <c r="G317" s="10">
        <v>32</v>
      </c>
      <c r="AK317" s="10" t="s">
        <v>31</v>
      </c>
      <c r="AL317" s="10">
        <f t="shared" si="41"/>
        <v>0</v>
      </c>
      <c r="AM317" s="10">
        <f t="shared" si="42"/>
        <v>0</v>
      </c>
      <c r="AN317" s="10">
        <f t="shared" si="43"/>
        <v>1</v>
      </c>
      <c r="AO317" s="10" t="s">
        <v>24</v>
      </c>
      <c r="AP317" s="10">
        <f t="shared" si="44"/>
        <v>0</v>
      </c>
      <c r="AQ317" s="10" t="s">
        <v>25</v>
      </c>
      <c r="AR317" s="10">
        <f t="shared" si="45"/>
        <v>0</v>
      </c>
      <c r="AS317" s="10" t="s">
        <v>27</v>
      </c>
      <c r="AT317" s="10">
        <f t="shared" si="50"/>
        <v>0</v>
      </c>
      <c r="AU317" s="10">
        <f t="shared" si="46"/>
        <v>0</v>
      </c>
      <c r="AV317" s="11">
        <v>23.437484999999999</v>
      </c>
      <c r="AW317" s="11">
        <v>55.291699999999999</v>
      </c>
      <c r="AX317" s="11">
        <v>14.208154</v>
      </c>
      <c r="AY317" s="10">
        <v>68</v>
      </c>
      <c r="AZ317" t="s">
        <v>106</v>
      </c>
      <c r="BA317" s="17">
        <f t="shared" si="47"/>
        <v>0</v>
      </c>
      <c r="BB317" s="17">
        <f t="shared" si="48"/>
        <v>1</v>
      </c>
      <c r="BC317" s="17">
        <f t="shared" si="49"/>
        <v>0</v>
      </c>
      <c r="BG317" s="14">
        <v>0</v>
      </c>
      <c r="BH317" s="14">
        <v>0</v>
      </c>
      <c r="BI317" s="14">
        <v>1</v>
      </c>
      <c r="BJ317" s="14">
        <v>0</v>
      </c>
      <c r="BK317" s="14">
        <v>0</v>
      </c>
      <c r="BL317" s="14">
        <v>0</v>
      </c>
      <c r="BM317" s="14">
        <v>0</v>
      </c>
      <c r="BN317" s="14">
        <v>0</v>
      </c>
      <c r="BO317" s="14">
        <v>1</v>
      </c>
      <c r="BP317" s="14">
        <v>0</v>
      </c>
      <c r="BQ317" s="11">
        <v>23.437484999999999</v>
      </c>
      <c r="BR317" s="11">
        <v>55.291699999999999</v>
      </c>
      <c r="BS317" s="11">
        <v>14.208154</v>
      </c>
      <c r="BT317" s="10">
        <v>68</v>
      </c>
    </row>
    <row r="318" spans="4:72">
      <c r="D318" s="10">
        <v>30</v>
      </c>
      <c r="E318" s="11">
        <v>8.843490000000001</v>
      </c>
      <c r="F318" s="11">
        <v>75.791699999999992</v>
      </c>
      <c r="G318" s="10">
        <v>30</v>
      </c>
      <c r="AK318" s="10" t="s">
        <v>31</v>
      </c>
      <c r="AL318" s="10">
        <f t="shared" si="41"/>
        <v>0</v>
      </c>
      <c r="AM318" s="10">
        <f t="shared" si="42"/>
        <v>0</v>
      </c>
      <c r="AN318" s="10">
        <f t="shared" si="43"/>
        <v>1</v>
      </c>
      <c r="AO318" s="10" t="s">
        <v>24</v>
      </c>
      <c r="AP318" s="10">
        <f t="shared" si="44"/>
        <v>0</v>
      </c>
      <c r="AQ318" s="10" t="s">
        <v>25</v>
      </c>
      <c r="AR318" s="10">
        <f t="shared" si="45"/>
        <v>0</v>
      </c>
      <c r="AS318" s="10" t="s">
        <v>27</v>
      </c>
      <c r="AT318" s="10">
        <f t="shared" si="50"/>
        <v>0</v>
      </c>
      <c r="AU318" s="10">
        <f t="shared" si="46"/>
        <v>0</v>
      </c>
      <c r="AV318" s="11">
        <v>25.3125</v>
      </c>
      <c r="AW318" s="11">
        <v>45.833300000000001</v>
      </c>
      <c r="AX318" s="11">
        <v>18.875306999999999</v>
      </c>
      <c r="AY318" s="10">
        <v>91</v>
      </c>
      <c r="AZ318" t="s">
        <v>104</v>
      </c>
      <c r="BA318" s="17">
        <f t="shared" si="47"/>
        <v>0</v>
      </c>
      <c r="BB318" s="17">
        <f t="shared" si="48"/>
        <v>0</v>
      </c>
      <c r="BC318" s="17">
        <f t="shared" si="49"/>
        <v>0</v>
      </c>
      <c r="BG318" s="14">
        <v>0</v>
      </c>
      <c r="BH318" s="14">
        <v>0</v>
      </c>
      <c r="BI318" s="14">
        <v>1</v>
      </c>
      <c r="BJ318" s="14">
        <v>0</v>
      </c>
      <c r="BK318" s="14">
        <v>0</v>
      </c>
      <c r="BL318" s="14">
        <v>0</v>
      </c>
      <c r="BM318" s="14">
        <v>0</v>
      </c>
      <c r="BN318" s="14">
        <v>0</v>
      </c>
      <c r="BO318" s="14">
        <v>0</v>
      </c>
      <c r="BP318" s="14">
        <v>0</v>
      </c>
      <c r="BQ318" s="11">
        <v>25.3125</v>
      </c>
      <c r="BR318" s="11">
        <v>45.833300000000001</v>
      </c>
      <c r="BS318" s="11">
        <v>18.875306999999999</v>
      </c>
      <c r="BT318" s="10">
        <v>91</v>
      </c>
    </row>
    <row r="319" spans="4:72">
      <c r="D319" s="10">
        <v>19</v>
      </c>
      <c r="E319" s="11">
        <v>7.4250000000000007</v>
      </c>
      <c r="F319" s="11">
        <v>60.916699999999999</v>
      </c>
      <c r="G319" s="10">
        <v>19</v>
      </c>
      <c r="AK319" s="10" t="s">
        <v>31</v>
      </c>
      <c r="AL319" s="10">
        <f t="shared" si="41"/>
        <v>0</v>
      </c>
      <c r="AM319" s="10">
        <f t="shared" si="42"/>
        <v>0</v>
      </c>
      <c r="AN319" s="10">
        <f t="shared" si="43"/>
        <v>1</v>
      </c>
      <c r="AO319" s="10" t="s">
        <v>24</v>
      </c>
      <c r="AP319" s="10">
        <f t="shared" si="44"/>
        <v>0</v>
      </c>
      <c r="AQ319" s="10" t="s">
        <v>11</v>
      </c>
      <c r="AR319" s="10">
        <f t="shared" si="45"/>
        <v>1</v>
      </c>
      <c r="AS319" s="10" t="s">
        <v>27</v>
      </c>
      <c r="AT319" s="10">
        <f t="shared" si="50"/>
        <v>0</v>
      </c>
      <c r="AU319" s="10">
        <f t="shared" si="46"/>
        <v>0</v>
      </c>
      <c r="AV319" s="11">
        <v>25.987500000000001</v>
      </c>
      <c r="AW319" s="11">
        <v>58.708300000000001</v>
      </c>
      <c r="AX319" s="11">
        <v>20.541931999999999</v>
      </c>
      <c r="AY319" s="10">
        <v>79</v>
      </c>
      <c r="AZ319" t="s">
        <v>104</v>
      </c>
      <c r="BA319" s="17">
        <f t="shared" si="47"/>
        <v>0</v>
      </c>
      <c r="BB319" s="17">
        <f t="shared" si="48"/>
        <v>0</v>
      </c>
      <c r="BC319" s="17">
        <f t="shared" si="49"/>
        <v>0</v>
      </c>
      <c r="BG319" s="14">
        <v>0</v>
      </c>
      <c r="BH319" s="14">
        <v>0</v>
      </c>
      <c r="BI319" s="14">
        <v>1</v>
      </c>
      <c r="BJ319" s="14">
        <v>0</v>
      </c>
      <c r="BK319" s="14">
        <v>1</v>
      </c>
      <c r="BL319" s="14">
        <v>0</v>
      </c>
      <c r="BM319" s="14">
        <v>0</v>
      </c>
      <c r="BN319" s="14">
        <v>0</v>
      </c>
      <c r="BO319" s="14">
        <v>0</v>
      </c>
      <c r="BP319" s="14">
        <v>0</v>
      </c>
      <c r="BQ319" s="11">
        <v>25.987500000000001</v>
      </c>
      <c r="BR319" s="11">
        <v>58.708300000000001</v>
      </c>
      <c r="BS319" s="11">
        <v>20.541931999999999</v>
      </c>
      <c r="BT319" s="10">
        <v>79</v>
      </c>
    </row>
    <row r="320" spans="4:72">
      <c r="D320" s="10">
        <v>16</v>
      </c>
      <c r="E320" s="11">
        <v>6.2249850000000002</v>
      </c>
      <c r="F320" s="11">
        <v>57.833300000000001</v>
      </c>
      <c r="G320" s="10">
        <v>16</v>
      </c>
      <c r="AK320" s="10" t="s">
        <v>31</v>
      </c>
      <c r="AL320" s="10">
        <f t="shared" si="41"/>
        <v>0</v>
      </c>
      <c r="AM320" s="10">
        <f t="shared" si="42"/>
        <v>0</v>
      </c>
      <c r="AN320" s="10">
        <f t="shared" si="43"/>
        <v>1</v>
      </c>
      <c r="AO320" s="10" t="s">
        <v>24</v>
      </c>
      <c r="AP320" s="10">
        <f t="shared" si="44"/>
        <v>0</v>
      </c>
      <c r="AQ320" s="10" t="s">
        <v>11</v>
      </c>
      <c r="AR320" s="10">
        <f t="shared" si="45"/>
        <v>1</v>
      </c>
      <c r="AS320" s="10" t="s">
        <v>26</v>
      </c>
      <c r="AT320" s="10">
        <f t="shared" si="50"/>
        <v>1</v>
      </c>
      <c r="AU320" s="10">
        <f t="shared" si="46"/>
        <v>0</v>
      </c>
      <c r="AV320" s="11">
        <v>25.275015</v>
      </c>
      <c r="AW320" s="11">
        <v>68.875</v>
      </c>
      <c r="AX320" s="11">
        <v>13.375411</v>
      </c>
      <c r="AY320" s="10">
        <v>83</v>
      </c>
      <c r="AZ320" t="s">
        <v>104</v>
      </c>
      <c r="BA320" s="17">
        <f t="shared" si="47"/>
        <v>0</v>
      </c>
      <c r="BB320" s="17">
        <f t="shared" si="48"/>
        <v>0</v>
      </c>
      <c r="BC320" s="17">
        <f t="shared" si="49"/>
        <v>0</v>
      </c>
      <c r="BG320" s="14">
        <v>0</v>
      </c>
      <c r="BH320" s="14">
        <v>0</v>
      </c>
      <c r="BI320" s="14">
        <v>1</v>
      </c>
      <c r="BJ320" s="14">
        <v>0</v>
      </c>
      <c r="BK320" s="14">
        <v>1</v>
      </c>
      <c r="BL320" s="14">
        <v>1</v>
      </c>
      <c r="BM320" s="14">
        <v>0</v>
      </c>
      <c r="BN320" s="14">
        <v>0</v>
      </c>
      <c r="BO320" s="14">
        <v>0</v>
      </c>
      <c r="BP320" s="14">
        <v>0</v>
      </c>
      <c r="BQ320" s="11">
        <v>25.275015</v>
      </c>
      <c r="BR320" s="11">
        <v>68.875</v>
      </c>
      <c r="BS320" s="11">
        <v>13.375411</v>
      </c>
      <c r="BT320" s="10">
        <v>83</v>
      </c>
    </row>
    <row r="321" spans="4:90">
      <c r="D321" s="10">
        <v>27</v>
      </c>
      <c r="E321" s="11">
        <v>6.7874850000000002</v>
      </c>
      <c r="F321" s="11">
        <v>63.583300000000001</v>
      </c>
      <c r="G321" s="10">
        <v>27</v>
      </c>
      <c r="AK321" s="10" t="s">
        <v>31</v>
      </c>
      <c r="AL321" s="10">
        <f t="shared" si="41"/>
        <v>0</v>
      </c>
      <c r="AM321" s="10">
        <f t="shared" si="42"/>
        <v>0</v>
      </c>
      <c r="AN321" s="10">
        <f t="shared" si="43"/>
        <v>1</v>
      </c>
      <c r="AO321" s="10" t="s">
        <v>24</v>
      </c>
      <c r="AP321" s="10">
        <f t="shared" si="44"/>
        <v>0</v>
      </c>
      <c r="AQ321" s="10" t="s">
        <v>11</v>
      </c>
      <c r="AR321" s="10">
        <f t="shared" si="45"/>
        <v>1</v>
      </c>
      <c r="AS321" s="10" t="s">
        <v>28</v>
      </c>
      <c r="AT321" s="10">
        <f t="shared" si="50"/>
        <v>0</v>
      </c>
      <c r="AU321" s="10">
        <f t="shared" si="46"/>
        <v>1</v>
      </c>
      <c r="AV321" s="11">
        <v>24.750000000000004</v>
      </c>
      <c r="AW321" s="11">
        <v>93</v>
      </c>
      <c r="AX321" s="11">
        <v>9.1675430000000002</v>
      </c>
      <c r="AY321" s="10">
        <v>77</v>
      </c>
      <c r="AZ321" t="s">
        <v>104</v>
      </c>
      <c r="BA321" s="17">
        <f t="shared" si="47"/>
        <v>0</v>
      </c>
      <c r="BB321" s="17">
        <f t="shared" si="48"/>
        <v>0</v>
      </c>
      <c r="BC321" s="17">
        <f t="shared" si="49"/>
        <v>0</v>
      </c>
      <c r="BG321" s="14">
        <v>0</v>
      </c>
      <c r="BH321" s="14">
        <v>0</v>
      </c>
      <c r="BI321" s="14">
        <v>1</v>
      </c>
      <c r="BJ321" s="14">
        <v>0</v>
      </c>
      <c r="BK321" s="14">
        <v>1</v>
      </c>
      <c r="BL321" s="14">
        <v>0</v>
      </c>
      <c r="BM321" s="14">
        <v>1</v>
      </c>
      <c r="BN321" s="14">
        <v>0</v>
      </c>
      <c r="BO321" s="14">
        <v>0</v>
      </c>
      <c r="BP321" s="14">
        <v>0</v>
      </c>
      <c r="BQ321" s="11">
        <v>24.750000000000004</v>
      </c>
      <c r="BR321" s="11">
        <v>93</v>
      </c>
      <c r="BS321" s="11">
        <v>9.1675430000000002</v>
      </c>
      <c r="BT321" s="10">
        <v>77</v>
      </c>
    </row>
    <row r="322" spans="4:90">
      <c r="D322" s="10">
        <v>25</v>
      </c>
      <c r="E322" s="11">
        <v>7.6090949999999999</v>
      </c>
      <c r="F322" s="11">
        <v>55.916699999999999</v>
      </c>
      <c r="G322" s="10">
        <v>25</v>
      </c>
      <c r="AK322" s="10" t="s">
        <v>31</v>
      </c>
      <c r="AL322" s="10">
        <f t="shared" si="41"/>
        <v>0</v>
      </c>
      <c r="AM322" s="10">
        <f t="shared" si="42"/>
        <v>0</v>
      </c>
      <c r="AN322" s="10">
        <f t="shared" si="43"/>
        <v>1</v>
      </c>
      <c r="AO322" s="10" t="s">
        <v>24</v>
      </c>
      <c r="AP322" s="10">
        <f t="shared" si="44"/>
        <v>0</v>
      </c>
      <c r="AQ322" s="10" t="s">
        <v>11</v>
      </c>
      <c r="AR322" s="10">
        <f t="shared" si="45"/>
        <v>1</v>
      </c>
      <c r="AS322" s="10" t="s">
        <v>26</v>
      </c>
      <c r="AT322" s="10">
        <f t="shared" si="50"/>
        <v>1</v>
      </c>
      <c r="AU322" s="10">
        <f t="shared" si="46"/>
        <v>0</v>
      </c>
      <c r="AV322" s="11">
        <v>23.887485000000002</v>
      </c>
      <c r="AW322" s="11">
        <v>57.583300000000001</v>
      </c>
      <c r="AX322" s="11">
        <v>20.459254000000001</v>
      </c>
      <c r="AY322" s="10">
        <v>92</v>
      </c>
      <c r="AZ322" t="s">
        <v>104</v>
      </c>
      <c r="BA322" s="17">
        <f t="shared" si="47"/>
        <v>0</v>
      </c>
      <c r="BB322" s="17">
        <f t="shared" si="48"/>
        <v>0</v>
      </c>
      <c r="BC322" s="17">
        <f t="shared" si="49"/>
        <v>0</v>
      </c>
      <c r="BG322" s="14">
        <v>0</v>
      </c>
      <c r="BH322" s="14">
        <v>0</v>
      </c>
      <c r="BI322" s="14">
        <v>1</v>
      </c>
      <c r="BJ322" s="14">
        <v>0</v>
      </c>
      <c r="BK322" s="14">
        <v>1</v>
      </c>
      <c r="BL322" s="14">
        <v>1</v>
      </c>
      <c r="BM322" s="14">
        <v>0</v>
      </c>
      <c r="BN322" s="14">
        <v>0</v>
      </c>
      <c r="BO322" s="14">
        <v>0</v>
      </c>
      <c r="BP322" s="14">
        <v>0</v>
      </c>
      <c r="BQ322" s="11">
        <v>23.887485000000002</v>
      </c>
      <c r="BR322" s="11">
        <v>57.583300000000001</v>
      </c>
      <c r="BS322" s="11">
        <v>20.459254000000001</v>
      </c>
      <c r="BT322" s="10">
        <v>92</v>
      </c>
    </row>
    <row r="323" spans="4:90">
      <c r="D323" s="10">
        <v>24</v>
      </c>
      <c r="E323" s="11">
        <v>7.7727149999999998</v>
      </c>
      <c r="F323" s="11">
        <v>63.166699999999999</v>
      </c>
      <c r="G323" s="10">
        <v>24</v>
      </c>
      <c r="AK323" s="10" t="s">
        <v>31</v>
      </c>
      <c r="AL323" s="10">
        <f t="shared" ref="AL323:AL366" si="51">IF(AK323="autumn",1,0)</f>
        <v>0</v>
      </c>
      <c r="AM323" s="10">
        <f t="shared" ref="AM323:AM366" si="52">IF(AK323="winter",1,0)</f>
        <v>0</v>
      </c>
      <c r="AN323" s="10">
        <f t="shared" ref="AN323:AN366" si="53">IF(AK323="spring",1,0)</f>
        <v>1</v>
      </c>
      <c r="AO323" s="10" t="s">
        <v>24</v>
      </c>
      <c r="AP323" s="10">
        <f t="shared" ref="AP323:AP366" si="54">IF(AO323="holiday",1,0)</f>
        <v>0</v>
      </c>
      <c r="AQ323" s="10" t="s">
        <v>11</v>
      </c>
      <c r="AR323" s="10">
        <f t="shared" ref="AR323:AR366" si="55">IF(AQ323="workingday",1,0)</f>
        <v>1</v>
      </c>
      <c r="AS323" s="10" t="s">
        <v>27</v>
      </c>
      <c r="AT323" s="10">
        <f t="shared" si="50"/>
        <v>0</v>
      </c>
      <c r="AU323" s="10">
        <f t="shared" ref="AU323:AU366" si="56">IF(AS323="rain",1,0)</f>
        <v>0</v>
      </c>
      <c r="AV323" s="11">
        <v>24.150015</v>
      </c>
      <c r="AW323" s="11">
        <v>41</v>
      </c>
      <c r="AX323" s="11">
        <v>11.291710999999999</v>
      </c>
      <c r="AY323" s="10">
        <v>98</v>
      </c>
      <c r="AZ323" t="s">
        <v>104</v>
      </c>
      <c r="BA323" s="17">
        <f t="shared" ref="BA323:BA366" si="57">IF(AZ323="queit",1,0)</f>
        <v>0</v>
      </c>
      <c r="BB323" s="17">
        <f t="shared" ref="BB323:BB366" si="58">IF(AZ323="Modest",1,0)</f>
        <v>0</v>
      </c>
      <c r="BC323" s="17">
        <f t="shared" ref="BC323:BC366" si="59">IF(AZ323="busy",1,0)</f>
        <v>0</v>
      </c>
      <c r="BG323" s="14">
        <v>0</v>
      </c>
      <c r="BH323" s="14">
        <v>0</v>
      </c>
      <c r="BI323" s="14">
        <v>1</v>
      </c>
      <c r="BJ323" s="14">
        <v>0</v>
      </c>
      <c r="BK323" s="14">
        <v>1</v>
      </c>
      <c r="BL323" s="14">
        <v>0</v>
      </c>
      <c r="BM323" s="14">
        <v>0</v>
      </c>
      <c r="BN323" s="14">
        <v>0</v>
      </c>
      <c r="BO323" s="14">
        <v>0</v>
      </c>
      <c r="BP323" s="14">
        <v>0</v>
      </c>
      <c r="BQ323" s="11">
        <v>24.150015</v>
      </c>
      <c r="BR323" s="11">
        <v>41</v>
      </c>
      <c r="BS323" s="11">
        <v>11.291710999999999</v>
      </c>
      <c r="BT323" s="10">
        <v>98</v>
      </c>
    </row>
    <row r="324" spans="4:90">
      <c r="D324" s="10">
        <v>28</v>
      </c>
      <c r="E324" s="11">
        <v>7.4250000000000007</v>
      </c>
      <c r="F324" s="11">
        <v>47.625</v>
      </c>
      <c r="G324" s="10">
        <v>28</v>
      </c>
      <c r="AK324" s="10" t="s">
        <v>31</v>
      </c>
      <c r="AL324" s="10">
        <f t="shared" si="51"/>
        <v>0</v>
      </c>
      <c r="AM324" s="10">
        <f t="shared" si="52"/>
        <v>0</v>
      </c>
      <c r="AN324" s="10">
        <f t="shared" si="53"/>
        <v>1</v>
      </c>
      <c r="AO324" s="10" t="s">
        <v>24</v>
      </c>
      <c r="AP324" s="10">
        <f t="shared" si="54"/>
        <v>0</v>
      </c>
      <c r="AQ324" s="10" t="s">
        <v>25</v>
      </c>
      <c r="AR324" s="10">
        <f t="shared" si="55"/>
        <v>0</v>
      </c>
      <c r="AS324" s="10" t="s">
        <v>27</v>
      </c>
      <c r="AT324" s="10">
        <f t="shared" si="50"/>
        <v>0</v>
      </c>
      <c r="AU324" s="10">
        <f t="shared" si="56"/>
        <v>0</v>
      </c>
      <c r="AV324" s="11">
        <v>27.112500000000001</v>
      </c>
      <c r="AW324" s="11">
        <v>50.208299999999994</v>
      </c>
      <c r="AX324" s="11">
        <v>15.041232000000001</v>
      </c>
      <c r="AY324" s="10">
        <v>116</v>
      </c>
      <c r="AZ324" t="s">
        <v>105</v>
      </c>
      <c r="BA324" s="17">
        <f t="shared" si="57"/>
        <v>0</v>
      </c>
      <c r="BB324" s="17">
        <f t="shared" si="58"/>
        <v>0</v>
      </c>
      <c r="BC324" s="17">
        <f t="shared" si="59"/>
        <v>1</v>
      </c>
      <c r="BG324" s="14">
        <v>0</v>
      </c>
      <c r="BH324" s="14">
        <v>0</v>
      </c>
      <c r="BI324" s="14">
        <v>1</v>
      </c>
      <c r="BJ324" s="14">
        <v>0</v>
      </c>
      <c r="BK324" s="14">
        <v>0</v>
      </c>
      <c r="BL324" s="14">
        <v>0</v>
      </c>
      <c r="BM324" s="14">
        <v>0</v>
      </c>
      <c r="BN324" s="14">
        <v>0</v>
      </c>
      <c r="BO324" s="14">
        <v>0</v>
      </c>
      <c r="BP324" s="14">
        <v>1</v>
      </c>
      <c r="BQ324" s="11">
        <v>27.112500000000001</v>
      </c>
      <c r="BR324" s="11">
        <v>50.208299999999994</v>
      </c>
      <c r="BS324" s="11">
        <v>15.041232000000001</v>
      </c>
      <c r="BT324" s="10">
        <v>116</v>
      </c>
    </row>
    <row r="325" spans="4:90">
      <c r="D325" s="10">
        <v>28</v>
      </c>
      <c r="E325" s="11">
        <v>7.2391500000000004</v>
      </c>
      <c r="F325" s="11">
        <v>59.125000000000007</v>
      </c>
      <c r="G325" s="10">
        <v>28</v>
      </c>
      <c r="AK325" s="10" t="s">
        <v>31</v>
      </c>
      <c r="AL325" s="10">
        <f t="shared" si="51"/>
        <v>0</v>
      </c>
      <c r="AM325" s="10">
        <f t="shared" si="52"/>
        <v>0</v>
      </c>
      <c r="AN325" s="10">
        <f t="shared" si="53"/>
        <v>1</v>
      </c>
      <c r="AO325" s="10" t="s">
        <v>24</v>
      </c>
      <c r="AP325" s="10">
        <f t="shared" si="54"/>
        <v>0</v>
      </c>
      <c r="AQ325" s="10" t="s">
        <v>25</v>
      </c>
      <c r="AR325" s="10">
        <f t="shared" si="55"/>
        <v>0</v>
      </c>
      <c r="AS325" s="10" t="s">
        <v>26</v>
      </c>
      <c r="AT325" s="10">
        <f t="shared" ref="AT325:AT366" si="60">IF(AS325="cloudy",1,0)</f>
        <v>1</v>
      </c>
      <c r="AU325" s="10">
        <f t="shared" si="56"/>
        <v>0</v>
      </c>
      <c r="AV325" s="11">
        <v>27.187515000000001</v>
      </c>
      <c r="AW325" s="11">
        <v>68.458300000000008</v>
      </c>
      <c r="AX325" s="11">
        <v>12.45865</v>
      </c>
      <c r="AY325" s="10">
        <v>94</v>
      </c>
      <c r="AZ325" t="s">
        <v>104</v>
      </c>
      <c r="BA325" s="17">
        <f t="shared" si="57"/>
        <v>0</v>
      </c>
      <c r="BB325" s="17">
        <f t="shared" si="58"/>
        <v>0</v>
      </c>
      <c r="BC325" s="17">
        <f t="shared" si="59"/>
        <v>0</v>
      </c>
      <c r="BG325" s="14">
        <v>0</v>
      </c>
      <c r="BH325" s="14">
        <v>0</v>
      </c>
      <c r="BI325" s="14">
        <v>1</v>
      </c>
      <c r="BJ325" s="14">
        <v>0</v>
      </c>
      <c r="BK325" s="14">
        <v>0</v>
      </c>
      <c r="BL325" s="14">
        <v>1</v>
      </c>
      <c r="BM325" s="14">
        <v>0</v>
      </c>
      <c r="BN325" s="14">
        <v>0</v>
      </c>
      <c r="BO325" s="14">
        <v>0</v>
      </c>
      <c r="BP325" s="14">
        <v>0</v>
      </c>
      <c r="BQ325" s="11">
        <v>27.187515000000001</v>
      </c>
      <c r="BR325" s="11">
        <v>68.458300000000008</v>
      </c>
      <c r="BS325" s="11">
        <v>12.45865</v>
      </c>
      <c r="BT325" s="10">
        <v>94</v>
      </c>
    </row>
    <row r="326" spans="4:90">
      <c r="D326" s="10">
        <v>25</v>
      </c>
      <c r="E326" s="11">
        <v>10.499985000000001</v>
      </c>
      <c r="F326" s="11">
        <v>58.5</v>
      </c>
      <c r="G326" s="10">
        <v>25</v>
      </c>
      <c r="AK326" s="10" t="s">
        <v>31</v>
      </c>
      <c r="AL326" s="10">
        <f t="shared" si="51"/>
        <v>0</v>
      </c>
      <c r="AM326" s="10">
        <f t="shared" si="52"/>
        <v>0</v>
      </c>
      <c r="AN326" s="10">
        <f t="shared" si="53"/>
        <v>1</v>
      </c>
      <c r="AO326" s="10" t="s">
        <v>24</v>
      </c>
      <c r="AP326" s="10">
        <f t="shared" si="54"/>
        <v>0</v>
      </c>
      <c r="AQ326" s="10" t="s">
        <v>11</v>
      </c>
      <c r="AR326" s="10">
        <f t="shared" si="55"/>
        <v>1</v>
      </c>
      <c r="AS326" s="10" t="s">
        <v>28</v>
      </c>
      <c r="AT326" s="10">
        <f t="shared" si="60"/>
        <v>0</v>
      </c>
      <c r="AU326" s="10">
        <f t="shared" si="56"/>
        <v>1</v>
      </c>
      <c r="AV326" s="11">
        <v>28.425014999999998</v>
      </c>
      <c r="AW326" s="11">
        <v>91</v>
      </c>
      <c r="AX326" s="11">
        <v>9.2496179999999999</v>
      </c>
      <c r="AY326" s="10">
        <v>86</v>
      </c>
      <c r="AZ326" t="s">
        <v>104</v>
      </c>
      <c r="BA326" s="17">
        <f t="shared" si="57"/>
        <v>0</v>
      </c>
      <c r="BB326" s="17">
        <f t="shared" si="58"/>
        <v>0</v>
      </c>
      <c r="BC326" s="17">
        <f t="shared" si="59"/>
        <v>0</v>
      </c>
      <c r="BG326" s="14">
        <v>0</v>
      </c>
      <c r="BH326" s="14">
        <v>0</v>
      </c>
      <c r="BI326" s="14">
        <v>1</v>
      </c>
      <c r="BJ326" s="14">
        <v>0</v>
      </c>
      <c r="BK326" s="14">
        <v>1</v>
      </c>
      <c r="BL326" s="14">
        <v>0</v>
      </c>
      <c r="BM326" s="14">
        <v>1</v>
      </c>
      <c r="BN326" s="14">
        <v>0</v>
      </c>
      <c r="BO326" s="14">
        <v>0</v>
      </c>
      <c r="BP326" s="14">
        <v>0</v>
      </c>
      <c r="BQ326" s="11">
        <v>28.425014999999998</v>
      </c>
      <c r="BR326" s="11">
        <v>91</v>
      </c>
      <c r="BS326" s="11">
        <v>9.2496179999999999</v>
      </c>
      <c r="BT326" s="10">
        <v>86</v>
      </c>
    </row>
    <row r="327" spans="4:90">
      <c r="D327" s="10">
        <v>24</v>
      </c>
      <c r="E327" s="11">
        <v>10.425015</v>
      </c>
      <c r="F327" s="11">
        <v>60.416699999999999</v>
      </c>
      <c r="G327" s="10">
        <v>24</v>
      </c>
      <c r="AK327" s="10" t="s">
        <v>31</v>
      </c>
      <c r="AL327" s="10">
        <f t="shared" si="51"/>
        <v>0</v>
      </c>
      <c r="AM327" s="10">
        <f t="shared" si="52"/>
        <v>0</v>
      </c>
      <c r="AN327" s="10">
        <f t="shared" si="53"/>
        <v>1</v>
      </c>
      <c r="AO327" s="10" t="s">
        <v>24</v>
      </c>
      <c r="AP327" s="10">
        <f t="shared" si="54"/>
        <v>0</v>
      </c>
      <c r="AQ327" s="10" t="s">
        <v>11</v>
      </c>
      <c r="AR327" s="10">
        <f t="shared" si="55"/>
        <v>1</v>
      </c>
      <c r="AS327" s="10" t="s">
        <v>28</v>
      </c>
      <c r="AT327" s="10">
        <f t="shared" si="60"/>
        <v>0</v>
      </c>
      <c r="AU327" s="10">
        <f t="shared" si="56"/>
        <v>1</v>
      </c>
      <c r="AV327" s="11">
        <v>29.700000000000003</v>
      </c>
      <c r="AW327" s="11">
        <v>96.25</v>
      </c>
      <c r="AX327" s="11">
        <v>7.9590639999999997</v>
      </c>
      <c r="AY327" s="10">
        <v>90</v>
      </c>
      <c r="AZ327" t="s">
        <v>104</v>
      </c>
      <c r="BA327" s="17">
        <f t="shared" si="57"/>
        <v>0</v>
      </c>
      <c r="BB327" s="17">
        <f t="shared" si="58"/>
        <v>0</v>
      </c>
      <c r="BC327" s="17">
        <f t="shared" si="59"/>
        <v>0</v>
      </c>
      <c r="BG327" s="14">
        <v>0</v>
      </c>
      <c r="BH327" s="14">
        <v>0</v>
      </c>
      <c r="BI327" s="14">
        <v>1</v>
      </c>
      <c r="BJ327" s="14">
        <v>0</v>
      </c>
      <c r="BK327" s="14">
        <v>1</v>
      </c>
      <c r="BL327" s="14">
        <v>0</v>
      </c>
      <c r="BM327" s="14">
        <v>1</v>
      </c>
      <c r="BN327" s="14">
        <v>0</v>
      </c>
      <c r="BO327" s="14">
        <v>0</v>
      </c>
      <c r="BP327" s="14">
        <v>0</v>
      </c>
      <c r="BQ327" s="11">
        <v>29.700000000000003</v>
      </c>
      <c r="BR327" s="11">
        <v>96.25</v>
      </c>
      <c r="BS327" s="11">
        <v>7.9590639999999997</v>
      </c>
      <c r="BT327" s="10">
        <v>90</v>
      </c>
    </row>
    <row r="328" spans="4:90">
      <c r="D328" s="10">
        <v>20</v>
      </c>
      <c r="E328" s="11">
        <v>7.9124849999999993</v>
      </c>
      <c r="F328" s="11">
        <v>65.125</v>
      </c>
      <c r="G328" s="10">
        <v>20</v>
      </c>
      <c r="AK328" s="10" t="s">
        <v>31</v>
      </c>
      <c r="AL328" s="10">
        <f t="shared" si="51"/>
        <v>0</v>
      </c>
      <c r="AM328" s="10">
        <f t="shared" si="52"/>
        <v>0</v>
      </c>
      <c r="AN328" s="10">
        <f t="shared" si="53"/>
        <v>1</v>
      </c>
      <c r="AO328" s="10" t="s">
        <v>24</v>
      </c>
      <c r="AP328" s="10">
        <f t="shared" si="54"/>
        <v>0</v>
      </c>
      <c r="AQ328" s="10" t="s">
        <v>11</v>
      </c>
      <c r="AR328" s="10">
        <f t="shared" si="55"/>
        <v>1</v>
      </c>
      <c r="AS328" s="10" t="s">
        <v>26</v>
      </c>
      <c r="AT328" s="10">
        <f t="shared" si="60"/>
        <v>1</v>
      </c>
      <c r="AU328" s="10">
        <f t="shared" si="56"/>
        <v>0</v>
      </c>
      <c r="AV328" s="11">
        <v>29.737485</v>
      </c>
      <c r="AW328" s="11">
        <v>75.791699999999992</v>
      </c>
      <c r="AX328" s="11">
        <v>22.500274999999998</v>
      </c>
      <c r="AY328" s="10">
        <v>100</v>
      </c>
      <c r="AZ328" t="s">
        <v>105</v>
      </c>
      <c r="BA328" s="17">
        <f t="shared" si="57"/>
        <v>0</v>
      </c>
      <c r="BB328" s="17">
        <f t="shared" si="58"/>
        <v>0</v>
      </c>
      <c r="BC328" s="17">
        <f t="shared" si="59"/>
        <v>1</v>
      </c>
      <c r="BG328" s="14">
        <v>0</v>
      </c>
      <c r="BH328" s="14">
        <v>0</v>
      </c>
      <c r="BI328" s="14">
        <v>1</v>
      </c>
      <c r="BJ328" s="14">
        <v>0</v>
      </c>
      <c r="BK328" s="14">
        <v>1</v>
      </c>
      <c r="BL328" s="14">
        <v>1</v>
      </c>
      <c r="BM328" s="14">
        <v>0</v>
      </c>
      <c r="BN328" s="14">
        <v>0</v>
      </c>
      <c r="BO328" s="14">
        <v>0</v>
      </c>
      <c r="BP328" s="14">
        <v>1</v>
      </c>
      <c r="BQ328" s="11">
        <v>29.737485</v>
      </c>
      <c r="BR328" s="11">
        <v>75.791699999999992</v>
      </c>
      <c r="BS328" s="11">
        <v>22.500274999999998</v>
      </c>
      <c r="BT328" s="10">
        <v>100</v>
      </c>
    </row>
    <row r="329" spans="4:90">
      <c r="D329" s="10">
        <v>13</v>
      </c>
      <c r="E329" s="11">
        <v>9.7500149999999994</v>
      </c>
      <c r="F329" s="11">
        <v>65.041700000000006</v>
      </c>
      <c r="G329" s="10">
        <v>13</v>
      </c>
      <c r="AK329" s="10" t="s">
        <v>31</v>
      </c>
      <c r="AL329" s="10">
        <f t="shared" si="51"/>
        <v>0</v>
      </c>
      <c r="AM329" s="10">
        <f t="shared" si="52"/>
        <v>0</v>
      </c>
      <c r="AN329" s="10">
        <f t="shared" si="53"/>
        <v>1</v>
      </c>
      <c r="AO329" s="10" t="s">
        <v>7</v>
      </c>
      <c r="AP329" s="10">
        <f t="shared" si="54"/>
        <v>1</v>
      </c>
      <c r="AQ329" s="10" t="s">
        <v>25</v>
      </c>
      <c r="AR329" s="10">
        <f t="shared" si="55"/>
        <v>0</v>
      </c>
      <c r="AS329" s="10" t="s">
        <v>27</v>
      </c>
      <c r="AT329" s="10">
        <f t="shared" si="60"/>
        <v>0</v>
      </c>
      <c r="AU329" s="10">
        <f t="shared" si="56"/>
        <v>0</v>
      </c>
      <c r="AV329" s="11">
        <v>31.874984999999999</v>
      </c>
      <c r="AW329" s="11">
        <v>54.916699999999999</v>
      </c>
      <c r="AX329" s="11">
        <v>11.209368000000001</v>
      </c>
      <c r="AY329" s="10">
        <v>93</v>
      </c>
      <c r="AZ329" t="s">
        <v>104</v>
      </c>
      <c r="BA329" s="17">
        <f t="shared" si="57"/>
        <v>0</v>
      </c>
      <c r="BB329" s="17">
        <f t="shared" si="58"/>
        <v>0</v>
      </c>
      <c r="BC329" s="17">
        <f t="shared" si="59"/>
        <v>0</v>
      </c>
      <c r="BG329" s="14">
        <v>0</v>
      </c>
      <c r="BH329" s="14">
        <v>0</v>
      </c>
      <c r="BI329" s="14">
        <v>1</v>
      </c>
      <c r="BJ329" s="14">
        <v>1</v>
      </c>
      <c r="BK329" s="14">
        <v>0</v>
      </c>
      <c r="BL329" s="14">
        <v>0</v>
      </c>
      <c r="BM329" s="14">
        <v>0</v>
      </c>
      <c r="BN329" s="14">
        <v>0</v>
      </c>
      <c r="BO329" s="14">
        <v>0</v>
      </c>
      <c r="BP329" s="14">
        <v>0</v>
      </c>
      <c r="BQ329" s="11">
        <v>31.874984999999999</v>
      </c>
      <c r="BR329" s="11">
        <v>54.916699999999999</v>
      </c>
      <c r="BS329" s="11">
        <v>11.209368000000001</v>
      </c>
      <c r="BT329" s="10">
        <v>93</v>
      </c>
    </row>
    <row r="330" spans="4:90" ht="19" thickBot="1">
      <c r="D330" s="10">
        <v>33</v>
      </c>
      <c r="E330" s="11">
        <v>13.147829999999999</v>
      </c>
      <c r="F330" s="11">
        <v>70.708300000000008</v>
      </c>
      <c r="G330" s="10">
        <v>33</v>
      </c>
      <c r="AK330" s="10" t="s">
        <v>31</v>
      </c>
      <c r="AL330" s="10">
        <f t="shared" si="51"/>
        <v>0</v>
      </c>
      <c r="AM330" s="10">
        <f t="shared" si="52"/>
        <v>0</v>
      </c>
      <c r="AN330" s="10">
        <f t="shared" si="53"/>
        <v>1</v>
      </c>
      <c r="AO330" s="10" t="s">
        <v>24</v>
      </c>
      <c r="AP330" s="10">
        <f t="shared" si="54"/>
        <v>0</v>
      </c>
      <c r="AQ330" s="10" t="s">
        <v>11</v>
      </c>
      <c r="AR330" s="10">
        <f t="shared" si="55"/>
        <v>1</v>
      </c>
      <c r="AS330" s="10" t="s">
        <v>27</v>
      </c>
      <c r="AT330" s="10">
        <f t="shared" si="60"/>
        <v>0</v>
      </c>
      <c r="AU330" s="10">
        <f t="shared" si="56"/>
        <v>0</v>
      </c>
      <c r="AV330" s="11">
        <v>30.675015000000002</v>
      </c>
      <c r="AW330" s="11">
        <v>64.375</v>
      </c>
      <c r="AX330" s="11">
        <v>6.6260186000000001</v>
      </c>
      <c r="AY330" s="10">
        <v>93</v>
      </c>
      <c r="AZ330" t="s">
        <v>104</v>
      </c>
      <c r="BA330" s="17">
        <f t="shared" si="57"/>
        <v>0</v>
      </c>
      <c r="BB330" s="17">
        <f t="shared" si="58"/>
        <v>0</v>
      </c>
      <c r="BC330" s="17">
        <f t="shared" si="59"/>
        <v>0</v>
      </c>
      <c r="BG330" s="14">
        <v>0</v>
      </c>
      <c r="BH330" s="14">
        <v>0</v>
      </c>
      <c r="BI330" s="14">
        <v>1</v>
      </c>
      <c r="BJ330" s="14">
        <v>0</v>
      </c>
      <c r="BK330" s="14">
        <v>1</v>
      </c>
      <c r="BL330" s="14">
        <v>0</v>
      </c>
      <c r="BM330" s="14">
        <v>0</v>
      </c>
      <c r="BN330" s="14">
        <v>0</v>
      </c>
      <c r="BO330" s="14">
        <v>0</v>
      </c>
      <c r="BP330" s="14">
        <v>0</v>
      </c>
      <c r="BQ330" s="11">
        <v>30.675015000000002</v>
      </c>
      <c r="BR330" s="11">
        <v>64.375</v>
      </c>
      <c r="BS330" s="11">
        <v>6.6260186000000001</v>
      </c>
      <c r="BT330" s="10">
        <v>93</v>
      </c>
    </row>
    <row r="331" spans="4:90">
      <c r="D331" s="10">
        <v>39</v>
      </c>
      <c r="E331" s="11">
        <v>11.775015</v>
      </c>
      <c r="F331" s="11">
        <v>69.125</v>
      </c>
      <c r="G331" s="10">
        <v>39</v>
      </c>
      <c r="AK331" s="10" t="s">
        <v>31</v>
      </c>
      <c r="AL331" s="10">
        <f t="shared" si="51"/>
        <v>0</v>
      </c>
      <c r="AM331" s="10">
        <f t="shared" si="52"/>
        <v>0</v>
      </c>
      <c r="AN331" s="10">
        <f t="shared" si="53"/>
        <v>1</v>
      </c>
      <c r="AO331" s="10" t="s">
        <v>24</v>
      </c>
      <c r="AP331" s="10">
        <f t="shared" si="54"/>
        <v>0</v>
      </c>
      <c r="AQ331" s="10" t="s">
        <v>25</v>
      </c>
      <c r="AR331" s="10">
        <f t="shared" si="55"/>
        <v>0</v>
      </c>
      <c r="AS331" s="10" t="s">
        <v>27</v>
      </c>
      <c r="AT331" s="10">
        <f t="shared" si="60"/>
        <v>0</v>
      </c>
      <c r="AU331" s="10">
        <f t="shared" si="56"/>
        <v>0</v>
      </c>
      <c r="AV331" s="11">
        <v>29.512485000000002</v>
      </c>
      <c r="AW331" s="11">
        <v>68.166700000000006</v>
      </c>
      <c r="AX331" s="11">
        <v>4.5841935999999999</v>
      </c>
      <c r="AY331" s="10">
        <v>95</v>
      </c>
      <c r="AZ331" t="s">
        <v>104</v>
      </c>
      <c r="BA331" s="17">
        <f t="shared" si="57"/>
        <v>0</v>
      </c>
      <c r="BB331" s="17">
        <f t="shared" si="58"/>
        <v>0</v>
      </c>
      <c r="BC331" s="17">
        <f t="shared" si="59"/>
        <v>0</v>
      </c>
      <c r="BG331" s="14">
        <v>0</v>
      </c>
      <c r="BH331" s="14">
        <v>0</v>
      </c>
      <c r="BI331" s="14">
        <v>1</v>
      </c>
      <c r="BJ331" s="14">
        <v>0</v>
      </c>
      <c r="BK331" s="14">
        <v>0</v>
      </c>
      <c r="BL331" s="14">
        <v>0</v>
      </c>
      <c r="BM331" s="14">
        <v>0</v>
      </c>
      <c r="BN331" s="14">
        <v>0</v>
      </c>
      <c r="BO331" s="14">
        <v>0</v>
      </c>
      <c r="BP331" s="14">
        <v>0</v>
      </c>
      <c r="BQ331" s="11">
        <v>29.512485000000002</v>
      </c>
      <c r="BR331" s="11">
        <v>68.166700000000006</v>
      </c>
      <c r="BS331" s="11">
        <v>4.5841935999999999</v>
      </c>
      <c r="BT331" s="10">
        <v>95</v>
      </c>
      <c r="CL331" s="147"/>
    </row>
    <row r="332" spans="4:90">
      <c r="D332" s="10">
        <v>31</v>
      </c>
      <c r="E332" s="11">
        <v>7.9874999999999998</v>
      </c>
      <c r="F332" s="11">
        <v>58.041699999999999</v>
      </c>
      <c r="G332" s="10">
        <v>31</v>
      </c>
      <c r="AK332" s="10" t="s">
        <v>31</v>
      </c>
      <c r="AL332" s="10">
        <f t="shared" si="51"/>
        <v>0</v>
      </c>
      <c r="AM332" s="10">
        <f t="shared" si="52"/>
        <v>0</v>
      </c>
      <c r="AN332" s="10">
        <f t="shared" si="53"/>
        <v>1</v>
      </c>
      <c r="AO332" s="10" t="s">
        <v>24</v>
      </c>
      <c r="AP332" s="10">
        <f t="shared" si="54"/>
        <v>0</v>
      </c>
      <c r="AQ332" s="10" t="s">
        <v>25</v>
      </c>
      <c r="AR332" s="10">
        <f t="shared" si="55"/>
        <v>0</v>
      </c>
      <c r="AS332" s="10" t="s">
        <v>27</v>
      </c>
      <c r="AT332" s="10">
        <f t="shared" si="60"/>
        <v>0</v>
      </c>
      <c r="AU332" s="10">
        <f t="shared" si="56"/>
        <v>0</v>
      </c>
      <c r="AV332" s="11">
        <v>30.037499999999998</v>
      </c>
      <c r="AW332" s="11">
        <v>69.833299999999994</v>
      </c>
      <c r="AX332" s="11">
        <v>13.999917999999999</v>
      </c>
      <c r="AY332" s="10">
        <v>96</v>
      </c>
      <c r="AZ332" t="s">
        <v>104</v>
      </c>
      <c r="BA332" s="17">
        <f t="shared" si="57"/>
        <v>0</v>
      </c>
      <c r="BB332" s="17">
        <f t="shared" si="58"/>
        <v>0</v>
      </c>
      <c r="BC332" s="17">
        <f t="shared" si="59"/>
        <v>0</v>
      </c>
      <c r="BG332" s="14">
        <v>0</v>
      </c>
      <c r="BH332" s="14">
        <v>0</v>
      </c>
      <c r="BI332" s="14">
        <v>1</v>
      </c>
      <c r="BJ332" s="14">
        <v>0</v>
      </c>
      <c r="BK332" s="14">
        <v>0</v>
      </c>
      <c r="BL332" s="14">
        <v>0</v>
      </c>
      <c r="BM332" s="14">
        <v>0</v>
      </c>
      <c r="BN332" s="14">
        <v>0</v>
      </c>
      <c r="BO332" s="14">
        <v>0</v>
      </c>
      <c r="BP332" s="14">
        <v>0</v>
      </c>
      <c r="BQ332" s="11">
        <v>30.037499999999998</v>
      </c>
      <c r="BR332" s="11">
        <v>69.833299999999994</v>
      </c>
      <c r="BS332" s="11">
        <v>13.999917999999999</v>
      </c>
      <c r="BT332" s="10">
        <v>96</v>
      </c>
    </row>
    <row r="333" spans="4:90">
      <c r="D333" s="10">
        <v>20</v>
      </c>
      <c r="E333" s="11">
        <v>2.6608679999999998</v>
      </c>
      <c r="F333" s="11">
        <v>50</v>
      </c>
      <c r="G333" s="10">
        <v>20</v>
      </c>
      <c r="AK333" s="10" t="s">
        <v>31</v>
      </c>
      <c r="AL333" s="10">
        <f t="shared" si="51"/>
        <v>0</v>
      </c>
      <c r="AM333" s="10">
        <f t="shared" si="52"/>
        <v>0</v>
      </c>
      <c r="AN333" s="10">
        <f t="shared" si="53"/>
        <v>1</v>
      </c>
      <c r="AO333" s="10" t="s">
        <v>24</v>
      </c>
      <c r="AP333" s="10">
        <f t="shared" si="54"/>
        <v>0</v>
      </c>
      <c r="AQ333" s="10" t="s">
        <v>11</v>
      </c>
      <c r="AR333" s="10">
        <f t="shared" si="55"/>
        <v>1</v>
      </c>
      <c r="AS333" s="10" t="s">
        <v>27</v>
      </c>
      <c r="AT333" s="10">
        <f t="shared" si="60"/>
        <v>0</v>
      </c>
      <c r="AU333" s="10">
        <f t="shared" si="56"/>
        <v>0</v>
      </c>
      <c r="AV333" s="11">
        <v>32.999985000000002</v>
      </c>
      <c r="AW333" s="11">
        <v>74.304299999999998</v>
      </c>
      <c r="AX333" s="11">
        <v>9.5221739999999997</v>
      </c>
      <c r="AY333" s="10">
        <v>82</v>
      </c>
      <c r="AZ333" t="s">
        <v>104</v>
      </c>
      <c r="BA333" s="17">
        <f t="shared" si="57"/>
        <v>0</v>
      </c>
      <c r="BB333" s="17">
        <f t="shared" si="58"/>
        <v>0</v>
      </c>
      <c r="BC333" s="17">
        <f t="shared" si="59"/>
        <v>0</v>
      </c>
      <c r="BG333" s="14">
        <v>0</v>
      </c>
      <c r="BH333" s="14">
        <v>0</v>
      </c>
      <c r="BI333" s="14">
        <v>1</v>
      </c>
      <c r="BJ333" s="14">
        <v>0</v>
      </c>
      <c r="BK333" s="14">
        <v>1</v>
      </c>
      <c r="BL333" s="14">
        <v>0</v>
      </c>
      <c r="BM333" s="14">
        <v>0</v>
      </c>
      <c r="BN333" s="14">
        <v>0</v>
      </c>
      <c r="BO333" s="14">
        <v>0</v>
      </c>
      <c r="BP333" s="14">
        <v>0</v>
      </c>
      <c r="BQ333" s="11">
        <v>32.999985000000002</v>
      </c>
      <c r="BR333" s="11">
        <v>74.304299999999998</v>
      </c>
      <c r="BS333" s="11">
        <v>9.5221739999999997</v>
      </c>
      <c r="BT333" s="10">
        <v>82</v>
      </c>
    </row>
    <row r="334" spans="4:90">
      <c r="D334" s="10">
        <v>20</v>
      </c>
      <c r="E334" s="11">
        <v>4.3434765000000004</v>
      </c>
      <c r="F334" s="11">
        <v>55.083300000000001</v>
      </c>
      <c r="G334" s="10">
        <v>20</v>
      </c>
      <c r="AK334" s="10" t="s">
        <v>31</v>
      </c>
      <c r="AL334" s="10">
        <f t="shared" si="51"/>
        <v>0</v>
      </c>
      <c r="AM334" s="10">
        <f t="shared" si="52"/>
        <v>0</v>
      </c>
      <c r="AN334" s="10">
        <f t="shared" si="53"/>
        <v>1</v>
      </c>
      <c r="AO334" s="10" t="s">
        <v>24</v>
      </c>
      <c r="AP334" s="10">
        <f t="shared" si="54"/>
        <v>0</v>
      </c>
      <c r="AQ334" s="10" t="s">
        <v>11</v>
      </c>
      <c r="AR334" s="10">
        <f t="shared" si="55"/>
        <v>1</v>
      </c>
      <c r="AS334" s="10" t="s">
        <v>26</v>
      </c>
      <c r="AT334" s="10">
        <f t="shared" si="60"/>
        <v>1</v>
      </c>
      <c r="AU334" s="10">
        <f t="shared" si="56"/>
        <v>0</v>
      </c>
      <c r="AV334" s="11">
        <v>34.875</v>
      </c>
      <c r="AW334" s="11">
        <v>83.083300000000008</v>
      </c>
      <c r="AX334" s="11">
        <v>17.292164</v>
      </c>
      <c r="AY334" s="10">
        <v>79</v>
      </c>
      <c r="AZ334" t="s">
        <v>104</v>
      </c>
      <c r="BA334" s="17">
        <f t="shared" si="57"/>
        <v>0</v>
      </c>
      <c r="BB334" s="17">
        <f t="shared" si="58"/>
        <v>0</v>
      </c>
      <c r="BC334" s="17">
        <f t="shared" si="59"/>
        <v>0</v>
      </c>
      <c r="BG334" s="14">
        <v>0</v>
      </c>
      <c r="BH334" s="14">
        <v>0</v>
      </c>
      <c r="BI334" s="14">
        <v>1</v>
      </c>
      <c r="BJ334" s="14">
        <v>0</v>
      </c>
      <c r="BK334" s="14">
        <v>1</v>
      </c>
      <c r="BL334" s="14">
        <v>1</v>
      </c>
      <c r="BM334" s="14">
        <v>0</v>
      </c>
      <c r="BN334" s="14">
        <v>0</v>
      </c>
      <c r="BO334" s="14">
        <v>0</v>
      </c>
      <c r="BP334" s="14">
        <v>0</v>
      </c>
      <c r="BQ334" s="11">
        <v>34.875</v>
      </c>
      <c r="BR334" s="11">
        <v>83.083300000000008</v>
      </c>
      <c r="BS334" s="11">
        <v>17.292164</v>
      </c>
      <c r="BT334" s="10">
        <v>79</v>
      </c>
    </row>
    <row r="335" spans="4:90">
      <c r="D335" s="10">
        <v>29</v>
      </c>
      <c r="E335" s="11">
        <v>4.3826084999999999</v>
      </c>
      <c r="F335" s="11">
        <v>75.708299999999994</v>
      </c>
      <c r="G335" s="10">
        <v>29</v>
      </c>
      <c r="AK335" s="10" t="s">
        <v>31</v>
      </c>
      <c r="AL335" s="10">
        <f t="shared" si="51"/>
        <v>0</v>
      </c>
      <c r="AM335" s="10">
        <f t="shared" si="52"/>
        <v>0</v>
      </c>
      <c r="AN335" s="10">
        <f t="shared" si="53"/>
        <v>1</v>
      </c>
      <c r="AO335" s="10" t="s">
        <v>24</v>
      </c>
      <c r="AP335" s="10">
        <f t="shared" si="54"/>
        <v>0</v>
      </c>
      <c r="AQ335" s="10" t="s">
        <v>11</v>
      </c>
      <c r="AR335" s="10">
        <f t="shared" si="55"/>
        <v>1</v>
      </c>
      <c r="AS335" s="10" t="s">
        <v>27</v>
      </c>
      <c r="AT335" s="10">
        <f t="shared" si="60"/>
        <v>0</v>
      </c>
      <c r="AU335" s="10">
        <f t="shared" si="56"/>
        <v>0</v>
      </c>
      <c r="AV335" s="11">
        <v>34.387515</v>
      </c>
      <c r="AW335" s="11">
        <v>61.333300000000001</v>
      </c>
      <c r="AX335" s="11">
        <v>18.167586</v>
      </c>
      <c r="AY335" s="10">
        <v>79</v>
      </c>
      <c r="AZ335" t="s">
        <v>104</v>
      </c>
      <c r="BA335" s="17">
        <f t="shared" si="57"/>
        <v>0</v>
      </c>
      <c r="BB335" s="17">
        <f t="shared" si="58"/>
        <v>0</v>
      </c>
      <c r="BC335" s="17">
        <f t="shared" si="59"/>
        <v>0</v>
      </c>
      <c r="BG335" s="14">
        <v>0</v>
      </c>
      <c r="BH335" s="14">
        <v>0</v>
      </c>
      <c r="BI335" s="14">
        <v>1</v>
      </c>
      <c r="BJ335" s="14">
        <v>0</v>
      </c>
      <c r="BK335" s="14">
        <v>1</v>
      </c>
      <c r="BL335" s="14">
        <v>0</v>
      </c>
      <c r="BM335" s="14">
        <v>0</v>
      </c>
      <c r="BN335" s="14">
        <v>0</v>
      </c>
      <c r="BO335" s="14">
        <v>0</v>
      </c>
      <c r="BP335" s="14">
        <v>0</v>
      </c>
      <c r="BQ335" s="11">
        <v>34.387515</v>
      </c>
      <c r="BR335" s="11">
        <v>61.333300000000001</v>
      </c>
      <c r="BS335" s="11">
        <v>18.167586</v>
      </c>
      <c r="BT335" s="10">
        <v>79</v>
      </c>
    </row>
    <row r="336" spans="4:90">
      <c r="D336" s="10">
        <v>40</v>
      </c>
      <c r="E336" s="11">
        <v>10.056510000000001</v>
      </c>
      <c r="F336" s="11">
        <v>54.083300000000001</v>
      </c>
      <c r="G336" s="10">
        <v>40</v>
      </c>
      <c r="AK336" s="10" t="s">
        <v>23</v>
      </c>
      <c r="AL336" s="10">
        <f t="shared" si="51"/>
        <v>0</v>
      </c>
      <c r="AM336" s="10">
        <f t="shared" si="52"/>
        <v>0</v>
      </c>
      <c r="AN336" s="10">
        <f t="shared" si="53"/>
        <v>0</v>
      </c>
      <c r="AO336" s="10" t="s">
        <v>24</v>
      </c>
      <c r="AP336" s="10">
        <f t="shared" si="54"/>
        <v>0</v>
      </c>
      <c r="AQ336" s="10" t="s">
        <v>11</v>
      </c>
      <c r="AR336" s="10">
        <f t="shared" si="55"/>
        <v>1</v>
      </c>
      <c r="AS336" s="10" t="s">
        <v>27</v>
      </c>
      <c r="AT336" s="10">
        <f t="shared" si="60"/>
        <v>0</v>
      </c>
      <c r="AU336" s="10">
        <f t="shared" si="56"/>
        <v>0</v>
      </c>
      <c r="AV336" s="11">
        <v>32.174999999999997</v>
      </c>
      <c r="AW336" s="11">
        <v>52.458300000000001</v>
      </c>
      <c r="AX336" s="11">
        <v>14.750586</v>
      </c>
      <c r="AY336" s="10">
        <v>100</v>
      </c>
      <c r="AZ336" t="s">
        <v>105</v>
      </c>
      <c r="BA336" s="17">
        <f t="shared" si="57"/>
        <v>0</v>
      </c>
      <c r="BB336" s="17">
        <f t="shared" si="58"/>
        <v>0</v>
      </c>
      <c r="BC336" s="17">
        <f t="shared" si="59"/>
        <v>1</v>
      </c>
      <c r="BG336" s="14">
        <v>0</v>
      </c>
      <c r="BH336" s="14">
        <v>0</v>
      </c>
      <c r="BI336" s="14">
        <v>0</v>
      </c>
      <c r="BJ336" s="14">
        <v>0</v>
      </c>
      <c r="BK336" s="14">
        <v>1</v>
      </c>
      <c r="BL336" s="14">
        <v>0</v>
      </c>
      <c r="BM336" s="14">
        <v>0</v>
      </c>
      <c r="BN336" s="14">
        <v>0</v>
      </c>
      <c r="BO336" s="14">
        <v>0</v>
      </c>
      <c r="BP336" s="14">
        <v>1</v>
      </c>
      <c r="BQ336" s="11">
        <v>32.174999999999997</v>
      </c>
      <c r="BR336" s="11">
        <v>52.458300000000001</v>
      </c>
      <c r="BS336" s="11">
        <v>14.750586</v>
      </c>
      <c r="BT336" s="10">
        <v>100</v>
      </c>
    </row>
    <row r="337" spans="4:72">
      <c r="D337" s="10">
        <v>10</v>
      </c>
      <c r="E337" s="11">
        <v>9.7874999999999996</v>
      </c>
      <c r="F337" s="11">
        <v>40.291700000000006</v>
      </c>
      <c r="G337" s="10">
        <v>10</v>
      </c>
      <c r="AK337" s="10" t="s">
        <v>23</v>
      </c>
      <c r="AL337" s="10">
        <f t="shared" si="51"/>
        <v>0</v>
      </c>
      <c r="AM337" s="10">
        <f t="shared" si="52"/>
        <v>0</v>
      </c>
      <c r="AN337" s="10">
        <f t="shared" si="53"/>
        <v>0</v>
      </c>
      <c r="AO337" s="10" t="s">
        <v>24</v>
      </c>
      <c r="AP337" s="10">
        <f t="shared" si="54"/>
        <v>0</v>
      </c>
      <c r="AQ337" s="10" t="s">
        <v>11</v>
      </c>
      <c r="AR337" s="10">
        <f t="shared" si="55"/>
        <v>1</v>
      </c>
      <c r="AS337" s="10" t="s">
        <v>27</v>
      </c>
      <c r="AT337" s="10">
        <f t="shared" si="60"/>
        <v>0</v>
      </c>
      <c r="AU337" s="10">
        <f t="shared" si="56"/>
        <v>0</v>
      </c>
      <c r="AV337" s="11">
        <v>27.9</v>
      </c>
      <c r="AW337" s="11">
        <v>62.583299999999994</v>
      </c>
      <c r="AX337" s="11">
        <v>6.7505179999999996</v>
      </c>
      <c r="AY337" s="10">
        <v>106</v>
      </c>
      <c r="AZ337" t="s">
        <v>105</v>
      </c>
      <c r="BA337" s="17">
        <f t="shared" si="57"/>
        <v>0</v>
      </c>
      <c r="BB337" s="17">
        <f t="shared" si="58"/>
        <v>0</v>
      </c>
      <c r="BC337" s="17">
        <f t="shared" si="59"/>
        <v>1</v>
      </c>
      <c r="BG337" s="14">
        <v>0</v>
      </c>
      <c r="BH337" s="14">
        <v>0</v>
      </c>
      <c r="BI337" s="14">
        <v>0</v>
      </c>
      <c r="BJ337" s="14">
        <v>0</v>
      </c>
      <c r="BK337" s="14">
        <v>1</v>
      </c>
      <c r="BL337" s="14">
        <v>0</v>
      </c>
      <c r="BM337" s="14">
        <v>0</v>
      </c>
      <c r="BN337" s="14">
        <v>0</v>
      </c>
      <c r="BO337" s="14">
        <v>0</v>
      </c>
      <c r="BP337" s="14">
        <v>1</v>
      </c>
      <c r="BQ337" s="11">
        <v>27.9</v>
      </c>
      <c r="BR337" s="11">
        <v>62.583299999999994</v>
      </c>
      <c r="BS337" s="11">
        <v>6.7505179999999996</v>
      </c>
      <c r="BT337" s="10">
        <v>106</v>
      </c>
    </row>
    <row r="338" spans="4:72">
      <c r="D338" s="10">
        <v>8</v>
      </c>
      <c r="E338" s="11">
        <v>8.7750000000000004</v>
      </c>
      <c r="F338" s="11">
        <v>58.333300000000001</v>
      </c>
      <c r="G338" s="10">
        <v>8</v>
      </c>
      <c r="AK338" s="10" t="s">
        <v>23</v>
      </c>
      <c r="AL338" s="10">
        <f t="shared" si="51"/>
        <v>0</v>
      </c>
      <c r="AM338" s="10">
        <f t="shared" si="52"/>
        <v>0</v>
      </c>
      <c r="AN338" s="10">
        <f t="shared" si="53"/>
        <v>0</v>
      </c>
      <c r="AO338" s="10" t="s">
        <v>24</v>
      </c>
      <c r="AP338" s="10">
        <f t="shared" si="54"/>
        <v>0</v>
      </c>
      <c r="AQ338" s="10" t="s">
        <v>25</v>
      </c>
      <c r="AR338" s="10">
        <f t="shared" si="55"/>
        <v>0</v>
      </c>
      <c r="AS338" s="10" t="s">
        <v>27</v>
      </c>
      <c r="AT338" s="10">
        <f t="shared" si="60"/>
        <v>0</v>
      </c>
      <c r="AU338" s="10">
        <f t="shared" si="56"/>
        <v>0</v>
      </c>
      <c r="AV338" s="11">
        <v>28.574999999999999</v>
      </c>
      <c r="AW338" s="11">
        <v>61.291700000000006</v>
      </c>
      <c r="AX338" s="11">
        <v>6.4174810999999998</v>
      </c>
      <c r="AY338" s="10">
        <v>106</v>
      </c>
      <c r="AZ338" t="s">
        <v>105</v>
      </c>
      <c r="BA338" s="17">
        <f t="shared" si="57"/>
        <v>0</v>
      </c>
      <c r="BB338" s="17">
        <f t="shared" si="58"/>
        <v>0</v>
      </c>
      <c r="BC338" s="17">
        <f t="shared" si="59"/>
        <v>1</v>
      </c>
      <c r="BG338" s="14">
        <v>0</v>
      </c>
      <c r="BH338" s="14">
        <v>0</v>
      </c>
      <c r="BI338" s="14">
        <v>0</v>
      </c>
      <c r="BJ338" s="14">
        <v>0</v>
      </c>
      <c r="BK338" s="14">
        <v>0</v>
      </c>
      <c r="BL338" s="14">
        <v>0</v>
      </c>
      <c r="BM338" s="14">
        <v>0</v>
      </c>
      <c r="BN338" s="14">
        <v>0</v>
      </c>
      <c r="BO338" s="14">
        <v>0</v>
      </c>
      <c r="BP338" s="14">
        <v>1</v>
      </c>
      <c r="BQ338" s="11">
        <v>28.574999999999999</v>
      </c>
      <c r="BR338" s="11">
        <v>61.291700000000006</v>
      </c>
      <c r="BS338" s="11">
        <v>6.4174810999999998</v>
      </c>
      <c r="BT338" s="10">
        <v>106</v>
      </c>
    </row>
    <row r="339" spans="4:72">
      <c r="D339" s="10">
        <v>24</v>
      </c>
      <c r="E339" s="11">
        <v>9.156509999999999</v>
      </c>
      <c r="F339" s="11">
        <v>54.25</v>
      </c>
      <c r="G339" s="10">
        <v>24</v>
      </c>
      <c r="AK339" s="10" t="s">
        <v>23</v>
      </c>
      <c r="AL339" s="10">
        <f t="shared" si="51"/>
        <v>0</v>
      </c>
      <c r="AM339" s="10">
        <f t="shared" si="52"/>
        <v>0</v>
      </c>
      <c r="AN339" s="10">
        <f t="shared" si="53"/>
        <v>0</v>
      </c>
      <c r="AO339" s="10" t="s">
        <v>24</v>
      </c>
      <c r="AP339" s="10">
        <f t="shared" si="54"/>
        <v>0</v>
      </c>
      <c r="AQ339" s="10" t="s">
        <v>25</v>
      </c>
      <c r="AR339" s="10">
        <f t="shared" si="55"/>
        <v>0</v>
      </c>
      <c r="AS339" s="10" t="s">
        <v>27</v>
      </c>
      <c r="AT339" s="10">
        <f t="shared" si="60"/>
        <v>0</v>
      </c>
      <c r="AU339" s="10">
        <f t="shared" si="56"/>
        <v>0</v>
      </c>
      <c r="AV339" s="11">
        <v>29.174985000000003</v>
      </c>
      <c r="AW339" s="11">
        <v>77.583299999999994</v>
      </c>
      <c r="AX339" s="11">
        <v>5.6252060999999998</v>
      </c>
      <c r="AY339" s="10">
        <v>98</v>
      </c>
      <c r="AZ339" t="s">
        <v>104</v>
      </c>
      <c r="BA339" s="17">
        <f t="shared" si="57"/>
        <v>0</v>
      </c>
      <c r="BB339" s="17">
        <f t="shared" si="58"/>
        <v>0</v>
      </c>
      <c r="BC339" s="17">
        <f t="shared" si="59"/>
        <v>0</v>
      </c>
      <c r="BG339" s="14">
        <v>0</v>
      </c>
      <c r="BH339" s="14">
        <v>0</v>
      </c>
      <c r="BI339" s="14">
        <v>0</v>
      </c>
      <c r="BJ339" s="14">
        <v>0</v>
      </c>
      <c r="BK339" s="14">
        <v>0</v>
      </c>
      <c r="BL339" s="14">
        <v>0</v>
      </c>
      <c r="BM339" s="14">
        <v>0</v>
      </c>
      <c r="BN339" s="14">
        <v>0</v>
      </c>
      <c r="BO339" s="14">
        <v>0</v>
      </c>
      <c r="BP339" s="14">
        <v>0</v>
      </c>
      <c r="BQ339" s="11">
        <v>29.174985000000003</v>
      </c>
      <c r="BR339" s="11">
        <v>77.583299999999994</v>
      </c>
      <c r="BS339" s="11">
        <v>5.6252060999999998</v>
      </c>
      <c r="BT339" s="10">
        <v>98</v>
      </c>
    </row>
    <row r="340" spans="4:72">
      <c r="D340" s="10">
        <v>22</v>
      </c>
      <c r="E340" s="11">
        <v>8.843490000000001</v>
      </c>
      <c r="F340" s="11">
        <v>46.583300000000001</v>
      </c>
      <c r="G340" s="10">
        <v>22</v>
      </c>
      <c r="AK340" s="10" t="s">
        <v>23</v>
      </c>
      <c r="AL340" s="10">
        <f t="shared" si="51"/>
        <v>0</v>
      </c>
      <c r="AM340" s="10">
        <f t="shared" si="52"/>
        <v>0</v>
      </c>
      <c r="AN340" s="10">
        <f t="shared" si="53"/>
        <v>0</v>
      </c>
      <c r="AO340" s="10" t="s">
        <v>24</v>
      </c>
      <c r="AP340" s="10">
        <f t="shared" si="54"/>
        <v>0</v>
      </c>
      <c r="AQ340" s="10" t="s">
        <v>11</v>
      </c>
      <c r="AR340" s="10">
        <f t="shared" si="55"/>
        <v>1</v>
      </c>
      <c r="AS340" s="10" t="s">
        <v>26</v>
      </c>
      <c r="AT340" s="10">
        <f t="shared" si="60"/>
        <v>1</v>
      </c>
      <c r="AU340" s="10">
        <f t="shared" si="56"/>
        <v>0</v>
      </c>
      <c r="AV340" s="11">
        <v>30.524984999999997</v>
      </c>
      <c r="AW340" s="11">
        <v>82.708300000000008</v>
      </c>
      <c r="AX340" s="11">
        <v>4.1679561000000005</v>
      </c>
      <c r="AY340" s="10">
        <v>91</v>
      </c>
      <c r="AZ340" t="s">
        <v>104</v>
      </c>
      <c r="BA340" s="17">
        <f t="shared" si="57"/>
        <v>0</v>
      </c>
      <c r="BB340" s="17">
        <f t="shared" si="58"/>
        <v>0</v>
      </c>
      <c r="BC340" s="17">
        <f t="shared" si="59"/>
        <v>0</v>
      </c>
      <c r="BG340" s="14">
        <v>0</v>
      </c>
      <c r="BH340" s="14">
        <v>0</v>
      </c>
      <c r="BI340" s="14">
        <v>0</v>
      </c>
      <c r="BJ340" s="14">
        <v>0</v>
      </c>
      <c r="BK340" s="14">
        <v>1</v>
      </c>
      <c r="BL340" s="14">
        <v>1</v>
      </c>
      <c r="BM340" s="14">
        <v>0</v>
      </c>
      <c r="BN340" s="14">
        <v>0</v>
      </c>
      <c r="BO340" s="14">
        <v>0</v>
      </c>
      <c r="BP340" s="14">
        <v>0</v>
      </c>
      <c r="BQ340" s="11">
        <v>30.524984999999997</v>
      </c>
      <c r="BR340" s="11">
        <v>82.708300000000008</v>
      </c>
      <c r="BS340" s="11">
        <v>4.1679561000000005</v>
      </c>
      <c r="BT340" s="10">
        <v>91</v>
      </c>
    </row>
    <row r="341" spans="4:72">
      <c r="D341" s="10">
        <v>22</v>
      </c>
      <c r="E341" s="11">
        <v>9.7434899999999995</v>
      </c>
      <c r="F341" s="11">
        <v>48.083300000000001</v>
      </c>
      <c r="G341" s="10">
        <v>22</v>
      </c>
      <c r="AK341" s="10" t="s">
        <v>23</v>
      </c>
      <c r="AL341" s="10">
        <f t="shared" si="51"/>
        <v>0</v>
      </c>
      <c r="AM341" s="10">
        <f t="shared" si="52"/>
        <v>0</v>
      </c>
      <c r="AN341" s="10">
        <f t="shared" si="53"/>
        <v>0</v>
      </c>
      <c r="AO341" s="10" t="s">
        <v>24</v>
      </c>
      <c r="AP341" s="10">
        <f t="shared" si="54"/>
        <v>0</v>
      </c>
      <c r="AQ341" s="10" t="s">
        <v>11</v>
      </c>
      <c r="AR341" s="10">
        <f t="shared" si="55"/>
        <v>1</v>
      </c>
      <c r="AS341" s="10" t="s">
        <v>28</v>
      </c>
      <c r="AT341" s="10">
        <f t="shared" si="60"/>
        <v>0</v>
      </c>
      <c r="AU341" s="10">
        <f t="shared" si="56"/>
        <v>1</v>
      </c>
      <c r="AV341" s="11">
        <v>31.837500000000002</v>
      </c>
      <c r="AW341" s="11">
        <v>94.958299999999994</v>
      </c>
      <c r="AX341" s="11">
        <v>15.583061000000001</v>
      </c>
      <c r="AY341" s="10">
        <v>96</v>
      </c>
      <c r="AZ341" t="s">
        <v>104</v>
      </c>
      <c r="BA341" s="17">
        <f t="shared" si="57"/>
        <v>0</v>
      </c>
      <c r="BB341" s="17">
        <f t="shared" si="58"/>
        <v>0</v>
      </c>
      <c r="BC341" s="17">
        <f t="shared" si="59"/>
        <v>0</v>
      </c>
      <c r="BG341" s="14">
        <v>0</v>
      </c>
      <c r="BH341" s="14">
        <v>0</v>
      </c>
      <c r="BI341" s="14">
        <v>0</v>
      </c>
      <c r="BJ341" s="14">
        <v>0</v>
      </c>
      <c r="BK341" s="14">
        <v>1</v>
      </c>
      <c r="BL341" s="14">
        <v>0</v>
      </c>
      <c r="BM341" s="14">
        <v>1</v>
      </c>
      <c r="BN341" s="14">
        <v>0</v>
      </c>
      <c r="BO341" s="14">
        <v>0</v>
      </c>
      <c r="BP341" s="14">
        <v>0</v>
      </c>
      <c r="BQ341" s="11">
        <v>31.837500000000002</v>
      </c>
      <c r="BR341" s="11">
        <v>94.958299999999994</v>
      </c>
      <c r="BS341" s="11">
        <v>15.583061000000001</v>
      </c>
      <c r="BT341" s="10">
        <v>96</v>
      </c>
    </row>
    <row r="342" spans="4:72">
      <c r="D342" s="10">
        <v>30</v>
      </c>
      <c r="E342" s="11">
        <v>8.1374849999999999</v>
      </c>
      <c r="F342" s="11">
        <v>55.083300000000001</v>
      </c>
      <c r="G342" s="10">
        <v>30</v>
      </c>
      <c r="AK342" s="10" t="s">
        <v>23</v>
      </c>
      <c r="AL342" s="10">
        <f t="shared" si="51"/>
        <v>0</v>
      </c>
      <c r="AM342" s="10">
        <f t="shared" si="52"/>
        <v>0</v>
      </c>
      <c r="AN342" s="10">
        <f t="shared" si="53"/>
        <v>0</v>
      </c>
      <c r="AO342" s="10" t="s">
        <v>24</v>
      </c>
      <c r="AP342" s="10">
        <f t="shared" si="54"/>
        <v>0</v>
      </c>
      <c r="AQ342" s="10" t="s">
        <v>11</v>
      </c>
      <c r="AR342" s="10">
        <f t="shared" si="55"/>
        <v>1</v>
      </c>
      <c r="AS342" s="10" t="s">
        <v>28</v>
      </c>
      <c r="AT342" s="10">
        <f t="shared" si="60"/>
        <v>0</v>
      </c>
      <c r="AU342" s="10">
        <f t="shared" si="56"/>
        <v>1</v>
      </c>
      <c r="AV342" s="11">
        <v>34.912484999999997</v>
      </c>
      <c r="AW342" s="11">
        <v>97.041699999999992</v>
      </c>
      <c r="AX342" s="11">
        <v>17.833725000000001</v>
      </c>
      <c r="AY342" s="10">
        <v>89</v>
      </c>
      <c r="AZ342" t="s">
        <v>104</v>
      </c>
      <c r="BA342" s="17">
        <f t="shared" si="57"/>
        <v>0</v>
      </c>
      <c r="BB342" s="17">
        <f t="shared" si="58"/>
        <v>0</v>
      </c>
      <c r="BC342" s="17">
        <f t="shared" si="59"/>
        <v>0</v>
      </c>
      <c r="BG342" s="14">
        <v>0</v>
      </c>
      <c r="BH342" s="14">
        <v>0</v>
      </c>
      <c r="BI342" s="14">
        <v>0</v>
      </c>
      <c r="BJ342" s="14">
        <v>0</v>
      </c>
      <c r="BK342" s="14">
        <v>1</v>
      </c>
      <c r="BL342" s="14">
        <v>0</v>
      </c>
      <c r="BM342" s="14">
        <v>1</v>
      </c>
      <c r="BN342" s="14">
        <v>0</v>
      </c>
      <c r="BO342" s="14">
        <v>0</v>
      </c>
      <c r="BP342" s="14">
        <v>0</v>
      </c>
      <c r="BQ342" s="11">
        <v>34.912484999999997</v>
      </c>
      <c r="BR342" s="11">
        <v>97.041699999999992</v>
      </c>
      <c r="BS342" s="11">
        <v>17.833725000000001</v>
      </c>
      <c r="BT342" s="10">
        <v>89</v>
      </c>
    </row>
    <row r="343" spans="4:72">
      <c r="D343" s="10">
        <v>27</v>
      </c>
      <c r="E343" s="11">
        <v>8.6478300000000008</v>
      </c>
      <c r="F343" s="11">
        <v>49.125</v>
      </c>
      <c r="G343" s="10">
        <v>27</v>
      </c>
      <c r="AK343" s="10" t="s">
        <v>23</v>
      </c>
      <c r="AL343" s="10">
        <f t="shared" si="51"/>
        <v>0</v>
      </c>
      <c r="AM343" s="10">
        <f t="shared" si="52"/>
        <v>0</v>
      </c>
      <c r="AN343" s="10">
        <f t="shared" si="53"/>
        <v>0</v>
      </c>
      <c r="AO343" s="10" t="s">
        <v>24</v>
      </c>
      <c r="AP343" s="10">
        <f t="shared" si="54"/>
        <v>0</v>
      </c>
      <c r="AQ343" s="10" t="s">
        <v>11</v>
      </c>
      <c r="AR343" s="10">
        <f t="shared" si="55"/>
        <v>1</v>
      </c>
      <c r="AS343" s="10" t="s">
        <v>27</v>
      </c>
      <c r="AT343" s="10">
        <f t="shared" si="60"/>
        <v>0</v>
      </c>
      <c r="AU343" s="10">
        <f t="shared" si="56"/>
        <v>0</v>
      </c>
      <c r="AV343" s="11">
        <v>36.374984999999995</v>
      </c>
      <c r="AW343" s="11">
        <v>57.999999999999993</v>
      </c>
      <c r="AX343" s="11">
        <v>16.083886</v>
      </c>
      <c r="AY343" s="10">
        <v>78</v>
      </c>
      <c r="AZ343" t="s">
        <v>104</v>
      </c>
      <c r="BA343" s="17">
        <f t="shared" si="57"/>
        <v>0</v>
      </c>
      <c r="BB343" s="17">
        <f t="shared" si="58"/>
        <v>0</v>
      </c>
      <c r="BC343" s="17">
        <f t="shared" si="59"/>
        <v>0</v>
      </c>
      <c r="BG343" s="14">
        <v>0</v>
      </c>
      <c r="BH343" s="14">
        <v>0</v>
      </c>
      <c r="BI343" s="14">
        <v>0</v>
      </c>
      <c r="BJ343" s="14">
        <v>0</v>
      </c>
      <c r="BK343" s="14">
        <v>1</v>
      </c>
      <c r="BL343" s="14">
        <v>0</v>
      </c>
      <c r="BM343" s="14">
        <v>0</v>
      </c>
      <c r="BN343" s="14">
        <v>0</v>
      </c>
      <c r="BO343" s="14">
        <v>0</v>
      </c>
      <c r="BP343" s="14">
        <v>0</v>
      </c>
      <c r="BQ343" s="11">
        <v>36.374984999999995</v>
      </c>
      <c r="BR343" s="11">
        <v>57.999999999999993</v>
      </c>
      <c r="BS343" s="11">
        <v>16.083886</v>
      </c>
      <c r="BT343" s="10">
        <v>78</v>
      </c>
    </row>
    <row r="344" spans="4:72">
      <c r="D344" s="10">
        <v>30</v>
      </c>
      <c r="E344" s="11">
        <v>11.700000000000001</v>
      </c>
      <c r="F344" s="11">
        <v>65.75</v>
      </c>
      <c r="G344" s="10">
        <v>30</v>
      </c>
      <c r="AK344" s="10" t="s">
        <v>23</v>
      </c>
      <c r="AL344" s="10">
        <f t="shared" si="51"/>
        <v>0</v>
      </c>
      <c r="AM344" s="10">
        <f t="shared" si="52"/>
        <v>0</v>
      </c>
      <c r="AN344" s="10">
        <f t="shared" si="53"/>
        <v>0</v>
      </c>
      <c r="AO344" s="10" t="s">
        <v>24</v>
      </c>
      <c r="AP344" s="10">
        <f t="shared" si="54"/>
        <v>0</v>
      </c>
      <c r="AQ344" s="10" t="s">
        <v>11</v>
      </c>
      <c r="AR344" s="10">
        <f t="shared" si="55"/>
        <v>1</v>
      </c>
      <c r="AS344" s="10" t="s">
        <v>27</v>
      </c>
      <c r="AT344" s="10">
        <f t="shared" si="60"/>
        <v>0</v>
      </c>
      <c r="AU344" s="10">
        <f t="shared" si="56"/>
        <v>0</v>
      </c>
      <c r="AV344" s="11">
        <v>33.975000000000001</v>
      </c>
      <c r="AW344" s="11">
        <v>69.583300000000008</v>
      </c>
      <c r="AX344" s="11">
        <v>5.5420189000000004</v>
      </c>
      <c r="AY344" s="10">
        <v>91</v>
      </c>
      <c r="AZ344" t="s">
        <v>104</v>
      </c>
      <c r="BA344" s="17">
        <f t="shared" si="57"/>
        <v>0</v>
      </c>
      <c r="BB344" s="17">
        <f t="shared" si="58"/>
        <v>0</v>
      </c>
      <c r="BC344" s="17">
        <f t="shared" si="59"/>
        <v>0</v>
      </c>
      <c r="BG344" s="14">
        <v>0</v>
      </c>
      <c r="BH344" s="14">
        <v>0</v>
      </c>
      <c r="BI344" s="14">
        <v>0</v>
      </c>
      <c r="BJ344" s="14">
        <v>0</v>
      </c>
      <c r="BK344" s="14">
        <v>1</v>
      </c>
      <c r="BL344" s="14">
        <v>0</v>
      </c>
      <c r="BM344" s="14">
        <v>0</v>
      </c>
      <c r="BN344" s="14">
        <v>0</v>
      </c>
      <c r="BO344" s="14">
        <v>0</v>
      </c>
      <c r="BP344" s="14">
        <v>0</v>
      </c>
      <c r="BQ344" s="11">
        <v>33.975000000000001</v>
      </c>
      <c r="BR344" s="11">
        <v>69.583300000000008</v>
      </c>
      <c r="BS344" s="11">
        <v>5.5420189000000004</v>
      </c>
      <c r="BT344" s="10">
        <v>91</v>
      </c>
    </row>
    <row r="345" spans="4:72">
      <c r="D345" s="10">
        <v>31</v>
      </c>
      <c r="E345" s="11">
        <v>8.4130650000000013</v>
      </c>
      <c r="F345" s="11">
        <v>75.75</v>
      </c>
      <c r="G345" s="10">
        <v>31</v>
      </c>
      <c r="AK345" s="10" t="s">
        <v>23</v>
      </c>
      <c r="AL345" s="10">
        <f t="shared" si="51"/>
        <v>0</v>
      </c>
      <c r="AM345" s="10">
        <f t="shared" si="52"/>
        <v>0</v>
      </c>
      <c r="AN345" s="10">
        <f t="shared" si="53"/>
        <v>0</v>
      </c>
      <c r="AO345" s="10" t="s">
        <v>24</v>
      </c>
      <c r="AP345" s="10">
        <f t="shared" si="54"/>
        <v>0</v>
      </c>
      <c r="AQ345" s="10" t="s">
        <v>25</v>
      </c>
      <c r="AR345" s="10">
        <f t="shared" si="55"/>
        <v>0</v>
      </c>
      <c r="AS345" s="10" t="s">
        <v>27</v>
      </c>
      <c r="AT345" s="10">
        <f t="shared" si="60"/>
        <v>0</v>
      </c>
      <c r="AU345" s="10">
        <f t="shared" si="56"/>
        <v>0</v>
      </c>
      <c r="AV345" s="11">
        <v>32.625</v>
      </c>
      <c r="AW345" s="11">
        <v>50.749999999999993</v>
      </c>
      <c r="AX345" s="11">
        <v>15.625807</v>
      </c>
      <c r="AY345" s="10">
        <v>100</v>
      </c>
      <c r="AZ345" t="s">
        <v>105</v>
      </c>
      <c r="BA345" s="17">
        <f t="shared" si="57"/>
        <v>0</v>
      </c>
      <c r="BB345" s="17">
        <f t="shared" si="58"/>
        <v>0</v>
      </c>
      <c r="BC345" s="17">
        <f t="shared" si="59"/>
        <v>1</v>
      </c>
      <c r="BG345" s="14">
        <v>0</v>
      </c>
      <c r="BH345" s="14">
        <v>0</v>
      </c>
      <c r="BI345" s="14">
        <v>0</v>
      </c>
      <c r="BJ345" s="14">
        <v>0</v>
      </c>
      <c r="BK345" s="14">
        <v>0</v>
      </c>
      <c r="BL345" s="14">
        <v>0</v>
      </c>
      <c r="BM345" s="14">
        <v>0</v>
      </c>
      <c r="BN345" s="14">
        <v>0</v>
      </c>
      <c r="BO345" s="14">
        <v>0</v>
      </c>
      <c r="BP345" s="14">
        <v>1</v>
      </c>
      <c r="BQ345" s="11">
        <v>32.625</v>
      </c>
      <c r="BR345" s="11">
        <v>50.749999999999993</v>
      </c>
      <c r="BS345" s="11">
        <v>15.625807</v>
      </c>
      <c r="BT345" s="10">
        <v>100</v>
      </c>
    </row>
    <row r="346" spans="4:72">
      <c r="D346" s="10">
        <v>34</v>
      </c>
      <c r="E346" s="11">
        <v>9.50868</v>
      </c>
      <c r="F346" s="11">
        <v>63.083299999999994</v>
      </c>
      <c r="G346" s="10">
        <v>34</v>
      </c>
      <c r="AK346" s="10" t="s">
        <v>23</v>
      </c>
      <c r="AL346" s="10">
        <f t="shared" si="51"/>
        <v>0</v>
      </c>
      <c r="AM346" s="10">
        <f t="shared" si="52"/>
        <v>0</v>
      </c>
      <c r="AN346" s="10">
        <f t="shared" si="53"/>
        <v>0</v>
      </c>
      <c r="AO346" s="10" t="s">
        <v>24</v>
      </c>
      <c r="AP346" s="10">
        <f t="shared" si="54"/>
        <v>0</v>
      </c>
      <c r="AQ346" s="10" t="s">
        <v>25</v>
      </c>
      <c r="AR346" s="10">
        <f t="shared" si="55"/>
        <v>0</v>
      </c>
      <c r="AS346" s="10" t="s">
        <v>27</v>
      </c>
      <c r="AT346" s="10">
        <f t="shared" si="60"/>
        <v>0</v>
      </c>
      <c r="AU346" s="10">
        <f t="shared" si="56"/>
        <v>0</v>
      </c>
      <c r="AV346" s="11">
        <v>31.162500000000001</v>
      </c>
      <c r="AW346" s="11">
        <v>49</v>
      </c>
      <c r="AX346" s="11">
        <v>4.4582938999999993</v>
      </c>
      <c r="AY346" s="10">
        <v>89</v>
      </c>
      <c r="AZ346" t="s">
        <v>104</v>
      </c>
      <c r="BA346" s="17">
        <f t="shared" si="57"/>
        <v>0</v>
      </c>
      <c r="BB346" s="17">
        <f t="shared" si="58"/>
        <v>0</v>
      </c>
      <c r="BC346" s="17">
        <f t="shared" si="59"/>
        <v>0</v>
      </c>
      <c r="BG346" s="14">
        <v>0</v>
      </c>
      <c r="BH346" s="14">
        <v>0</v>
      </c>
      <c r="BI346" s="14">
        <v>0</v>
      </c>
      <c r="BJ346" s="14">
        <v>0</v>
      </c>
      <c r="BK346" s="14">
        <v>0</v>
      </c>
      <c r="BL346" s="14">
        <v>0</v>
      </c>
      <c r="BM346" s="14">
        <v>0</v>
      </c>
      <c r="BN346" s="14">
        <v>0</v>
      </c>
      <c r="BO346" s="14">
        <v>0</v>
      </c>
      <c r="BP346" s="14">
        <v>0</v>
      </c>
      <c r="BQ346" s="11">
        <v>31.162500000000001</v>
      </c>
      <c r="BR346" s="11">
        <v>49</v>
      </c>
      <c r="BS346" s="11">
        <v>4.4582938999999993</v>
      </c>
      <c r="BT346" s="10">
        <v>89</v>
      </c>
    </row>
    <row r="347" spans="4:72">
      <c r="D347" s="10">
        <v>20</v>
      </c>
      <c r="E347" s="11">
        <v>10.499985000000001</v>
      </c>
      <c r="F347" s="11">
        <v>75.5</v>
      </c>
      <c r="G347" s="10">
        <v>20</v>
      </c>
      <c r="AK347" s="10" t="s">
        <v>23</v>
      </c>
      <c r="AL347" s="10">
        <f t="shared" si="51"/>
        <v>0</v>
      </c>
      <c r="AM347" s="10">
        <f t="shared" si="52"/>
        <v>0</v>
      </c>
      <c r="AN347" s="10">
        <f t="shared" si="53"/>
        <v>0</v>
      </c>
      <c r="AO347" s="10" t="s">
        <v>24</v>
      </c>
      <c r="AP347" s="10">
        <f t="shared" si="54"/>
        <v>0</v>
      </c>
      <c r="AQ347" s="10" t="s">
        <v>11</v>
      </c>
      <c r="AR347" s="10">
        <f t="shared" si="55"/>
        <v>1</v>
      </c>
      <c r="AS347" s="10" t="s">
        <v>27</v>
      </c>
      <c r="AT347" s="10">
        <f t="shared" si="60"/>
        <v>0</v>
      </c>
      <c r="AU347" s="10">
        <f t="shared" si="56"/>
        <v>0</v>
      </c>
      <c r="AV347" s="11">
        <v>28.574999999999999</v>
      </c>
      <c r="AW347" s="11">
        <v>67.083300000000008</v>
      </c>
      <c r="AX347" s="11">
        <v>4.2511500000000009</v>
      </c>
      <c r="AY347" s="10">
        <v>100</v>
      </c>
      <c r="AZ347" t="s">
        <v>105</v>
      </c>
      <c r="BA347" s="17">
        <f t="shared" si="57"/>
        <v>0</v>
      </c>
      <c r="BB347" s="17">
        <f t="shared" si="58"/>
        <v>0</v>
      </c>
      <c r="BC347" s="17">
        <f t="shared" si="59"/>
        <v>1</v>
      </c>
      <c r="BG347" s="14">
        <v>0</v>
      </c>
      <c r="BH347" s="14">
        <v>0</v>
      </c>
      <c r="BI347" s="14">
        <v>0</v>
      </c>
      <c r="BJ347" s="14">
        <v>0</v>
      </c>
      <c r="BK347" s="14">
        <v>1</v>
      </c>
      <c r="BL347" s="14">
        <v>0</v>
      </c>
      <c r="BM347" s="14">
        <v>0</v>
      </c>
      <c r="BN347" s="14">
        <v>0</v>
      </c>
      <c r="BO347" s="14">
        <v>0</v>
      </c>
      <c r="BP347" s="14">
        <v>1</v>
      </c>
      <c r="BQ347" s="11">
        <v>28.574999999999999</v>
      </c>
      <c r="BR347" s="11">
        <v>67.083300000000008</v>
      </c>
      <c r="BS347" s="11">
        <v>4.2511500000000009</v>
      </c>
      <c r="BT347" s="10">
        <v>100</v>
      </c>
    </row>
    <row r="348" spans="4:72">
      <c r="D348" s="10">
        <v>32</v>
      </c>
      <c r="E348" s="11">
        <v>12.862485</v>
      </c>
      <c r="F348" s="11">
        <v>75.291699999999992</v>
      </c>
      <c r="G348" s="10">
        <v>32</v>
      </c>
      <c r="AK348" s="10" t="s">
        <v>23</v>
      </c>
      <c r="AL348" s="10">
        <f t="shared" si="51"/>
        <v>0</v>
      </c>
      <c r="AM348" s="10">
        <f t="shared" si="52"/>
        <v>0</v>
      </c>
      <c r="AN348" s="10">
        <f t="shared" si="53"/>
        <v>0</v>
      </c>
      <c r="AO348" s="10" t="s">
        <v>24</v>
      </c>
      <c r="AP348" s="10">
        <f t="shared" si="54"/>
        <v>0</v>
      </c>
      <c r="AQ348" s="10" t="s">
        <v>11</v>
      </c>
      <c r="AR348" s="10">
        <f t="shared" si="55"/>
        <v>1</v>
      </c>
      <c r="AS348" s="10" t="s">
        <v>27</v>
      </c>
      <c r="AT348" s="10">
        <f t="shared" si="60"/>
        <v>0</v>
      </c>
      <c r="AU348" s="10">
        <f t="shared" si="56"/>
        <v>0</v>
      </c>
      <c r="AV348" s="11">
        <v>27.187515000000001</v>
      </c>
      <c r="AW348" s="11">
        <v>59</v>
      </c>
      <c r="AX348" s="11">
        <v>9.4168500000000002</v>
      </c>
      <c r="AY348" s="10">
        <v>98</v>
      </c>
      <c r="AZ348" t="s">
        <v>104</v>
      </c>
      <c r="BA348" s="17">
        <f t="shared" si="57"/>
        <v>0</v>
      </c>
      <c r="BB348" s="17">
        <f t="shared" si="58"/>
        <v>0</v>
      </c>
      <c r="BC348" s="17">
        <f t="shared" si="59"/>
        <v>0</v>
      </c>
      <c r="BG348" s="14">
        <v>0</v>
      </c>
      <c r="BH348" s="14">
        <v>0</v>
      </c>
      <c r="BI348" s="14">
        <v>0</v>
      </c>
      <c r="BJ348" s="14">
        <v>0</v>
      </c>
      <c r="BK348" s="14">
        <v>1</v>
      </c>
      <c r="BL348" s="14">
        <v>0</v>
      </c>
      <c r="BM348" s="14">
        <v>0</v>
      </c>
      <c r="BN348" s="14">
        <v>0</v>
      </c>
      <c r="BO348" s="14">
        <v>0</v>
      </c>
      <c r="BP348" s="14">
        <v>0</v>
      </c>
      <c r="BQ348" s="11">
        <v>27.187515000000001</v>
      </c>
      <c r="BR348" s="11">
        <v>59</v>
      </c>
      <c r="BS348" s="11">
        <v>9.4168500000000002</v>
      </c>
      <c r="BT348" s="10">
        <v>98</v>
      </c>
    </row>
    <row r="349" spans="4:72">
      <c r="D349" s="10">
        <v>34</v>
      </c>
      <c r="E349" s="11">
        <v>12.225014999999999</v>
      </c>
      <c r="F349" s="11">
        <v>59.208300000000001</v>
      </c>
      <c r="G349" s="10">
        <v>34</v>
      </c>
      <c r="AK349" s="10" t="s">
        <v>23</v>
      </c>
      <c r="AL349" s="10">
        <f t="shared" si="51"/>
        <v>0</v>
      </c>
      <c r="AM349" s="10">
        <f t="shared" si="52"/>
        <v>0</v>
      </c>
      <c r="AN349" s="10">
        <f t="shared" si="53"/>
        <v>0</v>
      </c>
      <c r="AO349" s="10" t="s">
        <v>24</v>
      </c>
      <c r="AP349" s="10">
        <f t="shared" si="54"/>
        <v>0</v>
      </c>
      <c r="AQ349" s="10" t="s">
        <v>11</v>
      </c>
      <c r="AR349" s="10">
        <f t="shared" si="55"/>
        <v>1</v>
      </c>
      <c r="AS349" s="10" t="s">
        <v>26</v>
      </c>
      <c r="AT349" s="10">
        <f t="shared" si="60"/>
        <v>1</v>
      </c>
      <c r="AU349" s="10">
        <f t="shared" si="56"/>
        <v>0</v>
      </c>
      <c r="AV349" s="11">
        <v>28.200015</v>
      </c>
      <c r="AW349" s="11">
        <v>66.375</v>
      </c>
      <c r="AX349" s="11">
        <v>4.0842061000000003</v>
      </c>
      <c r="AY349" s="10">
        <v>103</v>
      </c>
      <c r="AZ349" t="s">
        <v>105</v>
      </c>
      <c r="BA349" s="17">
        <f t="shared" si="57"/>
        <v>0</v>
      </c>
      <c r="BB349" s="17">
        <f t="shared" si="58"/>
        <v>0</v>
      </c>
      <c r="BC349" s="17">
        <f t="shared" si="59"/>
        <v>1</v>
      </c>
      <c r="BG349" s="14">
        <v>0</v>
      </c>
      <c r="BH349" s="14">
        <v>0</v>
      </c>
      <c r="BI349" s="14">
        <v>0</v>
      </c>
      <c r="BJ349" s="14">
        <v>0</v>
      </c>
      <c r="BK349" s="14">
        <v>1</v>
      </c>
      <c r="BL349" s="14">
        <v>1</v>
      </c>
      <c r="BM349" s="14">
        <v>0</v>
      </c>
      <c r="BN349" s="14">
        <v>0</v>
      </c>
      <c r="BO349" s="14">
        <v>0</v>
      </c>
      <c r="BP349" s="14">
        <v>1</v>
      </c>
      <c r="BQ349" s="11">
        <v>28.200015</v>
      </c>
      <c r="BR349" s="11">
        <v>66.375</v>
      </c>
      <c r="BS349" s="11">
        <v>4.0842061000000003</v>
      </c>
      <c r="BT349" s="10">
        <v>103</v>
      </c>
    </row>
    <row r="350" spans="4:72">
      <c r="D350" s="10">
        <v>30</v>
      </c>
      <c r="E350" s="11">
        <v>9.9374850000000006</v>
      </c>
      <c r="F350" s="11">
        <v>57.041699999999992</v>
      </c>
      <c r="G350" s="10">
        <v>30</v>
      </c>
      <c r="AK350" s="10" t="s">
        <v>23</v>
      </c>
      <c r="AL350" s="10">
        <f t="shared" si="51"/>
        <v>0</v>
      </c>
      <c r="AM350" s="10">
        <f t="shared" si="52"/>
        <v>0</v>
      </c>
      <c r="AN350" s="10">
        <f t="shared" si="53"/>
        <v>0</v>
      </c>
      <c r="AO350" s="10" t="s">
        <v>24</v>
      </c>
      <c r="AP350" s="10">
        <f t="shared" si="54"/>
        <v>0</v>
      </c>
      <c r="AQ350" s="10" t="s">
        <v>11</v>
      </c>
      <c r="AR350" s="10">
        <f t="shared" si="55"/>
        <v>1</v>
      </c>
      <c r="AS350" s="10" t="s">
        <v>26</v>
      </c>
      <c r="AT350" s="10">
        <f t="shared" si="60"/>
        <v>1</v>
      </c>
      <c r="AU350" s="10">
        <f t="shared" si="56"/>
        <v>0</v>
      </c>
      <c r="AV350" s="11">
        <v>28.274985000000001</v>
      </c>
      <c r="AW350" s="11">
        <v>63.416700000000006</v>
      </c>
      <c r="AX350" s="11">
        <v>17.958814</v>
      </c>
      <c r="AY350" s="10">
        <v>75</v>
      </c>
      <c r="AZ350" t="s">
        <v>104</v>
      </c>
      <c r="BA350" s="17">
        <f t="shared" si="57"/>
        <v>0</v>
      </c>
      <c r="BB350" s="17">
        <f t="shared" si="58"/>
        <v>0</v>
      </c>
      <c r="BC350" s="17">
        <f t="shared" si="59"/>
        <v>0</v>
      </c>
      <c r="BG350" s="14">
        <v>0</v>
      </c>
      <c r="BH350" s="14">
        <v>0</v>
      </c>
      <c r="BI350" s="14">
        <v>0</v>
      </c>
      <c r="BJ350" s="14">
        <v>0</v>
      </c>
      <c r="BK350" s="14">
        <v>1</v>
      </c>
      <c r="BL350" s="14">
        <v>1</v>
      </c>
      <c r="BM350" s="14">
        <v>0</v>
      </c>
      <c r="BN350" s="14">
        <v>0</v>
      </c>
      <c r="BO350" s="14">
        <v>0</v>
      </c>
      <c r="BP350" s="14">
        <v>0</v>
      </c>
      <c r="BQ350" s="11">
        <v>28.274985000000001</v>
      </c>
      <c r="BR350" s="11">
        <v>63.416700000000006</v>
      </c>
      <c r="BS350" s="11">
        <v>17.958814</v>
      </c>
      <c r="BT350" s="10">
        <v>75</v>
      </c>
    </row>
    <row r="351" spans="4:72">
      <c r="D351" s="10">
        <v>32</v>
      </c>
      <c r="E351" s="11">
        <v>6.0652349999999995</v>
      </c>
      <c r="F351" s="11">
        <v>42.416699999999999</v>
      </c>
      <c r="G351" s="10">
        <v>32</v>
      </c>
      <c r="AK351" s="10" t="s">
        <v>23</v>
      </c>
      <c r="AL351" s="10">
        <f t="shared" si="51"/>
        <v>0</v>
      </c>
      <c r="AM351" s="10">
        <f t="shared" si="52"/>
        <v>0</v>
      </c>
      <c r="AN351" s="10">
        <f t="shared" si="53"/>
        <v>0</v>
      </c>
      <c r="AO351" s="10" t="s">
        <v>24</v>
      </c>
      <c r="AP351" s="10">
        <f t="shared" si="54"/>
        <v>0</v>
      </c>
      <c r="AQ351" s="10" t="s">
        <v>11</v>
      </c>
      <c r="AR351" s="10">
        <f t="shared" si="55"/>
        <v>1</v>
      </c>
      <c r="AS351" s="10" t="s">
        <v>26</v>
      </c>
      <c r="AT351" s="10">
        <f t="shared" si="60"/>
        <v>1</v>
      </c>
      <c r="AU351" s="10">
        <f t="shared" si="56"/>
        <v>0</v>
      </c>
      <c r="AV351" s="11">
        <v>29.212515000000003</v>
      </c>
      <c r="AW351" s="11">
        <v>50.041699999999999</v>
      </c>
      <c r="AX351" s="11">
        <v>17.458525000000002</v>
      </c>
      <c r="AY351" s="10">
        <v>97</v>
      </c>
      <c r="AZ351" t="s">
        <v>104</v>
      </c>
      <c r="BA351" s="17">
        <f t="shared" si="57"/>
        <v>0</v>
      </c>
      <c r="BB351" s="17">
        <f t="shared" si="58"/>
        <v>0</v>
      </c>
      <c r="BC351" s="17">
        <f t="shared" si="59"/>
        <v>0</v>
      </c>
      <c r="BG351" s="14">
        <v>0</v>
      </c>
      <c r="BH351" s="14">
        <v>0</v>
      </c>
      <c r="BI351" s="14">
        <v>0</v>
      </c>
      <c r="BJ351" s="14">
        <v>0</v>
      </c>
      <c r="BK351" s="14">
        <v>1</v>
      </c>
      <c r="BL351" s="14">
        <v>1</v>
      </c>
      <c r="BM351" s="14">
        <v>0</v>
      </c>
      <c r="BN351" s="14">
        <v>0</v>
      </c>
      <c r="BO351" s="14">
        <v>0</v>
      </c>
      <c r="BP351" s="14">
        <v>0</v>
      </c>
      <c r="BQ351" s="11">
        <v>29.212515000000003</v>
      </c>
      <c r="BR351" s="11">
        <v>50.041699999999999</v>
      </c>
      <c r="BS351" s="11">
        <v>17.458525000000002</v>
      </c>
      <c r="BT351" s="10">
        <v>97</v>
      </c>
    </row>
    <row r="352" spans="4:72">
      <c r="D352" s="10">
        <v>31</v>
      </c>
      <c r="E352" s="11">
        <v>6.49566</v>
      </c>
      <c r="F352" s="11">
        <v>42.375</v>
      </c>
      <c r="G352" s="10">
        <v>31</v>
      </c>
      <c r="AK352" s="10" t="s">
        <v>23</v>
      </c>
      <c r="AL352" s="10">
        <f t="shared" si="51"/>
        <v>0</v>
      </c>
      <c r="AM352" s="10">
        <f t="shared" si="52"/>
        <v>0</v>
      </c>
      <c r="AN352" s="10">
        <f t="shared" si="53"/>
        <v>0</v>
      </c>
      <c r="AO352" s="10" t="s">
        <v>24</v>
      </c>
      <c r="AP352" s="10">
        <f t="shared" si="54"/>
        <v>0</v>
      </c>
      <c r="AQ352" s="10" t="s">
        <v>25</v>
      </c>
      <c r="AR352" s="10">
        <f t="shared" si="55"/>
        <v>0</v>
      </c>
      <c r="AS352" s="10" t="s">
        <v>26</v>
      </c>
      <c r="AT352" s="10">
        <f t="shared" si="60"/>
        <v>1</v>
      </c>
      <c r="AU352" s="10">
        <f t="shared" si="56"/>
        <v>0</v>
      </c>
      <c r="AV352" s="11">
        <v>31.350015000000003</v>
      </c>
      <c r="AW352" s="11">
        <v>56.083300000000001</v>
      </c>
      <c r="AX352" s="11">
        <v>16.292189</v>
      </c>
      <c r="AY352" s="10">
        <v>102</v>
      </c>
      <c r="AZ352" t="s">
        <v>105</v>
      </c>
      <c r="BA352" s="17">
        <f t="shared" si="57"/>
        <v>0</v>
      </c>
      <c r="BB352" s="17">
        <f t="shared" si="58"/>
        <v>0</v>
      </c>
      <c r="BC352" s="17">
        <f t="shared" si="59"/>
        <v>1</v>
      </c>
      <c r="BG352" s="14">
        <v>0</v>
      </c>
      <c r="BH352" s="14">
        <v>0</v>
      </c>
      <c r="BI352" s="14">
        <v>0</v>
      </c>
      <c r="BJ352" s="14">
        <v>0</v>
      </c>
      <c r="BK352" s="14">
        <v>0</v>
      </c>
      <c r="BL352" s="14">
        <v>1</v>
      </c>
      <c r="BM352" s="14">
        <v>0</v>
      </c>
      <c r="BN352" s="14">
        <v>0</v>
      </c>
      <c r="BO352" s="14">
        <v>0</v>
      </c>
      <c r="BP352" s="14">
        <v>1</v>
      </c>
      <c r="BQ352" s="11">
        <v>31.350015000000003</v>
      </c>
      <c r="BR352" s="11">
        <v>56.083300000000001</v>
      </c>
      <c r="BS352" s="11">
        <v>16.292189</v>
      </c>
      <c r="BT352" s="10">
        <v>102</v>
      </c>
    </row>
    <row r="353" spans="4:72">
      <c r="D353" s="10">
        <v>35</v>
      </c>
      <c r="E353" s="11">
        <v>8.5090950000000003</v>
      </c>
      <c r="F353" s="11">
        <v>41.5</v>
      </c>
      <c r="G353" s="10">
        <v>35</v>
      </c>
      <c r="AK353" s="10" t="s">
        <v>23</v>
      </c>
      <c r="AL353" s="10">
        <f t="shared" si="51"/>
        <v>0</v>
      </c>
      <c r="AM353" s="10">
        <f t="shared" si="52"/>
        <v>0</v>
      </c>
      <c r="AN353" s="10">
        <f t="shared" si="53"/>
        <v>0</v>
      </c>
      <c r="AO353" s="10" t="s">
        <v>24</v>
      </c>
      <c r="AP353" s="10">
        <f t="shared" si="54"/>
        <v>0</v>
      </c>
      <c r="AQ353" s="10" t="s">
        <v>25</v>
      </c>
      <c r="AR353" s="10">
        <f t="shared" si="55"/>
        <v>0</v>
      </c>
      <c r="AS353" s="10" t="s">
        <v>27</v>
      </c>
      <c r="AT353" s="10">
        <f t="shared" si="60"/>
        <v>0</v>
      </c>
      <c r="AU353" s="10">
        <f t="shared" si="56"/>
        <v>0</v>
      </c>
      <c r="AV353" s="11">
        <v>31.462515</v>
      </c>
      <c r="AW353" s="11">
        <v>58.625000000000007</v>
      </c>
      <c r="AX353" s="11">
        <v>11.375193000000001</v>
      </c>
      <c r="AY353" s="10">
        <v>95</v>
      </c>
      <c r="AZ353" t="s">
        <v>104</v>
      </c>
      <c r="BA353" s="17">
        <f t="shared" si="57"/>
        <v>0</v>
      </c>
      <c r="BB353" s="17">
        <f t="shared" si="58"/>
        <v>0</v>
      </c>
      <c r="BC353" s="17">
        <f t="shared" si="59"/>
        <v>0</v>
      </c>
      <c r="BG353" s="14">
        <v>0</v>
      </c>
      <c r="BH353" s="14">
        <v>0</v>
      </c>
      <c r="BI353" s="14">
        <v>0</v>
      </c>
      <c r="BJ353" s="14">
        <v>0</v>
      </c>
      <c r="BK353" s="14">
        <v>0</v>
      </c>
      <c r="BL353" s="14">
        <v>0</v>
      </c>
      <c r="BM353" s="14">
        <v>0</v>
      </c>
      <c r="BN353" s="14">
        <v>0</v>
      </c>
      <c r="BO353" s="14">
        <v>0</v>
      </c>
      <c r="BP353" s="14">
        <v>0</v>
      </c>
      <c r="BQ353" s="11">
        <v>31.462515</v>
      </c>
      <c r="BR353" s="11">
        <v>58.625000000000007</v>
      </c>
      <c r="BS353" s="11">
        <v>11.375193000000001</v>
      </c>
      <c r="BT353" s="10">
        <v>95</v>
      </c>
    </row>
    <row r="354" spans="4:72">
      <c r="D354" s="10">
        <v>30</v>
      </c>
      <c r="E354" s="11">
        <v>10.012499999999999</v>
      </c>
      <c r="F354" s="11">
        <v>72.958299999999994</v>
      </c>
      <c r="G354" s="10">
        <v>30</v>
      </c>
      <c r="AK354" s="10" t="s">
        <v>23</v>
      </c>
      <c r="AL354" s="10">
        <f t="shared" si="51"/>
        <v>0</v>
      </c>
      <c r="AM354" s="10">
        <f t="shared" si="52"/>
        <v>0</v>
      </c>
      <c r="AN354" s="10">
        <f t="shared" si="53"/>
        <v>0</v>
      </c>
      <c r="AO354" s="10" t="s">
        <v>24</v>
      </c>
      <c r="AP354" s="10">
        <f t="shared" si="54"/>
        <v>0</v>
      </c>
      <c r="AQ354" s="10" t="s">
        <v>11</v>
      </c>
      <c r="AR354" s="10">
        <f t="shared" si="55"/>
        <v>1</v>
      </c>
      <c r="AS354" s="10" t="s">
        <v>27</v>
      </c>
      <c r="AT354" s="10">
        <f t="shared" si="60"/>
        <v>0</v>
      </c>
      <c r="AU354" s="10">
        <f t="shared" si="56"/>
        <v>0</v>
      </c>
      <c r="AV354" s="11">
        <v>28.574999999999999</v>
      </c>
      <c r="AW354" s="11">
        <v>63.749999999999993</v>
      </c>
      <c r="AX354" s="11">
        <v>11.584031999999999</v>
      </c>
      <c r="AY354" s="10">
        <v>80</v>
      </c>
      <c r="AZ354" t="s">
        <v>104</v>
      </c>
      <c r="BA354" s="17">
        <f t="shared" si="57"/>
        <v>0</v>
      </c>
      <c r="BB354" s="17">
        <f t="shared" si="58"/>
        <v>0</v>
      </c>
      <c r="BC354" s="17">
        <f t="shared" si="59"/>
        <v>0</v>
      </c>
      <c r="BG354" s="14">
        <v>0</v>
      </c>
      <c r="BH354" s="14">
        <v>0</v>
      </c>
      <c r="BI354" s="14">
        <v>0</v>
      </c>
      <c r="BJ354" s="14">
        <v>0</v>
      </c>
      <c r="BK354" s="14">
        <v>1</v>
      </c>
      <c r="BL354" s="14">
        <v>0</v>
      </c>
      <c r="BM354" s="14">
        <v>0</v>
      </c>
      <c r="BN354" s="14">
        <v>0</v>
      </c>
      <c r="BO354" s="14">
        <v>0</v>
      </c>
      <c r="BP354" s="14">
        <v>0</v>
      </c>
      <c r="BQ354" s="11">
        <v>28.574999999999999</v>
      </c>
      <c r="BR354" s="11">
        <v>63.749999999999993</v>
      </c>
      <c r="BS354" s="11">
        <v>11.584031999999999</v>
      </c>
      <c r="BT354" s="10">
        <v>80</v>
      </c>
    </row>
    <row r="355" spans="4:72">
      <c r="D355" s="10">
        <v>32</v>
      </c>
      <c r="E355" s="11">
        <v>14.243490000000001</v>
      </c>
      <c r="F355" s="11">
        <v>81.75</v>
      </c>
      <c r="G355" s="10">
        <v>32</v>
      </c>
      <c r="AK355" s="10" t="s">
        <v>23</v>
      </c>
      <c r="AL355" s="10">
        <f t="shared" si="51"/>
        <v>0</v>
      </c>
      <c r="AM355" s="10">
        <f t="shared" si="52"/>
        <v>0</v>
      </c>
      <c r="AN355" s="10">
        <f t="shared" si="53"/>
        <v>0</v>
      </c>
      <c r="AO355" s="10" t="s">
        <v>24</v>
      </c>
      <c r="AP355" s="10">
        <f t="shared" si="54"/>
        <v>0</v>
      </c>
      <c r="AQ355" s="10" t="s">
        <v>11</v>
      </c>
      <c r="AR355" s="10">
        <f t="shared" si="55"/>
        <v>1</v>
      </c>
      <c r="AS355" s="10" t="s">
        <v>26</v>
      </c>
      <c r="AT355" s="10">
        <f t="shared" si="60"/>
        <v>1</v>
      </c>
      <c r="AU355" s="10">
        <f t="shared" si="56"/>
        <v>0</v>
      </c>
      <c r="AV355" s="11">
        <v>30.637485000000002</v>
      </c>
      <c r="AW355" s="11">
        <v>59.541699999999999</v>
      </c>
      <c r="AX355" s="11">
        <v>4.1252436000000001</v>
      </c>
      <c r="AY355" s="10">
        <v>96</v>
      </c>
      <c r="AZ355" t="s">
        <v>104</v>
      </c>
      <c r="BA355" s="17">
        <f t="shared" si="57"/>
        <v>0</v>
      </c>
      <c r="BB355" s="17">
        <f t="shared" si="58"/>
        <v>0</v>
      </c>
      <c r="BC355" s="17">
        <f t="shared" si="59"/>
        <v>0</v>
      </c>
      <c r="BG355" s="14">
        <v>0</v>
      </c>
      <c r="BH355" s="14">
        <v>0</v>
      </c>
      <c r="BI355" s="14">
        <v>0</v>
      </c>
      <c r="BJ355" s="14">
        <v>0</v>
      </c>
      <c r="BK355" s="14">
        <v>1</v>
      </c>
      <c r="BL355" s="14">
        <v>1</v>
      </c>
      <c r="BM355" s="14">
        <v>0</v>
      </c>
      <c r="BN355" s="14">
        <v>0</v>
      </c>
      <c r="BO355" s="14">
        <v>0</v>
      </c>
      <c r="BP355" s="14">
        <v>0</v>
      </c>
      <c r="BQ355" s="11">
        <v>30.637485000000002</v>
      </c>
      <c r="BR355" s="11">
        <v>59.541699999999999</v>
      </c>
      <c r="BS355" s="11">
        <v>4.1252436000000001</v>
      </c>
      <c r="BT355" s="10">
        <v>96</v>
      </c>
    </row>
    <row r="356" spans="4:72">
      <c r="D356" s="10">
        <v>38</v>
      </c>
      <c r="E356" s="11">
        <v>18.675000000000001</v>
      </c>
      <c r="F356" s="11">
        <v>71.208300000000008</v>
      </c>
      <c r="G356" s="10">
        <v>38</v>
      </c>
      <c r="AK356" s="10" t="s">
        <v>23</v>
      </c>
      <c r="AL356" s="10">
        <f t="shared" si="51"/>
        <v>0</v>
      </c>
      <c r="AM356" s="10">
        <f t="shared" si="52"/>
        <v>0</v>
      </c>
      <c r="AN356" s="10">
        <f t="shared" si="53"/>
        <v>0</v>
      </c>
      <c r="AO356" s="10" t="s">
        <v>24</v>
      </c>
      <c r="AP356" s="10">
        <f t="shared" si="54"/>
        <v>0</v>
      </c>
      <c r="AQ356" s="10" t="s">
        <v>11</v>
      </c>
      <c r="AR356" s="10">
        <f t="shared" si="55"/>
        <v>1</v>
      </c>
      <c r="AS356" s="10" t="s">
        <v>26</v>
      </c>
      <c r="AT356" s="10">
        <f t="shared" si="60"/>
        <v>1</v>
      </c>
      <c r="AU356" s="10">
        <f t="shared" si="56"/>
        <v>0</v>
      </c>
      <c r="AV356" s="11">
        <v>32.999985000000002</v>
      </c>
      <c r="AW356" s="11">
        <v>85.833300000000008</v>
      </c>
      <c r="AX356" s="11">
        <v>14.8338</v>
      </c>
      <c r="AY356" s="10">
        <v>90</v>
      </c>
      <c r="AZ356" t="s">
        <v>104</v>
      </c>
      <c r="BA356" s="17">
        <f t="shared" si="57"/>
        <v>0</v>
      </c>
      <c r="BB356" s="17">
        <f t="shared" si="58"/>
        <v>0</v>
      </c>
      <c r="BC356" s="17">
        <f t="shared" si="59"/>
        <v>0</v>
      </c>
      <c r="BG356" s="14">
        <v>0</v>
      </c>
      <c r="BH356" s="14">
        <v>0</v>
      </c>
      <c r="BI356" s="14">
        <v>0</v>
      </c>
      <c r="BJ356" s="14">
        <v>0</v>
      </c>
      <c r="BK356" s="14">
        <v>1</v>
      </c>
      <c r="BL356" s="14">
        <v>1</v>
      </c>
      <c r="BM356" s="14">
        <v>0</v>
      </c>
      <c r="BN356" s="14">
        <v>0</v>
      </c>
      <c r="BO356" s="14">
        <v>0</v>
      </c>
      <c r="BP356" s="14">
        <v>0</v>
      </c>
      <c r="BQ356" s="11">
        <v>32.999985000000002</v>
      </c>
      <c r="BR356" s="11">
        <v>85.833300000000008</v>
      </c>
      <c r="BS356" s="11">
        <v>14.8338</v>
      </c>
      <c r="BT356" s="10">
        <v>90</v>
      </c>
    </row>
    <row r="357" spans="4:72">
      <c r="D357" s="10">
        <v>37</v>
      </c>
      <c r="E357" s="11">
        <v>11.973915000000002</v>
      </c>
      <c r="F357" s="11">
        <v>57.833300000000001</v>
      </c>
      <c r="G357" s="10">
        <v>37</v>
      </c>
      <c r="AK357" s="10" t="s">
        <v>23</v>
      </c>
      <c r="AL357" s="10">
        <f t="shared" si="51"/>
        <v>0</v>
      </c>
      <c r="AM357" s="10">
        <f t="shared" si="52"/>
        <v>0</v>
      </c>
      <c r="AN357" s="10">
        <f t="shared" si="53"/>
        <v>0</v>
      </c>
      <c r="AO357" s="10" t="s">
        <v>24</v>
      </c>
      <c r="AP357" s="10">
        <f t="shared" si="54"/>
        <v>0</v>
      </c>
      <c r="AQ357" s="10" t="s">
        <v>11</v>
      </c>
      <c r="AR357" s="10">
        <f t="shared" si="55"/>
        <v>1</v>
      </c>
      <c r="AS357" s="10" t="s">
        <v>26</v>
      </c>
      <c r="AT357" s="10">
        <f t="shared" si="60"/>
        <v>1</v>
      </c>
      <c r="AU357" s="10">
        <f t="shared" si="56"/>
        <v>0</v>
      </c>
      <c r="AV357" s="11">
        <v>32.774985000000001</v>
      </c>
      <c r="AW357" s="11">
        <v>75.75</v>
      </c>
      <c r="AX357" s="11">
        <v>3.1674249999999997</v>
      </c>
      <c r="AY357" s="10">
        <v>96</v>
      </c>
      <c r="AZ357" t="s">
        <v>104</v>
      </c>
      <c r="BA357" s="17">
        <f t="shared" si="57"/>
        <v>0</v>
      </c>
      <c r="BB357" s="17">
        <f t="shared" si="58"/>
        <v>0</v>
      </c>
      <c r="BC357" s="17">
        <f t="shared" si="59"/>
        <v>0</v>
      </c>
      <c r="BG357" s="14">
        <v>0</v>
      </c>
      <c r="BH357" s="14">
        <v>0</v>
      </c>
      <c r="BI357" s="14">
        <v>0</v>
      </c>
      <c r="BJ357" s="14">
        <v>0</v>
      </c>
      <c r="BK357" s="14">
        <v>1</v>
      </c>
      <c r="BL357" s="14">
        <v>1</v>
      </c>
      <c r="BM357" s="14">
        <v>0</v>
      </c>
      <c r="BN357" s="14">
        <v>0</v>
      </c>
      <c r="BO357" s="14">
        <v>0</v>
      </c>
      <c r="BP357" s="14">
        <v>0</v>
      </c>
      <c r="BQ357" s="11">
        <v>32.774985000000001</v>
      </c>
      <c r="BR357" s="11">
        <v>75.75</v>
      </c>
      <c r="BS357" s="11">
        <v>3.1674249999999997</v>
      </c>
      <c r="BT357" s="10">
        <v>96</v>
      </c>
    </row>
    <row r="358" spans="4:72">
      <c r="D358" s="10">
        <v>42</v>
      </c>
      <c r="E358" s="11">
        <v>14.321745</v>
      </c>
      <c r="F358" s="11">
        <v>57.541699999999999</v>
      </c>
      <c r="G358" s="10">
        <v>42</v>
      </c>
      <c r="AK358" s="10" t="s">
        <v>23</v>
      </c>
      <c r="AL358" s="10">
        <f t="shared" si="51"/>
        <v>0</v>
      </c>
      <c r="AM358" s="10">
        <f t="shared" si="52"/>
        <v>0</v>
      </c>
      <c r="AN358" s="10">
        <f t="shared" si="53"/>
        <v>0</v>
      </c>
      <c r="AO358" s="10" t="s">
        <v>24</v>
      </c>
      <c r="AP358" s="10">
        <f t="shared" si="54"/>
        <v>0</v>
      </c>
      <c r="AQ358" s="10" t="s">
        <v>11</v>
      </c>
      <c r="AR358" s="10">
        <f t="shared" si="55"/>
        <v>1</v>
      </c>
      <c r="AS358" s="10" t="s">
        <v>27</v>
      </c>
      <c r="AT358" s="10">
        <f t="shared" si="60"/>
        <v>0</v>
      </c>
      <c r="AU358" s="10">
        <f t="shared" si="56"/>
        <v>0</v>
      </c>
      <c r="AV358" s="11">
        <v>32.587515000000003</v>
      </c>
      <c r="AW358" s="11">
        <v>68.625</v>
      </c>
      <c r="AX358" s="11">
        <v>18.374482</v>
      </c>
      <c r="AY358" s="10">
        <v>99</v>
      </c>
      <c r="AZ358" t="s">
        <v>104</v>
      </c>
      <c r="BA358" s="17">
        <f t="shared" si="57"/>
        <v>0</v>
      </c>
      <c r="BB358" s="17">
        <f t="shared" si="58"/>
        <v>0</v>
      </c>
      <c r="BC358" s="17">
        <f t="shared" si="59"/>
        <v>0</v>
      </c>
      <c r="BG358" s="14">
        <v>0</v>
      </c>
      <c r="BH358" s="14">
        <v>0</v>
      </c>
      <c r="BI358" s="14">
        <v>0</v>
      </c>
      <c r="BJ358" s="14">
        <v>0</v>
      </c>
      <c r="BK358" s="14">
        <v>1</v>
      </c>
      <c r="BL358" s="14">
        <v>0</v>
      </c>
      <c r="BM358" s="14">
        <v>0</v>
      </c>
      <c r="BN358" s="14">
        <v>0</v>
      </c>
      <c r="BO358" s="14">
        <v>0</v>
      </c>
      <c r="BP358" s="14">
        <v>0</v>
      </c>
      <c r="BQ358" s="11">
        <v>32.587515000000003</v>
      </c>
      <c r="BR358" s="11">
        <v>68.625</v>
      </c>
      <c r="BS358" s="11">
        <v>18.374482</v>
      </c>
      <c r="BT358" s="10">
        <v>99</v>
      </c>
    </row>
    <row r="359" spans="4:72">
      <c r="D359" s="10">
        <v>49</v>
      </c>
      <c r="E359" s="11">
        <v>19.612485</v>
      </c>
      <c r="F359" s="11">
        <v>65.458300000000008</v>
      </c>
      <c r="G359" s="10">
        <v>49</v>
      </c>
      <c r="AK359" s="10" t="s">
        <v>23</v>
      </c>
      <c r="AL359" s="10">
        <f t="shared" si="51"/>
        <v>0</v>
      </c>
      <c r="AM359" s="10">
        <f t="shared" si="52"/>
        <v>0</v>
      </c>
      <c r="AN359" s="10">
        <f t="shared" si="53"/>
        <v>0</v>
      </c>
      <c r="AO359" s="10" t="s">
        <v>24</v>
      </c>
      <c r="AP359" s="10">
        <f t="shared" si="54"/>
        <v>0</v>
      </c>
      <c r="AQ359" s="10" t="s">
        <v>25</v>
      </c>
      <c r="AR359" s="10">
        <f t="shared" si="55"/>
        <v>0</v>
      </c>
      <c r="AS359" s="10" t="s">
        <v>27</v>
      </c>
      <c r="AT359" s="10">
        <f t="shared" si="60"/>
        <v>0</v>
      </c>
      <c r="AU359" s="10">
        <f t="shared" si="56"/>
        <v>0</v>
      </c>
      <c r="AV359" s="11">
        <v>31.274999999999999</v>
      </c>
      <c r="AW359" s="11">
        <v>54.25</v>
      </c>
      <c r="AX359" s="11">
        <v>12.750368</v>
      </c>
      <c r="AY359" s="10">
        <v>104</v>
      </c>
      <c r="AZ359" t="s">
        <v>105</v>
      </c>
      <c r="BA359" s="17">
        <f t="shared" si="57"/>
        <v>0</v>
      </c>
      <c r="BB359" s="17">
        <f t="shared" si="58"/>
        <v>0</v>
      </c>
      <c r="BC359" s="17">
        <f t="shared" si="59"/>
        <v>1</v>
      </c>
      <c r="BG359" s="14">
        <v>0</v>
      </c>
      <c r="BH359" s="14">
        <v>0</v>
      </c>
      <c r="BI359" s="14">
        <v>0</v>
      </c>
      <c r="BJ359" s="14">
        <v>0</v>
      </c>
      <c r="BK359" s="14">
        <v>0</v>
      </c>
      <c r="BL359" s="14">
        <v>0</v>
      </c>
      <c r="BM359" s="14">
        <v>0</v>
      </c>
      <c r="BN359" s="14">
        <v>0</v>
      </c>
      <c r="BO359" s="14">
        <v>0</v>
      </c>
      <c r="BP359" s="14">
        <v>1</v>
      </c>
      <c r="BQ359" s="11">
        <v>31.274999999999999</v>
      </c>
      <c r="BR359" s="11">
        <v>54.25</v>
      </c>
      <c r="BS359" s="11">
        <v>12.750368</v>
      </c>
      <c r="BT359" s="10">
        <v>104</v>
      </c>
    </row>
    <row r="360" spans="4:72">
      <c r="D360" s="10">
        <v>59</v>
      </c>
      <c r="E360" s="11">
        <v>23.475014999999999</v>
      </c>
      <c r="F360" s="11">
        <v>72.291700000000006</v>
      </c>
      <c r="G360" s="10">
        <v>59</v>
      </c>
      <c r="AK360" s="10" t="s">
        <v>23</v>
      </c>
      <c r="AL360" s="10">
        <f t="shared" si="51"/>
        <v>0</v>
      </c>
      <c r="AM360" s="10">
        <f t="shared" si="52"/>
        <v>0</v>
      </c>
      <c r="AN360" s="10">
        <f t="shared" si="53"/>
        <v>0</v>
      </c>
      <c r="AO360" s="10" t="s">
        <v>24</v>
      </c>
      <c r="AP360" s="10">
        <f t="shared" si="54"/>
        <v>0</v>
      </c>
      <c r="AQ360" s="10" t="s">
        <v>25</v>
      </c>
      <c r="AR360" s="10">
        <f t="shared" si="55"/>
        <v>0</v>
      </c>
      <c r="AS360" s="10" t="s">
        <v>27</v>
      </c>
      <c r="AT360" s="10">
        <f t="shared" si="60"/>
        <v>0</v>
      </c>
      <c r="AU360" s="10">
        <f t="shared" si="56"/>
        <v>0</v>
      </c>
      <c r="AV360" s="11">
        <v>30.6</v>
      </c>
      <c r="AW360" s="11">
        <v>68.130400000000009</v>
      </c>
      <c r="AX360" s="11">
        <v>10.391097</v>
      </c>
      <c r="AY360" s="10">
        <v>106</v>
      </c>
      <c r="AZ360" t="s">
        <v>105</v>
      </c>
      <c r="BA360" s="17">
        <f t="shared" si="57"/>
        <v>0</v>
      </c>
      <c r="BB360" s="17">
        <f t="shared" si="58"/>
        <v>0</v>
      </c>
      <c r="BC360" s="17">
        <f t="shared" si="59"/>
        <v>1</v>
      </c>
      <c r="BG360" s="14">
        <v>0</v>
      </c>
      <c r="BH360" s="14">
        <v>0</v>
      </c>
      <c r="BI360" s="14">
        <v>0</v>
      </c>
      <c r="BJ360" s="14">
        <v>0</v>
      </c>
      <c r="BK360" s="14">
        <v>0</v>
      </c>
      <c r="BL360" s="14">
        <v>0</v>
      </c>
      <c r="BM360" s="14">
        <v>0</v>
      </c>
      <c r="BN360" s="14">
        <v>0</v>
      </c>
      <c r="BO360" s="14">
        <v>0</v>
      </c>
      <c r="BP360" s="14">
        <v>1</v>
      </c>
      <c r="BQ360" s="11">
        <v>30.6</v>
      </c>
      <c r="BR360" s="11">
        <v>68.130400000000009</v>
      </c>
      <c r="BS360" s="11">
        <v>10.391097</v>
      </c>
      <c r="BT360" s="10">
        <v>106</v>
      </c>
    </row>
    <row r="361" spans="4:72">
      <c r="D361" s="10">
        <v>33</v>
      </c>
      <c r="E361" s="11">
        <v>17.962515</v>
      </c>
      <c r="F361" s="11">
        <v>67.416699999999992</v>
      </c>
      <c r="G361" s="10">
        <v>33</v>
      </c>
      <c r="AK361" s="10" t="s">
        <v>23</v>
      </c>
      <c r="AL361" s="10">
        <f t="shared" si="51"/>
        <v>0</v>
      </c>
      <c r="AM361" s="10">
        <f t="shared" si="52"/>
        <v>0</v>
      </c>
      <c r="AN361" s="10">
        <f t="shared" si="53"/>
        <v>0</v>
      </c>
      <c r="AO361" s="10" t="s">
        <v>7</v>
      </c>
      <c r="AP361" s="10">
        <f t="shared" si="54"/>
        <v>1</v>
      </c>
      <c r="AQ361" s="10" t="s">
        <v>25</v>
      </c>
      <c r="AR361" s="10">
        <f t="shared" si="55"/>
        <v>0</v>
      </c>
      <c r="AS361" s="10" t="s">
        <v>27</v>
      </c>
      <c r="AT361" s="10">
        <f t="shared" si="60"/>
        <v>0</v>
      </c>
      <c r="AU361" s="10">
        <f t="shared" si="56"/>
        <v>0</v>
      </c>
      <c r="AV361" s="11">
        <v>30.712499999999999</v>
      </c>
      <c r="AW361" s="11">
        <v>50.695700000000002</v>
      </c>
      <c r="AX361" s="11">
        <v>16.044155</v>
      </c>
      <c r="AY361" s="10">
        <v>94</v>
      </c>
      <c r="AZ361" t="s">
        <v>104</v>
      </c>
      <c r="BA361" s="17">
        <f t="shared" si="57"/>
        <v>0</v>
      </c>
      <c r="BB361" s="17">
        <f t="shared" si="58"/>
        <v>0</v>
      </c>
      <c r="BC361" s="17">
        <f t="shared" si="59"/>
        <v>0</v>
      </c>
      <c r="BG361" s="14">
        <v>0</v>
      </c>
      <c r="BH361" s="14">
        <v>0</v>
      </c>
      <c r="BI361" s="14">
        <v>0</v>
      </c>
      <c r="BJ361" s="14">
        <v>1</v>
      </c>
      <c r="BK361" s="14">
        <v>0</v>
      </c>
      <c r="BL361" s="14">
        <v>0</v>
      </c>
      <c r="BM361" s="14">
        <v>0</v>
      </c>
      <c r="BN361" s="14">
        <v>0</v>
      </c>
      <c r="BO361" s="14">
        <v>0</v>
      </c>
      <c r="BP361" s="14">
        <v>0</v>
      </c>
      <c r="BQ361" s="11">
        <v>30.712499999999999</v>
      </c>
      <c r="BR361" s="11">
        <v>50.695700000000002</v>
      </c>
      <c r="BS361" s="11">
        <v>16.044155</v>
      </c>
      <c r="BT361" s="10">
        <v>94</v>
      </c>
    </row>
    <row r="362" spans="4:72">
      <c r="D362" s="10">
        <v>36</v>
      </c>
      <c r="E362" s="11">
        <v>12.834764999999999</v>
      </c>
      <c r="F362" s="11">
        <v>77</v>
      </c>
      <c r="G362" s="10">
        <v>36</v>
      </c>
      <c r="AK362" s="10" t="s">
        <v>23</v>
      </c>
      <c r="AL362" s="10">
        <f t="shared" si="51"/>
        <v>0</v>
      </c>
      <c r="AM362" s="10">
        <f t="shared" si="52"/>
        <v>0</v>
      </c>
      <c r="AN362" s="10">
        <f t="shared" si="53"/>
        <v>0</v>
      </c>
      <c r="AO362" s="10" t="s">
        <v>24</v>
      </c>
      <c r="AP362" s="10">
        <f t="shared" si="54"/>
        <v>0</v>
      </c>
      <c r="AQ362" s="10" t="s">
        <v>11</v>
      </c>
      <c r="AR362" s="10">
        <f t="shared" si="55"/>
        <v>1</v>
      </c>
      <c r="AS362" s="10" t="s">
        <v>26</v>
      </c>
      <c r="AT362" s="10">
        <f t="shared" si="60"/>
        <v>1</v>
      </c>
      <c r="AU362" s="10">
        <f t="shared" si="56"/>
        <v>0</v>
      </c>
      <c r="AV362" s="11">
        <v>33.487515000000002</v>
      </c>
      <c r="AW362" s="11">
        <v>76.25</v>
      </c>
      <c r="AX362" s="11">
        <v>12.626150000000001</v>
      </c>
      <c r="AY362" s="10">
        <v>93</v>
      </c>
      <c r="AZ362" t="s">
        <v>104</v>
      </c>
      <c r="BA362" s="17">
        <f t="shared" si="57"/>
        <v>0</v>
      </c>
      <c r="BB362" s="17">
        <f t="shared" si="58"/>
        <v>0</v>
      </c>
      <c r="BC362" s="17">
        <f t="shared" si="59"/>
        <v>0</v>
      </c>
      <c r="BG362" s="14">
        <v>0</v>
      </c>
      <c r="BH362" s="14">
        <v>0</v>
      </c>
      <c r="BI362" s="14">
        <v>0</v>
      </c>
      <c r="BJ362" s="14">
        <v>0</v>
      </c>
      <c r="BK362" s="14">
        <v>1</v>
      </c>
      <c r="BL362" s="14">
        <v>1</v>
      </c>
      <c r="BM362" s="14">
        <v>0</v>
      </c>
      <c r="BN362" s="14">
        <v>0</v>
      </c>
      <c r="BO362" s="14">
        <v>0</v>
      </c>
      <c r="BP362" s="14">
        <v>0</v>
      </c>
      <c r="BQ362" s="11">
        <v>33.487515000000002</v>
      </c>
      <c r="BR362" s="11">
        <v>76.25</v>
      </c>
      <c r="BS362" s="11">
        <v>12.626150000000001</v>
      </c>
      <c r="BT362" s="10">
        <v>93</v>
      </c>
    </row>
    <row r="363" spans="4:72">
      <c r="D363" s="10">
        <v>22</v>
      </c>
      <c r="E363" s="11">
        <v>13.649985000000001</v>
      </c>
      <c r="F363" s="11">
        <v>47</v>
      </c>
      <c r="G363" s="10">
        <v>22</v>
      </c>
      <c r="AK363" s="10" t="s">
        <v>23</v>
      </c>
      <c r="AL363" s="10">
        <f t="shared" si="51"/>
        <v>0</v>
      </c>
      <c r="AM363" s="10">
        <f t="shared" si="52"/>
        <v>0</v>
      </c>
      <c r="AN363" s="10">
        <f t="shared" si="53"/>
        <v>0</v>
      </c>
      <c r="AO363" s="10" t="s">
        <v>24</v>
      </c>
      <c r="AP363" s="10">
        <f t="shared" si="54"/>
        <v>0</v>
      </c>
      <c r="AQ363" s="10" t="s">
        <v>11</v>
      </c>
      <c r="AR363" s="10">
        <f t="shared" si="55"/>
        <v>1</v>
      </c>
      <c r="AS363" s="10" t="s">
        <v>27</v>
      </c>
      <c r="AT363" s="10">
        <f t="shared" si="60"/>
        <v>0</v>
      </c>
      <c r="AU363" s="10">
        <f t="shared" si="56"/>
        <v>0</v>
      </c>
      <c r="AV363" s="11">
        <v>32.774985000000001</v>
      </c>
      <c r="AW363" s="11">
        <v>50.391300000000008</v>
      </c>
      <c r="AX363" s="11">
        <v>19.695386999999997</v>
      </c>
      <c r="AY363" s="10">
        <v>105</v>
      </c>
      <c r="AZ363" t="s">
        <v>105</v>
      </c>
      <c r="BA363" s="17">
        <f t="shared" si="57"/>
        <v>0</v>
      </c>
      <c r="BB363" s="17">
        <f t="shared" si="58"/>
        <v>0</v>
      </c>
      <c r="BC363" s="17">
        <f t="shared" si="59"/>
        <v>1</v>
      </c>
      <c r="BG363" s="14">
        <v>0</v>
      </c>
      <c r="BH363" s="14">
        <v>0</v>
      </c>
      <c r="BI363" s="14">
        <v>0</v>
      </c>
      <c r="BJ363" s="14">
        <v>0</v>
      </c>
      <c r="BK363" s="14">
        <v>1</v>
      </c>
      <c r="BL363" s="14">
        <v>0</v>
      </c>
      <c r="BM363" s="14">
        <v>0</v>
      </c>
      <c r="BN363" s="14">
        <v>0</v>
      </c>
      <c r="BO363" s="14">
        <v>0</v>
      </c>
      <c r="BP363" s="14">
        <v>1</v>
      </c>
      <c r="BQ363" s="11">
        <v>32.774985000000001</v>
      </c>
      <c r="BR363" s="11">
        <v>50.391300000000008</v>
      </c>
      <c r="BS363" s="11">
        <v>19.695386999999997</v>
      </c>
      <c r="BT363" s="10">
        <v>105</v>
      </c>
    </row>
    <row r="364" spans="4:72">
      <c r="D364" s="10">
        <v>29</v>
      </c>
      <c r="E364" s="11">
        <v>8.1999899999999997</v>
      </c>
      <c r="F364" s="11">
        <v>45.541699999999999</v>
      </c>
      <c r="G364" s="10">
        <v>29</v>
      </c>
      <c r="AK364" s="10" t="s">
        <v>23</v>
      </c>
      <c r="AL364" s="10">
        <f t="shared" si="51"/>
        <v>0</v>
      </c>
      <c r="AM364" s="10">
        <f t="shared" si="52"/>
        <v>0</v>
      </c>
      <c r="AN364" s="10">
        <f t="shared" si="53"/>
        <v>0</v>
      </c>
      <c r="AO364" s="10" t="s">
        <v>24</v>
      </c>
      <c r="AP364" s="10">
        <f t="shared" si="54"/>
        <v>0</v>
      </c>
      <c r="AQ364" s="10" t="s">
        <v>11</v>
      </c>
      <c r="AR364" s="10">
        <f t="shared" si="55"/>
        <v>1</v>
      </c>
      <c r="AS364" s="10" t="s">
        <v>27</v>
      </c>
      <c r="AT364" s="10">
        <f t="shared" si="60"/>
        <v>0</v>
      </c>
      <c r="AU364" s="10">
        <f t="shared" si="56"/>
        <v>0</v>
      </c>
      <c r="AV364" s="11">
        <v>31.350015000000003</v>
      </c>
      <c r="AW364" s="11">
        <v>57.416699999999999</v>
      </c>
      <c r="AX364" s="11">
        <v>8.0006040000000009</v>
      </c>
      <c r="AY364" s="10">
        <v>111</v>
      </c>
      <c r="AZ364" t="s">
        <v>105</v>
      </c>
      <c r="BA364" s="17">
        <f t="shared" si="57"/>
        <v>0</v>
      </c>
      <c r="BB364" s="17">
        <f t="shared" si="58"/>
        <v>0</v>
      </c>
      <c r="BC364" s="17">
        <f t="shared" si="59"/>
        <v>1</v>
      </c>
      <c r="BG364" s="14">
        <v>0</v>
      </c>
      <c r="BH364" s="14">
        <v>0</v>
      </c>
      <c r="BI364" s="14">
        <v>0</v>
      </c>
      <c r="BJ364" s="14">
        <v>0</v>
      </c>
      <c r="BK364" s="14">
        <v>1</v>
      </c>
      <c r="BL364" s="14">
        <v>0</v>
      </c>
      <c r="BM364" s="14">
        <v>0</v>
      </c>
      <c r="BN364" s="14">
        <v>0</v>
      </c>
      <c r="BO364" s="14">
        <v>0</v>
      </c>
      <c r="BP364" s="14">
        <v>1</v>
      </c>
      <c r="BQ364" s="11">
        <v>31.350015000000003</v>
      </c>
      <c r="BR364" s="11">
        <v>57.416699999999999</v>
      </c>
      <c r="BS364" s="11">
        <v>8.0006040000000009</v>
      </c>
      <c r="BT364" s="10">
        <v>111</v>
      </c>
    </row>
    <row r="365" spans="4:72">
      <c r="D365" s="10">
        <v>39</v>
      </c>
      <c r="E365" s="11">
        <v>9.978254999999999</v>
      </c>
      <c r="F365" s="11">
        <v>60.5</v>
      </c>
      <c r="G365" s="10">
        <v>39</v>
      </c>
      <c r="AK365" s="10" t="s">
        <v>23</v>
      </c>
      <c r="AL365" s="10">
        <f t="shared" si="51"/>
        <v>0</v>
      </c>
      <c r="AM365" s="10">
        <f t="shared" si="52"/>
        <v>0</v>
      </c>
      <c r="AN365" s="10">
        <f t="shared" si="53"/>
        <v>0</v>
      </c>
      <c r="AO365" s="10" t="s">
        <v>24</v>
      </c>
      <c r="AP365" s="10">
        <f t="shared" si="54"/>
        <v>0</v>
      </c>
      <c r="AQ365" s="10" t="s">
        <v>11</v>
      </c>
      <c r="AR365" s="10">
        <f t="shared" si="55"/>
        <v>1</v>
      </c>
      <c r="AS365" s="10" t="s">
        <v>27</v>
      </c>
      <c r="AT365" s="10">
        <f t="shared" si="60"/>
        <v>0</v>
      </c>
      <c r="AU365" s="10">
        <f t="shared" si="56"/>
        <v>0</v>
      </c>
      <c r="AV365" s="11">
        <v>32.512500000000003</v>
      </c>
      <c r="AW365" s="11">
        <v>63.666699999999999</v>
      </c>
      <c r="AX365" s="11">
        <v>9.0005790000000001</v>
      </c>
      <c r="AY365" s="10">
        <v>107</v>
      </c>
      <c r="AZ365" t="s">
        <v>105</v>
      </c>
      <c r="BA365" s="17">
        <f t="shared" si="57"/>
        <v>0</v>
      </c>
      <c r="BB365" s="17">
        <f t="shared" si="58"/>
        <v>0</v>
      </c>
      <c r="BC365" s="17">
        <f t="shared" si="59"/>
        <v>1</v>
      </c>
      <c r="BG365" s="14">
        <v>0</v>
      </c>
      <c r="BH365" s="14">
        <v>0</v>
      </c>
      <c r="BI365" s="14">
        <v>0</v>
      </c>
      <c r="BJ365" s="14">
        <v>0</v>
      </c>
      <c r="BK365" s="14">
        <v>1</v>
      </c>
      <c r="BL365" s="14">
        <v>0</v>
      </c>
      <c r="BM365" s="14">
        <v>0</v>
      </c>
      <c r="BN365" s="14">
        <v>0</v>
      </c>
      <c r="BO365" s="14">
        <v>0</v>
      </c>
      <c r="BP365" s="14">
        <v>1</v>
      </c>
      <c r="BQ365" s="11">
        <v>32.512500000000003</v>
      </c>
      <c r="BR365" s="11">
        <v>63.666699999999999</v>
      </c>
      <c r="BS365" s="11">
        <v>9.0005790000000001</v>
      </c>
      <c r="BT365" s="10">
        <v>107</v>
      </c>
    </row>
    <row r="366" spans="4:72">
      <c r="D366" s="10">
        <v>36</v>
      </c>
      <c r="E366" s="11">
        <v>13.304340000000002</v>
      </c>
      <c r="F366" s="11">
        <v>77.166700000000006</v>
      </c>
      <c r="G366" s="10">
        <v>36</v>
      </c>
      <c r="AK366" s="10" t="s">
        <v>23</v>
      </c>
      <c r="AL366" s="10">
        <f t="shared" si="51"/>
        <v>0</v>
      </c>
      <c r="AM366" s="10">
        <f t="shared" si="52"/>
        <v>0</v>
      </c>
      <c r="AN366" s="10">
        <f t="shared" si="53"/>
        <v>0</v>
      </c>
      <c r="AO366" s="10" t="s">
        <v>24</v>
      </c>
      <c r="AP366" s="10">
        <f t="shared" si="54"/>
        <v>0</v>
      </c>
      <c r="AQ366" s="10" t="s">
        <v>25</v>
      </c>
      <c r="AR366" s="10">
        <f t="shared" si="55"/>
        <v>0</v>
      </c>
      <c r="AS366" s="10" t="s">
        <v>27</v>
      </c>
      <c r="AT366" s="10">
        <f t="shared" si="60"/>
        <v>0</v>
      </c>
      <c r="AU366" s="10">
        <f t="shared" si="56"/>
        <v>0</v>
      </c>
      <c r="AV366" s="11">
        <v>33.224985000000004</v>
      </c>
      <c r="AW366" s="11">
        <v>61.583299999999994</v>
      </c>
      <c r="AX366" s="11">
        <v>14.750318</v>
      </c>
      <c r="AY366" s="10">
        <v>102</v>
      </c>
      <c r="AZ366" t="s">
        <v>105</v>
      </c>
      <c r="BA366" s="17">
        <f t="shared" si="57"/>
        <v>0</v>
      </c>
      <c r="BB366" s="17">
        <f t="shared" si="58"/>
        <v>0</v>
      </c>
      <c r="BC366" s="17">
        <f t="shared" si="59"/>
        <v>1</v>
      </c>
      <c r="BG366" s="14">
        <v>0</v>
      </c>
      <c r="BH366" s="14">
        <v>0</v>
      </c>
      <c r="BI366" s="14">
        <v>0</v>
      </c>
      <c r="BJ366" s="14">
        <v>0</v>
      </c>
      <c r="BK366" s="14">
        <v>0</v>
      </c>
      <c r="BL366" s="14">
        <v>0</v>
      </c>
      <c r="BM366" s="14">
        <v>0</v>
      </c>
      <c r="BN366" s="14">
        <v>0</v>
      </c>
      <c r="BO366" s="14">
        <v>0</v>
      </c>
      <c r="BP366" s="14">
        <v>1</v>
      </c>
      <c r="BQ366" s="11">
        <v>33.224985000000004</v>
      </c>
      <c r="BR366" s="11">
        <v>61.583299999999994</v>
      </c>
      <c r="BS366" s="11">
        <v>14.750318</v>
      </c>
      <c r="BT366" s="10">
        <v>102</v>
      </c>
    </row>
    <row r="367" spans="4:72">
      <c r="D367" s="10">
        <v>29</v>
      </c>
      <c r="E367" s="11">
        <v>16.395659999999999</v>
      </c>
      <c r="F367" s="11">
        <v>76.125</v>
      </c>
      <c r="G367" s="10">
        <v>29</v>
      </c>
    </row>
    <row r="368" spans="4:72" ht="19" thickBot="1">
      <c r="D368" s="10">
        <v>39</v>
      </c>
      <c r="E368" s="11">
        <v>12.712499999999999</v>
      </c>
      <c r="F368" s="11">
        <v>85</v>
      </c>
      <c r="G368" s="10">
        <v>39</v>
      </c>
    </row>
    <row r="369" spans="4:84">
      <c r="D369" s="10">
        <v>48</v>
      </c>
      <c r="E369" s="11">
        <v>15.45651</v>
      </c>
      <c r="F369" s="11">
        <v>56.176499999999997</v>
      </c>
      <c r="G369" s="10">
        <v>48</v>
      </c>
      <c r="BE369" s="155"/>
      <c r="BF369" s="155"/>
      <c r="BG369" s="155"/>
      <c r="BH369" s="155"/>
      <c r="BI369" s="155"/>
      <c r="BJ369" s="155"/>
      <c r="BK369" s="155"/>
      <c r="BL369" s="155"/>
      <c r="BM369" s="155"/>
      <c r="BN369" s="155"/>
      <c r="BO369" s="155"/>
      <c r="BP369" s="155"/>
      <c r="BQ369" s="155"/>
      <c r="BR369" s="155"/>
      <c r="BS369" s="155"/>
      <c r="BT369" s="155"/>
      <c r="BU369" s="155"/>
      <c r="BV369" s="155"/>
      <c r="BW369" s="155"/>
      <c r="BX369" s="155"/>
      <c r="BY369" s="155"/>
      <c r="BZ369" s="155"/>
      <c r="CA369" s="155"/>
      <c r="CB369" s="155"/>
      <c r="CC369" s="155"/>
      <c r="CD369" s="155"/>
      <c r="CE369" s="155"/>
      <c r="CF369" s="155"/>
    </row>
    <row r="370" spans="4:84">
      <c r="D370" s="10">
        <v>29</v>
      </c>
      <c r="E370" s="11">
        <v>18.327285</v>
      </c>
      <c r="F370" s="11">
        <v>55.458300000000008</v>
      </c>
      <c r="G370" s="10">
        <v>29</v>
      </c>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row>
    <row r="371" spans="4:84">
      <c r="D371" s="10">
        <v>37</v>
      </c>
      <c r="E371" s="11">
        <v>12.000014999999999</v>
      </c>
      <c r="F371" s="11">
        <v>54.833299999999994</v>
      </c>
      <c r="G371" s="10">
        <v>37</v>
      </c>
      <c r="BE371" s="79"/>
      <c r="BF371" s="79"/>
      <c r="BG371" s="79"/>
      <c r="BH371" s="79"/>
      <c r="BI371" s="79"/>
      <c r="BJ371" s="79"/>
      <c r="BK371" s="79"/>
      <c r="BL371" s="79"/>
      <c r="BM371" s="79"/>
      <c r="BN371" s="79"/>
      <c r="BO371" s="79"/>
      <c r="BP371" s="79"/>
      <c r="BQ371" s="79"/>
      <c r="BR371" s="79"/>
      <c r="BS371" s="79"/>
      <c r="BT371" s="79"/>
      <c r="BU371" s="79"/>
      <c r="BV371" s="79"/>
      <c r="BW371" s="79"/>
      <c r="BX371" s="79"/>
      <c r="BY371" s="79"/>
    </row>
    <row r="372" spans="4:84">
      <c r="D372" s="10">
        <v>43</v>
      </c>
      <c r="E372" s="11">
        <v>15.075000000000001</v>
      </c>
      <c r="F372" s="11">
        <v>59.791700000000006</v>
      </c>
      <c r="G372" s="10">
        <v>43</v>
      </c>
      <c r="BE372" s="79"/>
      <c r="BF372" s="79"/>
      <c r="BG372" s="79"/>
      <c r="BH372" s="79"/>
      <c r="BI372" s="79"/>
      <c r="BJ372" s="79"/>
      <c r="BK372" s="79"/>
      <c r="BL372" s="79"/>
      <c r="BM372" s="79"/>
      <c r="BN372" s="79"/>
      <c r="BO372" s="79"/>
      <c r="BP372" s="79"/>
      <c r="BQ372" s="79"/>
      <c r="BR372" s="79"/>
      <c r="BS372" s="79"/>
      <c r="BT372" s="79"/>
      <c r="BU372" s="79"/>
      <c r="BV372" s="79"/>
      <c r="BW372" s="79"/>
      <c r="BX372" s="79"/>
      <c r="BY372" s="79"/>
    </row>
    <row r="373" spans="4:84">
      <c r="D373" s="10">
        <v>33</v>
      </c>
      <c r="E373" s="11">
        <v>8.9249850000000013</v>
      </c>
      <c r="F373" s="11">
        <v>63.916700000000006</v>
      </c>
      <c r="G373" s="10">
        <v>33</v>
      </c>
      <c r="BE373" s="79"/>
      <c r="BF373" s="79"/>
      <c r="BG373" s="79"/>
      <c r="BH373" s="79"/>
      <c r="BI373" s="79"/>
      <c r="BJ373" s="79"/>
      <c r="BK373" s="79"/>
      <c r="BL373" s="79"/>
      <c r="BM373" s="79"/>
      <c r="BN373" s="79"/>
      <c r="BO373" s="79"/>
      <c r="BP373" s="79"/>
      <c r="BQ373" s="79"/>
      <c r="BR373" s="79"/>
      <c r="BS373" s="79"/>
      <c r="BT373" s="79"/>
      <c r="BU373" s="79"/>
      <c r="BV373" s="79"/>
      <c r="BW373" s="79"/>
      <c r="BX373" s="79"/>
      <c r="BY373" s="79"/>
    </row>
    <row r="374" spans="4:84">
      <c r="D374" s="10">
        <v>39</v>
      </c>
      <c r="E374" s="11">
        <v>11.775015</v>
      </c>
      <c r="F374" s="11">
        <v>72.708300000000008</v>
      </c>
      <c r="G374" s="10">
        <v>39</v>
      </c>
      <c r="BE374" s="79"/>
      <c r="BF374" s="79"/>
      <c r="BG374" s="79"/>
      <c r="BH374" s="79"/>
      <c r="BI374" s="79"/>
      <c r="BJ374" s="79"/>
      <c r="BK374" s="79"/>
      <c r="BL374" s="79"/>
      <c r="BM374" s="79"/>
      <c r="BN374" s="79"/>
      <c r="BO374" s="79"/>
      <c r="BP374" s="79"/>
      <c r="BQ374" s="79"/>
      <c r="BR374" s="79"/>
      <c r="BS374" s="79"/>
      <c r="BT374" s="79"/>
      <c r="BU374" s="79"/>
      <c r="BV374" s="79"/>
      <c r="BW374" s="79"/>
      <c r="BX374" s="79"/>
      <c r="BY374" s="79"/>
    </row>
    <row r="375" spans="4:84">
      <c r="D375" s="10">
        <v>42</v>
      </c>
      <c r="E375" s="11">
        <v>17.287514999999999</v>
      </c>
      <c r="F375" s="11">
        <v>71.666700000000006</v>
      </c>
      <c r="G375" s="10">
        <v>42</v>
      </c>
      <c r="BE375" s="79"/>
      <c r="BF375" s="79"/>
      <c r="BG375" s="79"/>
      <c r="BH375" s="79"/>
      <c r="BI375" s="79"/>
      <c r="BJ375" s="79"/>
      <c r="BK375" s="79"/>
      <c r="BL375" s="79"/>
      <c r="BM375" s="79"/>
      <c r="BN375" s="79"/>
      <c r="BO375" s="79"/>
      <c r="BP375" s="79"/>
      <c r="BQ375" s="79"/>
      <c r="BR375" s="79"/>
      <c r="BS375" s="79"/>
      <c r="BT375" s="79"/>
      <c r="BU375" s="79"/>
      <c r="BV375" s="79"/>
      <c r="BW375" s="79"/>
      <c r="BX375" s="79"/>
      <c r="BY375" s="79"/>
    </row>
    <row r="376" spans="4:84">
      <c r="D376" s="10">
        <v>12</v>
      </c>
      <c r="E376" s="11">
        <v>16.943490000000001</v>
      </c>
      <c r="F376" s="11">
        <v>74.208300000000008</v>
      </c>
      <c r="G376" s="10">
        <v>12</v>
      </c>
      <c r="BE376" s="79"/>
      <c r="BF376" s="79"/>
      <c r="BG376" s="79"/>
      <c r="BH376" s="79"/>
      <c r="BI376" s="79"/>
      <c r="BJ376" s="79"/>
      <c r="BK376" s="79"/>
      <c r="BL376" s="79"/>
      <c r="BM376" s="79"/>
      <c r="BN376" s="79"/>
      <c r="BO376" s="79"/>
      <c r="BP376" s="79"/>
      <c r="BQ376" s="79"/>
      <c r="BR376" s="79"/>
      <c r="BS376" s="79"/>
      <c r="BT376" s="79"/>
      <c r="BU376" s="79"/>
      <c r="BV376" s="79"/>
      <c r="BW376" s="79"/>
      <c r="BX376" s="79"/>
      <c r="BY376" s="79"/>
    </row>
    <row r="377" spans="4:84">
      <c r="D377" s="10">
        <v>38</v>
      </c>
      <c r="E377" s="11">
        <v>11.778255</v>
      </c>
      <c r="F377" s="11">
        <v>79.041700000000006</v>
      </c>
      <c r="G377" s="10">
        <v>38</v>
      </c>
      <c r="BE377" s="79"/>
      <c r="BF377" s="79"/>
      <c r="BG377" s="79"/>
      <c r="BH377" s="79"/>
      <c r="BI377" s="79"/>
      <c r="BJ377" s="79"/>
      <c r="BK377" s="79"/>
      <c r="BL377" s="79"/>
      <c r="BM377" s="79"/>
      <c r="BN377" s="79"/>
      <c r="BO377" s="79"/>
      <c r="BP377" s="79"/>
      <c r="BQ377" s="79"/>
      <c r="BR377" s="79"/>
      <c r="BS377" s="79"/>
      <c r="BT377" s="79"/>
      <c r="BU377" s="79"/>
      <c r="BV377" s="79"/>
      <c r="BW377" s="79"/>
      <c r="BX377" s="79"/>
      <c r="BY377" s="79"/>
    </row>
    <row r="378" spans="4:84">
      <c r="D378" s="10">
        <v>42</v>
      </c>
      <c r="E378" s="11">
        <v>13.1625</v>
      </c>
      <c r="F378" s="11">
        <v>88.695700000000002</v>
      </c>
      <c r="G378" s="10">
        <v>42</v>
      </c>
      <c r="BE378" s="79"/>
      <c r="BF378" s="79"/>
      <c r="BG378" s="79"/>
      <c r="BH378" s="79"/>
      <c r="BI378" s="79"/>
      <c r="BJ378" s="79"/>
      <c r="BK378" s="79"/>
      <c r="BL378" s="79"/>
      <c r="BM378" s="79"/>
      <c r="BN378" s="79"/>
      <c r="BO378" s="79"/>
      <c r="BP378" s="79"/>
      <c r="BQ378" s="79"/>
      <c r="BR378" s="79"/>
      <c r="BS378" s="79"/>
      <c r="BT378" s="79"/>
      <c r="BU378" s="79"/>
      <c r="BV378" s="79"/>
      <c r="BW378" s="79"/>
      <c r="BX378" s="79"/>
      <c r="BY378" s="79"/>
    </row>
    <row r="379" spans="4:84">
      <c r="D379" s="10">
        <v>38</v>
      </c>
      <c r="E379" s="11">
        <v>13.312485000000001</v>
      </c>
      <c r="F379" s="11">
        <v>91.708299999999994</v>
      </c>
      <c r="G379" s="10">
        <v>38</v>
      </c>
      <c r="BE379" s="79"/>
      <c r="BF379" s="79"/>
      <c r="BG379" s="79"/>
      <c r="BH379" s="79"/>
      <c r="BI379" s="79"/>
      <c r="BJ379" s="79"/>
      <c r="BK379" s="79"/>
      <c r="BL379" s="79"/>
      <c r="BM379" s="79"/>
      <c r="BN379" s="79"/>
      <c r="BO379" s="79"/>
      <c r="BP379" s="79"/>
      <c r="BQ379" s="79"/>
      <c r="BR379" s="79"/>
      <c r="BS379" s="79"/>
      <c r="BT379" s="79"/>
      <c r="BU379" s="79"/>
      <c r="BV379" s="79"/>
      <c r="BW379" s="79"/>
      <c r="BX379" s="79"/>
      <c r="BY379" s="79"/>
    </row>
    <row r="380" spans="4:84">
      <c r="D380" s="10">
        <v>13</v>
      </c>
      <c r="E380" s="11">
        <v>17.509095000000002</v>
      </c>
      <c r="F380" s="11">
        <v>93.956500000000005</v>
      </c>
      <c r="G380" s="10">
        <v>13</v>
      </c>
      <c r="BE380" s="79"/>
      <c r="BF380" s="79"/>
      <c r="BG380" s="79"/>
      <c r="BH380" s="79"/>
      <c r="BI380" s="79"/>
      <c r="BJ380" s="79"/>
      <c r="BK380" s="79"/>
      <c r="BL380" s="79"/>
      <c r="BM380" s="79"/>
      <c r="BN380" s="79"/>
      <c r="BO380" s="79"/>
      <c r="BP380" s="79"/>
      <c r="BQ380" s="79"/>
      <c r="BR380" s="79"/>
      <c r="BS380" s="79"/>
      <c r="BT380" s="79"/>
      <c r="BU380" s="79"/>
      <c r="BV380" s="79"/>
      <c r="BW380" s="79"/>
      <c r="BX380" s="79"/>
      <c r="BY380" s="79"/>
    </row>
    <row r="381" spans="4:84">
      <c r="D381" s="10">
        <v>40</v>
      </c>
      <c r="E381" s="11">
        <v>14.243490000000001</v>
      </c>
      <c r="F381" s="11">
        <v>89.791699999999992</v>
      </c>
      <c r="G381" s="10">
        <v>40</v>
      </c>
      <c r="BE381" s="79"/>
      <c r="BF381" s="79"/>
      <c r="BG381" s="79"/>
      <c r="BH381" s="79"/>
      <c r="BI381" s="79"/>
      <c r="BJ381" s="79"/>
      <c r="BK381" s="79"/>
      <c r="BL381" s="79"/>
      <c r="BM381" s="79"/>
      <c r="BN381" s="79"/>
      <c r="BO381" s="79"/>
      <c r="BP381" s="79"/>
      <c r="BQ381" s="79"/>
      <c r="BR381" s="79"/>
      <c r="BS381" s="79"/>
      <c r="BT381" s="79"/>
      <c r="BU381" s="79"/>
      <c r="BV381" s="79"/>
      <c r="BW381" s="79"/>
      <c r="BX381" s="79"/>
      <c r="BY381" s="79"/>
    </row>
    <row r="382" spans="4:84">
      <c r="D382" s="10">
        <v>42</v>
      </c>
      <c r="E382" s="11">
        <v>14.812514999999999</v>
      </c>
      <c r="F382" s="11">
        <v>75.375</v>
      </c>
      <c r="G382" s="10">
        <v>42</v>
      </c>
      <c r="BE382" s="79"/>
      <c r="BF382" s="79"/>
      <c r="BG382" s="79"/>
      <c r="BH382" s="79"/>
      <c r="BI382" s="79"/>
      <c r="BJ382" s="79"/>
      <c r="BK382" s="79"/>
      <c r="BL382" s="79"/>
      <c r="BM382" s="79"/>
      <c r="BN382" s="79"/>
      <c r="BO382" s="79"/>
      <c r="BP382" s="79"/>
      <c r="BQ382" s="79"/>
      <c r="BR382" s="79"/>
      <c r="BS382" s="79"/>
      <c r="BT382" s="79"/>
      <c r="BU382" s="79"/>
      <c r="BV382" s="79"/>
      <c r="BW382" s="79"/>
      <c r="BX382" s="79"/>
      <c r="BY382" s="79"/>
    </row>
    <row r="383" spans="4:84" ht="19" thickBot="1">
      <c r="D383" s="10">
        <v>49</v>
      </c>
      <c r="E383" s="11">
        <v>17.295660000000002</v>
      </c>
      <c r="F383" s="11">
        <v>71.375</v>
      </c>
      <c r="G383" s="10">
        <v>49</v>
      </c>
      <c r="BE383" s="148"/>
      <c r="BF383" s="148"/>
      <c r="BG383" s="148"/>
      <c r="BH383" s="148"/>
      <c r="BI383" s="148"/>
      <c r="BJ383" s="148"/>
      <c r="BK383" s="148"/>
      <c r="BL383" s="148"/>
      <c r="BM383" s="148"/>
      <c r="BN383" s="148"/>
      <c r="BO383" s="148"/>
      <c r="BP383" s="148"/>
      <c r="BQ383" s="148"/>
      <c r="BR383" s="148"/>
      <c r="BS383" s="148"/>
      <c r="BT383" s="148"/>
      <c r="BU383" s="148"/>
      <c r="BV383" s="148"/>
      <c r="BW383" s="148"/>
      <c r="BX383" s="148"/>
      <c r="BY383" s="148"/>
    </row>
    <row r="384" spans="4:84">
      <c r="D384" s="10">
        <v>41</v>
      </c>
      <c r="E384" s="11">
        <v>14.634765</v>
      </c>
      <c r="F384" s="11">
        <v>69.217399999999998</v>
      </c>
      <c r="G384" s="10">
        <v>41</v>
      </c>
    </row>
    <row r="385" spans="4:7">
      <c r="D385" s="10">
        <v>41</v>
      </c>
      <c r="E385" s="11">
        <v>14.282594999999999</v>
      </c>
      <c r="F385" s="11">
        <v>71.25</v>
      </c>
      <c r="G385" s="10">
        <v>41</v>
      </c>
    </row>
    <row r="386" spans="4:7">
      <c r="D386" s="10">
        <v>43</v>
      </c>
      <c r="E386" s="11">
        <v>16.434765000000002</v>
      </c>
      <c r="F386" s="11">
        <v>69.708299999999994</v>
      </c>
      <c r="G386" s="10">
        <v>43</v>
      </c>
    </row>
    <row r="387" spans="4:7">
      <c r="D387" s="10">
        <v>54</v>
      </c>
      <c r="E387" s="11">
        <v>18.675000000000001</v>
      </c>
      <c r="F387" s="11">
        <v>70.916700000000006</v>
      </c>
      <c r="G387" s="10">
        <v>54</v>
      </c>
    </row>
    <row r="388" spans="4:7">
      <c r="D388" s="10">
        <v>65</v>
      </c>
      <c r="E388" s="11">
        <v>24.3</v>
      </c>
      <c r="F388" s="11">
        <v>59.041699999999999</v>
      </c>
      <c r="G388" s="10">
        <v>65</v>
      </c>
    </row>
    <row r="389" spans="4:7">
      <c r="D389" s="10">
        <v>62</v>
      </c>
      <c r="E389" s="11">
        <v>21.262499999999999</v>
      </c>
      <c r="F389" s="11">
        <v>71.833299999999994</v>
      </c>
      <c r="G389" s="10">
        <v>62</v>
      </c>
    </row>
    <row r="390" spans="4:7">
      <c r="D390" s="10">
        <v>49</v>
      </c>
      <c r="E390" s="11">
        <v>14.9625</v>
      </c>
      <c r="F390" s="11">
        <v>69.5</v>
      </c>
      <c r="G390" s="10">
        <v>49</v>
      </c>
    </row>
    <row r="391" spans="4:7">
      <c r="D391" s="10">
        <v>42</v>
      </c>
      <c r="E391" s="11">
        <v>19.369575000000001</v>
      </c>
      <c r="F391" s="11">
        <v>69</v>
      </c>
      <c r="G391" s="10">
        <v>42</v>
      </c>
    </row>
    <row r="392" spans="4:7">
      <c r="D392" s="10">
        <v>54</v>
      </c>
      <c r="E392" s="11">
        <v>19.875014999999998</v>
      </c>
      <c r="F392" s="11">
        <v>88.125</v>
      </c>
      <c r="G392" s="10">
        <v>54</v>
      </c>
    </row>
    <row r="393" spans="4:7">
      <c r="D393" s="10">
        <v>42</v>
      </c>
      <c r="E393" s="11">
        <v>15.613065000000001</v>
      </c>
      <c r="F393" s="11">
        <v>90</v>
      </c>
      <c r="G393" s="10">
        <v>42</v>
      </c>
    </row>
    <row r="394" spans="4:7">
      <c r="D394" s="10">
        <v>37</v>
      </c>
      <c r="E394" s="11">
        <v>12.824999999999999</v>
      </c>
      <c r="F394" s="11">
        <v>90.208299999999994</v>
      </c>
      <c r="G394" s="10">
        <v>37</v>
      </c>
    </row>
    <row r="395" spans="4:7">
      <c r="D395" s="10">
        <v>44</v>
      </c>
      <c r="E395" s="11">
        <v>11.887514999999999</v>
      </c>
      <c r="F395" s="11">
        <v>97.25</v>
      </c>
      <c r="G395" s="10">
        <v>44</v>
      </c>
    </row>
    <row r="396" spans="4:7">
      <c r="D396" s="10">
        <v>50</v>
      </c>
      <c r="E396" s="11">
        <v>11.962484999999999</v>
      </c>
      <c r="F396" s="11">
        <v>86.25</v>
      </c>
      <c r="G396" s="10">
        <v>50</v>
      </c>
    </row>
    <row r="397" spans="4:7">
      <c r="D397" s="10">
        <v>33</v>
      </c>
      <c r="E397" s="11">
        <v>11.386935000000001</v>
      </c>
      <c r="F397" s="11">
        <v>84.5</v>
      </c>
      <c r="G397" s="10">
        <v>33</v>
      </c>
    </row>
    <row r="398" spans="4:7">
      <c r="D398" s="10">
        <v>40</v>
      </c>
      <c r="E398" s="11">
        <v>11.895660000000001</v>
      </c>
      <c r="F398" s="11">
        <v>84.833299999999994</v>
      </c>
      <c r="G398" s="10">
        <v>40</v>
      </c>
    </row>
    <row r="399" spans="4:7">
      <c r="D399" s="10">
        <v>48</v>
      </c>
      <c r="E399" s="11">
        <v>13.612499999999999</v>
      </c>
      <c r="F399" s="11">
        <v>88.541700000000006</v>
      </c>
      <c r="G399" s="10">
        <v>48</v>
      </c>
    </row>
    <row r="400" spans="4:7">
      <c r="D400" s="10">
        <v>30</v>
      </c>
      <c r="E400" s="11">
        <v>13.5</v>
      </c>
      <c r="F400" s="11">
        <v>84.875</v>
      </c>
      <c r="G400" s="10">
        <v>30</v>
      </c>
    </row>
    <row r="401" spans="4:7">
      <c r="D401" s="10">
        <v>34</v>
      </c>
      <c r="E401" s="11">
        <v>12.074985</v>
      </c>
      <c r="F401" s="11">
        <v>69.916699999999992</v>
      </c>
      <c r="G401" s="10">
        <v>34</v>
      </c>
    </row>
    <row r="402" spans="4:7">
      <c r="D402" s="10">
        <v>44</v>
      </c>
      <c r="E402" s="11">
        <v>13.5</v>
      </c>
      <c r="F402" s="11">
        <v>64.75</v>
      </c>
      <c r="G402" s="10">
        <v>44</v>
      </c>
    </row>
    <row r="403" spans="4:7">
      <c r="D403" s="10">
        <v>45</v>
      </c>
      <c r="E403" s="11">
        <v>14.175000000000001</v>
      </c>
      <c r="F403" s="11">
        <v>75.375</v>
      </c>
      <c r="G403" s="10">
        <v>45</v>
      </c>
    </row>
    <row r="404" spans="4:7">
      <c r="D404" s="10">
        <v>65</v>
      </c>
      <c r="E404" s="11">
        <v>17.024984999999997</v>
      </c>
      <c r="F404" s="11">
        <v>79.166700000000006</v>
      </c>
      <c r="G404" s="10">
        <v>65</v>
      </c>
    </row>
    <row r="405" spans="4:7">
      <c r="D405" s="10">
        <v>63</v>
      </c>
      <c r="E405" s="11">
        <v>25.799985</v>
      </c>
      <c r="F405" s="11">
        <v>76.083299999999994</v>
      </c>
      <c r="G405" s="10">
        <v>63</v>
      </c>
    </row>
    <row r="406" spans="4:7">
      <c r="D406" s="10">
        <v>36</v>
      </c>
      <c r="E406" s="11">
        <v>18.637515</v>
      </c>
      <c r="F406" s="11">
        <v>71</v>
      </c>
      <c r="G406" s="10">
        <v>36</v>
      </c>
    </row>
    <row r="407" spans="4:7">
      <c r="D407" s="10">
        <v>56</v>
      </c>
      <c r="E407" s="11">
        <v>17.587485000000001</v>
      </c>
      <c r="F407" s="11">
        <v>64.791699999999992</v>
      </c>
      <c r="G407" s="10">
        <v>56</v>
      </c>
    </row>
    <row r="408" spans="4:7">
      <c r="D408" s="10">
        <v>62</v>
      </c>
      <c r="E408" s="11">
        <v>19.6875</v>
      </c>
      <c r="F408" s="11">
        <v>62.083299999999994</v>
      </c>
      <c r="G408" s="10">
        <v>62</v>
      </c>
    </row>
    <row r="409" spans="4:7">
      <c r="D409" s="10">
        <v>29</v>
      </c>
      <c r="E409" s="11">
        <v>15.112485</v>
      </c>
      <c r="F409" s="11">
        <v>68.416699999999992</v>
      </c>
      <c r="G409" s="10">
        <v>29</v>
      </c>
    </row>
    <row r="410" spans="4:7">
      <c r="D410" s="10">
        <v>50</v>
      </c>
      <c r="E410" s="11">
        <v>15.412500000000001</v>
      </c>
      <c r="F410" s="11">
        <v>70.125</v>
      </c>
      <c r="G410" s="10">
        <v>50</v>
      </c>
    </row>
    <row r="411" spans="4:7">
      <c r="D411" s="10">
        <v>58</v>
      </c>
      <c r="E411" s="11">
        <v>19.200015</v>
      </c>
      <c r="F411" s="11">
        <v>72.75</v>
      </c>
      <c r="G411" s="10">
        <v>58</v>
      </c>
    </row>
    <row r="412" spans="4:7">
      <c r="D412" s="10">
        <v>67</v>
      </c>
      <c r="E412" s="11">
        <v>26.80434</v>
      </c>
      <c r="F412" s="11">
        <v>73.375</v>
      </c>
      <c r="G412" s="10">
        <v>67</v>
      </c>
    </row>
    <row r="413" spans="4:7">
      <c r="D413" s="10">
        <v>41</v>
      </c>
      <c r="E413" s="11">
        <v>22.612499999999997</v>
      </c>
      <c r="F413" s="11">
        <v>80.875</v>
      </c>
      <c r="G413" s="10">
        <v>41</v>
      </c>
    </row>
    <row r="414" spans="4:7">
      <c r="D414" s="10">
        <v>43</v>
      </c>
      <c r="E414" s="11">
        <v>18.5625</v>
      </c>
      <c r="F414" s="11">
        <v>90.625</v>
      </c>
      <c r="G414" s="10">
        <v>43</v>
      </c>
    </row>
    <row r="415" spans="4:7">
      <c r="D415" s="10">
        <v>66</v>
      </c>
      <c r="E415" s="11">
        <v>21.037500000000001</v>
      </c>
      <c r="F415" s="11">
        <v>89.666700000000006</v>
      </c>
      <c r="G415" s="10">
        <v>66</v>
      </c>
    </row>
    <row r="416" spans="4:7">
      <c r="D416" s="10">
        <v>63</v>
      </c>
      <c r="E416" s="11">
        <v>20.100014999999999</v>
      </c>
      <c r="F416" s="11">
        <v>71.625</v>
      </c>
      <c r="G416" s="10">
        <v>63</v>
      </c>
    </row>
    <row r="417" spans="4:7">
      <c r="D417" s="10">
        <v>15</v>
      </c>
      <c r="E417" s="11">
        <v>19.387485000000002</v>
      </c>
      <c r="F417" s="11">
        <v>48.333300000000001</v>
      </c>
      <c r="G417" s="10">
        <v>15</v>
      </c>
    </row>
    <row r="418" spans="4:7">
      <c r="D418" s="10">
        <v>75</v>
      </c>
      <c r="E418" s="11">
        <v>20.550014999999998</v>
      </c>
      <c r="F418" s="11">
        <v>48.666699999999999</v>
      </c>
      <c r="G418" s="10">
        <v>75</v>
      </c>
    </row>
    <row r="419" spans="4:7">
      <c r="D419" s="10">
        <v>68</v>
      </c>
      <c r="E419" s="11">
        <v>23.062499999999996</v>
      </c>
      <c r="F419" s="11">
        <v>57.958299999999994</v>
      </c>
      <c r="G419" s="10">
        <v>68</v>
      </c>
    </row>
    <row r="420" spans="4:7">
      <c r="D420" s="10">
        <v>64</v>
      </c>
      <c r="E420" s="11">
        <v>22.762484999999998</v>
      </c>
      <c r="F420" s="11">
        <v>70.166700000000006</v>
      </c>
      <c r="G420" s="10">
        <v>64</v>
      </c>
    </row>
    <row r="421" spans="4:7">
      <c r="D421" s="10">
        <v>79</v>
      </c>
      <c r="E421" s="11">
        <v>26.774999999999999</v>
      </c>
      <c r="F421" s="11">
        <v>89.52170000000001</v>
      </c>
      <c r="G421" s="10">
        <v>79</v>
      </c>
    </row>
    <row r="422" spans="4:7">
      <c r="D422" s="10">
        <v>84</v>
      </c>
      <c r="E422" s="11">
        <v>20.662514999999999</v>
      </c>
      <c r="F422" s="11">
        <v>63.625</v>
      </c>
      <c r="G422" s="10">
        <v>84</v>
      </c>
    </row>
    <row r="423" spans="4:7">
      <c r="D423" s="10">
        <v>34</v>
      </c>
      <c r="E423" s="11">
        <v>15.150015</v>
      </c>
      <c r="F423" s="11">
        <v>57.416699999999999</v>
      </c>
      <c r="G423" s="10">
        <v>34</v>
      </c>
    </row>
    <row r="424" spans="4:7">
      <c r="D424" s="10">
        <v>80</v>
      </c>
      <c r="E424" s="11">
        <v>20.7</v>
      </c>
      <c r="F424" s="11">
        <v>62.916700000000006</v>
      </c>
      <c r="G424" s="10">
        <v>80</v>
      </c>
    </row>
    <row r="425" spans="4:7">
      <c r="D425" s="10">
        <v>84</v>
      </c>
      <c r="E425" s="11">
        <v>26.175015000000002</v>
      </c>
      <c r="F425" s="11">
        <v>74.125</v>
      </c>
      <c r="G425" s="10">
        <v>84</v>
      </c>
    </row>
    <row r="426" spans="4:7">
      <c r="D426" s="10">
        <v>81</v>
      </c>
      <c r="E426" s="11">
        <v>27.300014999999998</v>
      </c>
      <c r="F426" s="11">
        <v>77.208299999999994</v>
      </c>
      <c r="G426" s="10">
        <v>81</v>
      </c>
    </row>
    <row r="427" spans="4:7">
      <c r="D427" s="10">
        <v>88</v>
      </c>
      <c r="E427" s="11">
        <v>28.425014999999998</v>
      </c>
      <c r="F427" s="11">
        <v>62.291700000000006</v>
      </c>
      <c r="G427" s="10">
        <v>88</v>
      </c>
    </row>
    <row r="428" spans="4:7">
      <c r="D428" s="10">
        <v>78</v>
      </c>
      <c r="E428" s="11">
        <v>27.9</v>
      </c>
      <c r="F428" s="11">
        <v>72.041699999999992</v>
      </c>
      <c r="G428" s="10">
        <v>78</v>
      </c>
    </row>
    <row r="429" spans="4:7">
      <c r="D429" s="10">
        <v>81</v>
      </c>
      <c r="E429" s="11">
        <v>27.787500000000001</v>
      </c>
      <c r="F429" s="11">
        <v>81.291700000000006</v>
      </c>
      <c r="G429" s="10">
        <v>81</v>
      </c>
    </row>
    <row r="430" spans="4:7">
      <c r="D430" s="10">
        <v>92</v>
      </c>
      <c r="E430" s="11">
        <v>22.95</v>
      </c>
      <c r="F430" s="11">
        <v>58.583300000000008</v>
      </c>
      <c r="G430" s="10">
        <v>92</v>
      </c>
    </row>
    <row r="431" spans="4:7">
      <c r="D431" s="10">
        <v>106</v>
      </c>
      <c r="E431" s="11">
        <v>21.262499999999999</v>
      </c>
      <c r="F431" s="11">
        <v>88.25</v>
      </c>
      <c r="G431" s="10">
        <v>106</v>
      </c>
    </row>
    <row r="432" spans="4:7">
      <c r="D432" s="10">
        <v>67</v>
      </c>
      <c r="E432" s="11">
        <v>20.325015</v>
      </c>
      <c r="F432" s="11">
        <v>62.375</v>
      </c>
      <c r="G432" s="10">
        <v>67</v>
      </c>
    </row>
    <row r="433" spans="4:7">
      <c r="D433" s="10">
        <v>88</v>
      </c>
      <c r="E433" s="11">
        <v>24.712515</v>
      </c>
      <c r="F433" s="11">
        <v>70.333299999999994</v>
      </c>
      <c r="G433" s="10">
        <v>88</v>
      </c>
    </row>
    <row r="434" spans="4:7">
      <c r="D434" s="10">
        <v>89</v>
      </c>
      <c r="E434" s="11">
        <v>27.750014999999998</v>
      </c>
      <c r="F434" s="11">
        <v>68.375</v>
      </c>
      <c r="G434" s="10">
        <v>89</v>
      </c>
    </row>
    <row r="435" spans="4:7">
      <c r="D435" s="10">
        <v>53</v>
      </c>
      <c r="E435" s="11">
        <v>18.637515</v>
      </c>
      <c r="F435" s="11">
        <v>71.875</v>
      </c>
      <c r="G435" s="10">
        <v>53</v>
      </c>
    </row>
    <row r="436" spans="4:7">
      <c r="D436" s="10">
        <v>88</v>
      </c>
      <c r="E436" s="11">
        <v>20.662514999999999</v>
      </c>
      <c r="F436" s="11">
        <v>70.208300000000008</v>
      </c>
      <c r="G436" s="10">
        <v>88</v>
      </c>
    </row>
    <row r="437" spans="4:7">
      <c r="D437" s="10">
        <v>92</v>
      </c>
      <c r="E437" s="11">
        <v>21.562515000000001</v>
      </c>
      <c r="F437" s="11">
        <v>62.250000000000007</v>
      </c>
      <c r="G437" s="10">
        <v>92</v>
      </c>
    </row>
    <row r="438" spans="4:7">
      <c r="D438" s="10">
        <v>94</v>
      </c>
      <c r="E438" s="11">
        <v>23.400000000000002</v>
      </c>
      <c r="F438" s="11">
        <v>51.916700000000006</v>
      </c>
      <c r="G438" s="10">
        <v>94</v>
      </c>
    </row>
    <row r="439" spans="4:7">
      <c r="D439" s="10">
        <v>87</v>
      </c>
      <c r="E439" s="11">
        <v>23.774985000000001</v>
      </c>
      <c r="F439" s="11">
        <v>73.458299999999994</v>
      </c>
      <c r="G439" s="10">
        <v>87</v>
      </c>
    </row>
    <row r="440" spans="4:7">
      <c r="D440" s="10">
        <v>87</v>
      </c>
      <c r="E440" s="11">
        <v>23.962499999999999</v>
      </c>
      <c r="F440" s="11">
        <v>75.875</v>
      </c>
      <c r="G440" s="10">
        <v>87</v>
      </c>
    </row>
    <row r="441" spans="4:7">
      <c r="D441" s="10">
        <v>96</v>
      </c>
      <c r="E441" s="11">
        <v>23.962499999999999</v>
      </c>
      <c r="F441" s="11">
        <v>72.166699999999992</v>
      </c>
      <c r="G441" s="10">
        <v>96</v>
      </c>
    </row>
    <row r="442" spans="4:7">
      <c r="D442" s="10">
        <v>84</v>
      </c>
      <c r="E442" s="11">
        <v>24.412499999999998</v>
      </c>
      <c r="F442" s="11">
        <v>75.833300000000008</v>
      </c>
      <c r="G442" s="10">
        <v>84</v>
      </c>
    </row>
    <row r="443" spans="4:7">
      <c r="D443" s="10">
        <v>97</v>
      </c>
      <c r="E443" s="11">
        <v>24.075000000000003</v>
      </c>
      <c r="F443" s="11">
        <v>81.333299999999994</v>
      </c>
      <c r="G443" s="10">
        <v>97</v>
      </c>
    </row>
    <row r="444" spans="4:7">
      <c r="D444" s="10">
        <v>82</v>
      </c>
      <c r="E444" s="11">
        <v>23.062499999999996</v>
      </c>
      <c r="F444" s="11">
        <v>44.625</v>
      </c>
      <c r="G444" s="10">
        <v>82</v>
      </c>
    </row>
    <row r="445" spans="4:7">
      <c r="D445" s="10">
        <v>68</v>
      </c>
      <c r="E445" s="11">
        <v>23.437484999999999</v>
      </c>
      <c r="F445" s="11">
        <v>55.291699999999999</v>
      </c>
      <c r="G445" s="10">
        <v>68</v>
      </c>
    </row>
    <row r="446" spans="4:7">
      <c r="D446" s="10">
        <v>91</v>
      </c>
      <c r="E446" s="11">
        <v>25.3125</v>
      </c>
      <c r="F446" s="11">
        <v>45.833300000000001</v>
      </c>
      <c r="G446" s="10">
        <v>91</v>
      </c>
    </row>
    <row r="447" spans="4:7">
      <c r="D447" s="10">
        <v>79</v>
      </c>
      <c r="E447" s="11">
        <v>25.987500000000001</v>
      </c>
      <c r="F447" s="11">
        <v>58.708300000000001</v>
      </c>
      <c r="G447" s="10">
        <v>79</v>
      </c>
    </row>
    <row r="448" spans="4:7">
      <c r="D448" s="10">
        <v>83</v>
      </c>
      <c r="E448" s="11">
        <v>25.275015</v>
      </c>
      <c r="F448" s="11">
        <v>68.875</v>
      </c>
      <c r="G448" s="10">
        <v>83</v>
      </c>
    </row>
    <row r="449" spans="4:7">
      <c r="D449" s="10">
        <v>77</v>
      </c>
      <c r="E449" s="11">
        <v>24.750000000000004</v>
      </c>
      <c r="F449" s="11">
        <v>93</v>
      </c>
      <c r="G449" s="10">
        <v>77</v>
      </c>
    </row>
    <row r="450" spans="4:7">
      <c r="D450" s="10">
        <v>92</v>
      </c>
      <c r="E450" s="11">
        <v>23.887485000000002</v>
      </c>
      <c r="F450" s="11">
        <v>57.583300000000001</v>
      </c>
      <c r="G450" s="10">
        <v>92</v>
      </c>
    </row>
    <row r="451" spans="4:7">
      <c r="D451" s="10">
        <v>98</v>
      </c>
      <c r="E451" s="11">
        <v>24.150015</v>
      </c>
      <c r="F451" s="11">
        <v>41</v>
      </c>
      <c r="G451" s="10">
        <v>98</v>
      </c>
    </row>
    <row r="452" spans="4:7">
      <c r="D452" s="10">
        <v>116</v>
      </c>
      <c r="E452" s="11">
        <v>27.112500000000001</v>
      </c>
      <c r="F452" s="11">
        <v>50.208299999999994</v>
      </c>
      <c r="G452" s="10">
        <v>116</v>
      </c>
    </row>
    <row r="453" spans="4:7">
      <c r="D453" s="10">
        <v>94</v>
      </c>
      <c r="E453" s="11">
        <v>27.187515000000001</v>
      </c>
      <c r="F453" s="11">
        <v>68.458300000000008</v>
      </c>
      <c r="G453" s="10">
        <v>94</v>
      </c>
    </row>
    <row r="454" spans="4:7">
      <c r="D454" s="10">
        <v>86</v>
      </c>
      <c r="E454" s="11">
        <v>28.425014999999998</v>
      </c>
      <c r="F454" s="11">
        <v>91</v>
      </c>
      <c r="G454" s="10">
        <v>86</v>
      </c>
    </row>
    <row r="455" spans="4:7">
      <c r="D455" s="10">
        <v>90</v>
      </c>
      <c r="E455" s="11">
        <v>29.700000000000003</v>
      </c>
      <c r="F455" s="11">
        <v>96.25</v>
      </c>
      <c r="G455" s="10">
        <v>90</v>
      </c>
    </row>
    <row r="456" spans="4:7">
      <c r="D456" s="10">
        <v>100</v>
      </c>
      <c r="E456" s="11">
        <v>29.737485</v>
      </c>
      <c r="F456" s="11">
        <v>75.791699999999992</v>
      </c>
      <c r="G456" s="10">
        <v>100</v>
      </c>
    </row>
    <row r="457" spans="4:7">
      <c r="D457" s="10">
        <v>93</v>
      </c>
      <c r="E457" s="11">
        <v>31.874984999999999</v>
      </c>
      <c r="F457" s="11">
        <v>54.916699999999999</v>
      </c>
      <c r="G457" s="10">
        <v>93</v>
      </c>
    </row>
    <row r="458" spans="4:7">
      <c r="D458" s="10">
        <v>93</v>
      </c>
      <c r="E458" s="11">
        <v>30.675015000000002</v>
      </c>
      <c r="F458" s="11">
        <v>64.375</v>
      </c>
      <c r="G458" s="10">
        <v>93</v>
      </c>
    </row>
    <row r="459" spans="4:7">
      <c r="D459" s="10">
        <v>95</v>
      </c>
      <c r="E459" s="11">
        <v>29.512485000000002</v>
      </c>
      <c r="F459" s="11">
        <v>68.166700000000006</v>
      </c>
      <c r="G459" s="10">
        <v>95</v>
      </c>
    </row>
    <row r="460" spans="4:7">
      <c r="D460" s="10">
        <v>96</v>
      </c>
      <c r="E460" s="11">
        <v>30.037499999999998</v>
      </c>
      <c r="F460" s="11">
        <v>69.833299999999994</v>
      </c>
      <c r="G460" s="10">
        <v>96</v>
      </c>
    </row>
    <row r="461" spans="4:7">
      <c r="D461" s="10">
        <v>82</v>
      </c>
      <c r="E461" s="11">
        <v>32.999985000000002</v>
      </c>
      <c r="F461" s="11">
        <v>74.304299999999998</v>
      </c>
      <c r="G461" s="10">
        <v>82</v>
      </c>
    </row>
    <row r="462" spans="4:7">
      <c r="D462" s="10">
        <v>79</v>
      </c>
      <c r="E462" s="11">
        <v>34.875</v>
      </c>
      <c r="F462" s="11">
        <v>83.083300000000008</v>
      </c>
      <c r="G462" s="10">
        <v>79</v>
      </c>
    </row>
    <row r="463" spans="4:7">
      <c r="D463" s="10">
        <v>79</v>
      </c>
      <c r="E463" s="11">
        <v>34.387515</v>
      </c>
      <c r="F463" s="11">
        <v>61.333300000000001</v>
      </c>
      <c r="G463" s="10">
        <v>79</v>
      </c>
    </row>
    <row r="464" spans="4:7">
      <c r="D464" s="10">
        <v>100</v>
      </c>
      <c r="E464" s="11">
        <v>32.174999999999997</v>
      </c>
      <c r="F464" s="11">
        <v>52.458300000000001</v>
      </c>
      <c r="G464" s="10">
        <v>100</v>
      </c>
    </row>
    <row r="465" spans="4:7">
      <c r="D465" s="10">
        <v>106</v>
      </c>
      <c r="E465" s="11">
        <v>27.9</v>
      </c>
      <c r="F465" s="11">
        <v>62.583299999999994</v>
      </c>
      <c r="G465" s="10">
        <v>106</v>
      </c>
    </row>
    <row r="466" spans="4:7">
      <c r="D466" s="10">
        <v>106</v>
      </c>
      <c r="E466" s="11">
        <v>28.574999999999999</v>
      </c>
      <c r="F466" s="11">
        <v>61.291700000000006</v>
      </c>
      <c r="G466" s="10">
        <v>106</v>
      </c>
    </row>
    <row r="467" spans="4:7">
      <c r="D467" s="10">
        <v>98</v>
      </c>
      <c r="E467" s="11">
        <v>29.174985000000003</v>
      </c>
      <c r="F467" s="11">
        <v>77.583299999999994</v>
      </c>
      <c r="G467" s="10">
        <v>98</v>
      </c>
    </row>
    <row r="468" spans="4:7">
      <c r="D468" s="10">
        <v>91</v>
      </c>
      <c r="E468" s="11">
        <v>30.524984999999997</v>
      </c>
      <c r="F468" s="11">
        <v>82.708300000000008</v>
      </c>
      <c r="G468" s="10">
        <v>91</v>
      </c>
    </row>
    <row r="469" spans="4:7">
      <c r="D469" s="10">
        <v>96</v>
      </c>
      <c r="E469" s="11">
        <v>31.837500000000002</v>
      </c>
      <c r="F469" s="11">
        <v>94.958299999999994</v>
      </c>
      <c r="G469" s="10">
        <v>96</v>
      </c>
    </row>
    <row r="470" spans="4:7">
      <c r="D470" s="10">
        <v>89</v>
      </c>
      <c r="E470" s="11">
        <v>34.912484999999997</v>
      </c>
      <c r="F470" s="11">
        <v>97.041699999999992</v>
      </c>
      <c r="G470" s="10">
        <v>89</v>
      </c>
    </row>
    <row r="471" spans="4:7">
      <c r="D471" s="10">
        <v>78</v>
      </c>
      <c r="E471" s="11">
        <v>36.374984999999995</v>
      </c>
      <c r="F471" s="11">
        <v>57.999999999999993</v>
      </c>
      <c r="G471" s="10">
        <v>78</v>
      </c>
    </row>
    <row r="472" spans="4:7">
      <c r="D472" s="10">
        <v>91</v>
      </c>
      <c r="E472" s="11">
        <v>33.975000000000001</v>
      </c>
      <c r="F472" s="11">
        <v>69.583300000000008</v>
      </c>
      <c r="G472" s="10">
        <v>91</v>
      </c>
    </row>
    <row r="473" spans="4:7">
      <c r="D473" s="10">
        <v>100</v>
      </c>
      <c r="E473" s="11">
        <v>32.625</v>
      </c>
      <c r="F473" s="11">
        <v>50.749999999999993</v>
      </c>
      <c r="G473" s="10">
        <v>100</v>
      </c>
    </row>
    <row r="474" spans="4:7">
      <c r="D474" s="10">
        <v>89</v>
      </c>
      <c r="E474" s="11">
        <v>31.162500000000001</v>
      </c>
      <c r="F474" s="11">
        <v>49</v>
      </c>
      <c r="G474" s="10">
        <v>89</v>
      </c>
    </row>
    <row r="475" spans="4:7">
      <c r="D475" s="10">
        <v>100</v>
      </c>
      <c r="E475" s="11">
        <v>28.574999999999999</v>
      </c>
      <c r="F475" s="11">
        <v>67.083300000000008</v>
      </c>
      <c r="G475" s="10">
        <v>100</v>
      </c>
    </row>
    <row r="476" spans="4:7">
      <c r="D476" s="10">
        <v>98</v>
      </c>
      <c r="E476" s="11">
        <v>27.187515000000001</v>
      </c>
      <c r="F476" s="11">
        <v>59</v>
      </c>
      <c r="G476" s="10">
        <v>98</v>
      </c>
    </row>
    <row r="477" spans="4:7">
      <c r="D477" s="10">
        <v>103</v>
      </c>
      <c r="E477" s="11">
        <v>28.200015</v>
      </c>
      <c r="F477" s="11">
        <v>66.375</v>
      </c>
      <c r="G477" s="10">
        <v>103</v>
      </c>
    </row>
    <row r="478" spans="4:7">
      <c r="D478" s="10">
        <v>75</v>
      </c>
      <c r="E478" s="11">
        <v>28.274985000000001</v>
      </c>
      <c r="F478" s="11">
        <v>63.416700000000006</v>
      </c>
      <c r="G478" s="10">
        <v>75</v>
      </c>
    </row>
    <row r="479" spans="4:7">
      <c r="D479" s="10">
        <v>97</v>
      </c>
      <c r="E479" s="11">
        <v>29.212515000000003</v>
      </c>
      <c r="F479" s="11">
        <v>50.041699999999999</v>
      </c>
      <c r="G479" s="10">
        <v>97</v>
      </c>
    </row>
    <row r="480" spans="4:7">
      <c r="D480" s="10">
        <v>102</v>
      </c>
      <c r="E480" s="11">
        <v>31.350015000000003</v>
      </c>
      <c r="F480" s="11">
        <v>56.083300000000001</v>
      </c>
      <c r="G480" s="10">
        <v>102</v>
      </c>
    </row>
    <row r="481" spans="4:7">
      <c r="D481" s="10">
        <v>95</v>
      </c>
      <c r="E481" s="11">
        <v>31.462515</v>
      </c>
      <c r="F481" s="11">
        <v>58.625000000000007</v>
      </c>
      <c r="G481" s="10">
        <v>95</v>
      </c>
    </row>
    <row r="482" spans="4:7">
      <c r="D482" s="10">
        <v>80</v>
      </c>
      <c r="E482" s="11">
        <v>28.574999999999999</v>
      </c>
      <c r="F482" s="11">
        <v>63.749999999999993</v>
      </c>
      <c r="G482" s="10">
        <v>80</v>
      </c>
    </row>
    <row r="483" spans="4:7">
      <c r="D483" s="10">
        <v>96</v>
      </c>
      <c r="E483" s="11">
        <v>30.637485000000002</v>
      </c>
      <c r="F483" s="11">
        <v>59.541699999999999</v>
      </c>
      <c r="G483" s="10">
        <v>96</v>
      </c>
    </row>
    <row r="484" spans="4:7">
      <c r="D484" s="10">
        <v>90</v>
      </c>
      <c r="E484" s="11">
        <v>32.999985000000002</v>
      </c>
      <c r="F484" s="11">
        <v>85.833300000000008</v>
      </c>
      <c r="G484" s="10">
        <v>90</v>
      </c>
    </row>
    <row r="485" spans="4:7">
      <c r="D485" s="10">
        <v>96</v>
      </c>
      <c r="E485" s="11">
        <v>32.774985000000001</v>
      </c>
      <c r="F485" s="11">
        <v>75.75</v>
      </c>
      <c r="G485" s="10">
        <v>96</v>
      </c>
    </row>
    <row r="486" spans="4:7">
      <c r="D486" s="10">
        <v>99</v>
      </c>
      <c r="E486" s="11">
        <v>32.587515000000003</v>
      </c>
      <c r="F486" s="11">
        <v>68.625</v>
      </c>
      <c r="G486" s="10">
        <v>99</v>
      </c>
    </row>
    <row r="487" spans="4:7">
      <c r="D487" s="10">
        <v>104</v>
      </c>
      <c r="E487" s="11">
        <v>31.274999999999999</v>
      </c>
      <c r="F487" s="11">
        <v>54.25</v>
      </c>
      <c r="G487" s="10">
        <v>104</v>
      </c>
    </row>
    <row r="488" spans="4:7">
      <c r="D488" s="10">
        <v>106</v>
      </c>
      <c r="E488" s="11">
        <v>30.6</v>
      </c>
      <c r="F488" s="11">
        <v>68.130400000000009</v>
      </c>
      <c r="G488" s="10">
        <v>106</v>
      </c>
    </row>
    <row r="489" spans="4:7">
      <c r="D489" s="10">
        <v>94</v>
      </c>
      <c r="E489" s="11">
        <v>30.712499999999999</v>
      </c>
      <c r="F489" s="11">
        <v>50.695700000000002</v>
      </c>
      <c r="G489" s="10">
        <v>94</v>
      </c>
    </row>
    <row r="490" spans="4:7">
      <c r="D490" s="10">
        <v>93</v>
      </c>
      <c r="E490" s="11">
        <v>33.487515000000002</v>
      </c>
      <c r="F490" s="11">
        <v>76.25</v>
      </c>
      <c r="G490" s="10">
        <v>93</v>
      </c>
    </row>
    <row r="491" spans="4:7">
      <c r="D491" s="10">
        <v>105</v>
      </c>
      <c r="E491" s="11">
        <v>32.774985000000001</v>
      </c>
      <c r="F491" s="11">
        <v>50.391300000000008</v>
      </c>
      <c r="G491" s="10">
        <v>105</v>
      </c>
    </row>
    <row r="492" spans="4:7">
      <c r="D492" s="10">
        <v>111</v>
      </c>
      <c r="E492" s="11">
        <v>31.350015000000003</v>
      </c>
      <c r="F492" s="11">
        <v>57.416699999999999</v>
      </c>
      <c r="G492" s="10">
        <v>111</v>
      </c>
    </row>
    <row r="493" spans="4:7">
      <c r="D493" s="10">
        <v>107</v>
      </c>
      <c r="E493" s="11">
        <v>32.512500000000003</v>
      </c>
      <c r="F493" s="11">
        <v>63.666699999999999</v>
      </c>
      <c r="G493" s="10">
        <v>107</v>
      </c>
    </row>
    <row r="494" spans="4:7">
      <c r="D494" s="10">
        <v>102</v>
      </c>
      <c r="E494" s="11">
        <v>33.224985000000004</v>
      </c>
      <c r="F494" s="11">
        <v>61.583299999999994</v>
      </c>
      <c r="G494" s="10">
        <v>102</v>
      </c>
    </row>
  </sheetData>
  <mergeCells count="82">
    <mergeCell ref="C44:C45"/>
    <mergeCell ref="D44:F44"/>
    <mergeCell ref="G44:I45"/>
    <mergeCell ref="J44:L44"/>
    <mergeCell ref="M44:P45"/>
    <mergeCell ref="D45:F45"/>
    <mergeCell ref="J45:L45"/>
    <mergeCell ref="C42:C43"/>
    <mergeCell ref="D42:F42"/>
    <mergeCell ref="G42:I43"/>
    <mergeCell ref="J42:L42"/>
    <mergeCell ref="M42:P43"/>
    <mergeCell ref="D43:F43"/>
    <mergeCell ref="J43:L43"/>
    <mergeCell ref="C40:C41"/>
    <mergeCell ref="D40:F40"/>
    <mergeCell ref="G40:I41"/>
    <mergeCell ref="J40:L40"/>
    <mergeCell ref="M40:P41"/>
    <mergeCell ref="D41:F41"/>
    <mergeCell ref="J41:L41"/>
    <mergeCell ref="C38:C39"/>
    <mergeCell ref="D38:F38"/>
    <mergeCell ref="G38:I39"/>
    <mergeCell ref="J38:L38"/>
    <mergeCell ref="M38:P39"/>
    <mergeCell ref="D39:F39"/>
    <mergeCell ref="J39:L39"/>
    <mergeCell ref="C36:C37"/>
    <mergeCell ref="D36:F36"/>
    <mergeCell ref="G36:I37"/>
    <mergeCell ref="J36:L36"/>
    <mergeCell ref="M36:P37"/>
    <mergeCell ref="D37:F37"/>
    <mergeCell ref="J37:L37"/>
    <mergeCell ref="C34:C35"/>
    <mergeCell ref="D34:F34"/>
    <mergeCell ref="G34:I35"/>
    <mergeCell ref="J34:L34"/>
    <mergeCell ref="M34:P35"/>
    <mergeCell ref="D35:F35"/>
    <mergeCell ref="J35:L35"/>
    <mergeCell ref="C32:C33"/>
    <mergeCell ref="D32:F32"/>
    <mergeCell ref="G32:I33"/>
    <mergeCell ref="J32:L32"/>
    <mergeCell ref="M32:P33"/>
    <mergeCell ref="D33:F33"/>
    <mergeCell ref="J33:L33"/>
    <mergeCell ref="M30:P31"/>
    <mergeCell ref="C20:E20"/>
    <mergeCell ref="F20:H20"/>
    <mergeCell ref="C21:E21"/>
    <mergeCell ref="F21:H21"/>
    <mergeCell ref="C22:E22"/>
    <mergeCell ref="F22:H22"/>
    <mergeCell ref="C23:E23"/>
    <mergeCell ref="F23:H23"/>
    <mergeCell ref="C30:F31"/>
    <mergeCell ref="G30:I31"/>
    <mergeCell ref="J30:L31"/>
    <mergeCell ref="E12:G12"/>
    <mergeCell ref="C17:E18"/>
    <mergeCell ref="F17:H18"/>
    <mergeCell ref="C19:E19"/>
    <mergeCell ref="F19:H19"/>
    <mergeCell ref="C51:I52"/>
    <mergeCell ref="V51:Z52"/>
    <mergeCell ref="C8:D8"/>
    <mergeCell ref="E8:G8"/>
    <mergeCell ref="C5:D6"/>
    <mergeCell ref="E5:G6"/>
    <mergeCell ref="H5:O5"/>
    <mergeCell ref="C7:D7"/>
    <mergeCell ref="E7:G7"/>
    <mergeCell ref="C9:D9"/>
    <mergeCell ref="E9:G9"/>
    <mergeCell ref="C10:D10"/>
    <mergeCell ref="E10:G10"/>
    <mergeCell ref="C11:D11"/>
    <mergeCell ref="E11:G11"/>
    <mergeCell ref="C12:D12"/>
  </mergeCells>
  <conditionalFormatting sqref="C55:P68">
    <cfRule type="colorScale" priority="1">
      <colorScale>
        <cfvo type="min"/>
        <cfvo type="percentile" val="50"/>
        <cfvo type="max"/>
        <color rgb="FFF8696B"/>
        <color rgb="FFFFEB84"/>
        <color rgb="FF63BE7B"/>
      </colorScale>
    </cfRule>
  </conditionalFormatting>
  <conditionalFormatting sqref="D113:Q126">
    <cfRule type="colorScale" priority="2">
      <colorScale>
        <cfvo type="min"/>
        <cfvo type="percentile" val="50"/>
        <cfvo type="max"/>
        <color rgb="FFF8696B"/>
        <color rgb="FFFFEB84"/>
        <color rgb="FF63BE7B"/>
      </colorScale>
    </cfRule>
  </conditionalFormatting>
  <conditionalFormatting sqref="K133:X146">
    <cfRule type="colorScale" priority="3">
      <colorScale>
        <cfvo type="min"/>
        <cfvo type="percentile" val="50"/>
        <cfvo type="max"/>
        <color rgb="FFF8696B"/>
        <color rgb="FFFFEB84"/>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74843-A052-466C-90CA-C60BA64AB108}">
  <dimension ref="A1:AJ433"/>
  <sheetViews>
    <sheetView tabSelected="1" topLeftCell="A14" zoomScale="54" zoomScaleNormal="100" workbookViewId="0">
      <selection activeCell="C57" sqref="C57:F63"/>
    </sheetView>
  </sheetViews>
  <sheetFormatPr defaultColWidth="16.7265625" defaultRowHeight="15.5"/>
  <cols>
    <col min="1" max="2" width="6" style="98" customWidth="1"/>
    <col min="3" max="3" width="24.54296875" style="97" customWidth="1"/>
    <col min="4" max="4" width="16.7265625" style="98"/>
    <col min="5" max="8" width="16.81640625" style="97" bestFit="1" customWidth="1"/>
    <col min="9" max="9" width="18.453125" style="97" bestFit="1" customWidth="1"/>
    <col min="10" max="10" width="12.7265625" style="97" customWidth="1"/>
    <col min="11" max="11" width="23.36328125" style="97" customWidth="1"/>
    <col min="12" max="13" width="16.7265625" style="97"/>
    <col min="14" max="14" width="13.7265625" style="97" customWidth="1"/>
    <col min="15" max="15" width="21.54296875" style="97" customWidth="1"/>
    <col min="16" max="17" width="16.7265625" style="97"/>
    <col min="18" max="18" width="27" style="97" customWidth="1"/>
    <col min="19" max="16384" width="16.7265625" style="97"/>
  </cols>
  <sheetData>
    <row r="1" spans="1:28" s="14" customFormat="1" ht="20.149999999999999" customHeight="1" thickBot="1">
      <c r="A1" s="100" t="s">
        <v>44</v>
      </c>
      <c r="B1" s="13"/>
      <c r="D1" s="15" t="s">
        <v>45</v>
      </c>
      <c r="E1" s="16"/>
      <c r="F1" s="16"/>
      <c r="G1" s="16"/>
      <c r="H1" s="16"/>
      <c r="I1" s="16"/>
      <c r="J1" s="16"/>
      <c r="K1" s="16"/>
      <c r="L1" s="16"/>
      <c r="M1" s="16"/>
      <c r="N1" s="16"/>
      <c r="O1" s="16"/>
      <c r="P1" s="16"/>
      <c r="Q1" s="16"/>
      <c r="R1" s="104"/>
      <c r="T1" s="17" t="s">
        <v>111</v>
      </c>
      <c r="U1" s="17" t="s">
        <v>117</v>
      </c>
      <c r="V1" s="17" t="s">
        <v>118</v>
      </c>
      <c r="W1" s="17" t="s">
        <v>116</v>
      </c>
      <c r="X1" s="9" t="s">
        <v>39</v>
      </c>
    </row>
    <row r="2" spans="1:28" ht="20.149999999999999" customHeight="1">
      <c r="A2" s="105"/>
      <c r="B2" s="106"/>
      <c r="C2" s="107"/>
      <c r="D2" s="108"/>
      <c r="E2" s="107"/>
      <c r="F2" s="107"/>
      <c r="G2" s="107"/>
      <c r="H2" s="107"/>
      <c r="I2" s="107"/>
      <c r="J2" s="107"/>
      <c r="K2" s="107"/>
      <c r="L2" s="107"/>
      <c r="M2" s="107"/>
      <c r="N2" s="107"/>
      <c r="O2" s="107"/>
      <c r="P2" s="107"/>
      <c r="Q2" s="107"/>
      <c r="R2" s="109"/>
      <c r="T2" s="17">
        <v>0</v>
      </c>
      <c r="U2" s="17">
        <v>0</v>
      </c>
      <c r="V2" s="17">
        <v>0</v>
      </c>
      <c r="W2" s="17">
        <v>0</v>
      </c>
      <c r="X2" s="10">
        <v>93</v>
      </c>
    </row>
    <row r="3" spans="1:28" ht="20.149999999999999" customHeight="1">
      <c r="A3" s="105"/>
      <c r="B3" s="110"/>
      <c r="C3" s="111" t="s">
        <v>78</v>
      </c>
      <c r="D3" s="97"/>
      <c r="E3" s="112"/>
      <c r="F3" s="113"/>
      <c r="G3" s="113"/>
      <c r="H3" s="113"/>
      <c r="I3" s="113"/>
      <c r="J3" s="113"/>
      <c r="K3" s="113"/>
      <c r="L3" s="113"/>
      <c r="M3" s="113"/>
      <c r="N3" s="113"/>
      <c r="O3" s="113"/>
      <c r="P3" s="113"/>
      <c r="Q3" s="113"/>
      <c r="R3" s="114"/>
      <c r="T3" s="27">
        <v>0</v>
      </c>
      <c r="U3" s="27">
        <v>0</v>
      </c>
      <c r="V3" s="27">
        <v>0</v>
      </c>
      <c r="W3" s="27">
        <v>1</v>
      </c>
      <c r="X3" s="10">
        <v>121</v>
      </c>
    </row>
    <row r="4" spans="1:28" ht="20.149999999999999" customHeight="1">
      <c r="A4" s="105"/>
      <c r="B4" s="110"/>
      <c r="C4" s="115" t="s">
        <v>79</v>
      </c>
      <c r="E4" s="113"/>
      <c r="F4" s="113"/>
      <c r="G4" s="113"/>
      <c r="H4" s="113"/>
      <c r="I4" s="113"/>
      <c r="J4" s="113"/>
      <c r="K4" s="113"/>
      <c r="L4" s="113"/>
      <c r="M4" s="113"/>
      <c r="N4" s="113"/>
      <c r="O4" s="113"/>
      <c r="P4" s="113"/>
      <c r="Q4" s="113"/>
      <c r="R4" s="114"/>
      <c r="T4" s="14">
        <v>0</v>
      </c>
      <c r="U4" s="14">
        <v>0</v>
      </c>
      <c r="V4" s="14">
        <v>0</v>
      </c>
      <c r="W4" s="14">
        <v>0</v>
      </c>
      <c r="X4" s="10">
        <v>94</v>
      </c>
    </row>
    <row r="5" spans="1:28" s="120" customFormat="1" ht="20.149999999999999" customHeight="1">
      <c r="A5" s="116"/>
      <c r="B5" s="117"/>
      <c r="C5" s="118" t="s">
        <v>80</v>
      </c>
      <c r="D5" s="119" t="s">
        <v>81</v>
      </c>
      <c r="E5" s="118" t="s">
        <v>82</v>
      </c>
      <c r="F5" s="118" t="s">
        <v>83</v>
      </c>
      <c r="G5" s="118" t="s">
        <v>84</v>
      </c>
      <c r="H5" s="118" t="s">
        <v>85</v>
      </c>
      <c r="I5" s="118" t="s">
        <v>86</v>
      </c>
      <c r="J5" s="118" t="s">
        <v>87</v>
      </c>
      <c r="K5" s="118" t="s">
        <v>88</v>
      </c>
      <c r="L5" s="118" t="s">
        <v>162</v>
      </c>
      <c r="M5" s="118" t="s">
        <v>163</v>
      </c>
      <c r="N5" s="118"/>
      <c r="O5" s="118"/>
      <c r="P5" s="118"/>
      <c r="R5" s="121"/>
      <c r="T5" s="14">
        <v>0</v>
      </c>
      <c r="U5" s="14">
        <v>0</v>
      </c>
      <c r="V5" s="14">
        <v>0</v>
      </c>
      <c r="W5" s="14">
        <v>0</v>
      </c>
      <c r="X5" s="10">
        <v>93</v>
      </c>
    </row>
    <row r="6" spans="1:28" s="120" customFormat="1" ht="20.149999999999999" customHeight="1">
      <c r="A6" s="116"/>
      <c r="B6" s="117"/>
      <c r="C6" s="122" t="s">
        <v>39</v>
      </c>
      <c r="D6" s="119" t="s">
        <v>81</v>
      </c>
      <c r="E6" s="122">
        <f>D38</f>
        <v>85.627718149603822</v>
      </c>
      <c r="F6" s="122">
        <f>D39</f>
        <v>5.6066263288410827</v>
      </c>
      <c r="G6" s="122" t="str">
        <f>C39</f>
        <v>holiday</v>
      </c>
      <c r="H6" s="122">
        <f>D40</f>
        <v>-58.055383807824853</v>
      </c>
      <c r="I6" s="122" t="str">
        <f>C40</f>
        <v>quiet</v>
      </c>
      <c r="J6" s="122">
        <f>D41</f>
        <v>-31.790844725624424</v>
      </c>
      <c r="K6" s="122" t="str">
        <f>C41</f>
        <v>modest</v>
      </c>
      <c r="L6" s="122">
        <f>D42</f>
        <v>19.674506141224658</v>
      </c>
      <c r="M6" s="122" t="str">
        <f>C42</f>
        <v>busy</v>
      </c>
      <c r="N6" s="123"/>
      <c r="O6" s="116"/>
      <c r="P6" s="116"/>
      <c r="R6" s="121"/>
      <c r="T6" s="14">
        <v>0</v>
      </c>
      <c r="U6" s="14">
        <v>0</v>
      </c>
      <c r="V6" s="14">
        <v>0</v>
      </c>
      <c r="W6" s="14">
        <v>0</v>
      </c>
      <c r="X6" s="10">
        <v>92</v>
      </c>
    </row>
    <row r="7" spans="1:28" s="120" customFormat="1" ht="20.149999999999999" customHeight="1">
      <c r="A7" s="116"/>
      <c r="B7" s="124"/>
      <c r="R7" s="125"/>
      <c r="T7" s="14">
        <v>0</v>
      </c>
      <c r="U7" s="14">
        <v>0</v>
      </c>
      <c r="V7" s="14">
        <v>0</v>
      </c>
      <c r="W7" s="14">
        <v>0</v>
      </c>
      <c r="X7" s="10">
        <v>81</v>
      </c>
    </row>
    <row r="8" spans="1:28" s="120" customFormat="1" ht="20.149999999999999" customHeight="1">
      <c r="A8" s="116"/>
      <c r="B8" s="126"/>
      <c r="C8" s="111" t="s">
        <v>89</v>
      </c>
      <c r="D8" s="238">
        <f>F64</f>
        <v>91.23434447844491</v>
      </c>
      <c r="E8" s="127"/>
      <c r="F8" s="127" t="s">
        <v>240</v>
      </c>
      <c r="G8" s="111"/>
      <c r="H8" s="127"/>
      <c r="I8" s="127"/>
      <c r="J8" s="127"/>
      <c r="K8" s="127"/>
      <c r="L8" s="127"/>
      <c r="M8" s="127"/>
      <c r="N8" s="127"/>
      <c r="O8" s="127"/>
      <c r="P8" s="127"/>
      <c r="Q8" s="127"/>
      <c r="R8" s="128"/>
      <c r="T8" s="14">
        <v>0</v>
      </c>
      <c r="U8" s="14">
        <v>0</v>
      </c>
      <c r="V8" s="14">
        <v>0</v>
      </c>
      <c r="W8" s="14">
        <v>1</v>
      </c>
      <c r="X8" s="10">
        <v>107</v>
      </c>
    </row>
    <row r="9" spans="1:28" s="120" customFormat="1" ht="20.149999999999999" customHeight="1">
      <c r="B9" s="129"/>
      <c r="C9" s="98"/>
      <c r="D9" s="98"/>
      <c r="E9" s="97"/>
      <c r="F9" s="97"/>
      <c r="G9" s="97"/>
      <c r="H9" s="97"/>
      <c r="I9" s="97"/>
      <c r="J9" s="97"/>
      <c r="K9" s="97"/>
      <c r="L9" s="97"/>
      <c r="M9" s="97"/>
      <c r="N9" s="97"/>
      <c r="O9" s="97"/>
      <c r="P9" s="97"/>
      <c r="Q9" s="97"/>
      <c r="R9" s="130"/>
      <c r="T9" s="14">
        <v>0</v>
      </c>
      <c r="U9" s="14">
        <v>0</v>
      </c>
      <c r="V9" s="14">
        <v>0</v>
      </c>
      <c r="W9" s="14">
        <v>0</v>
      </c>
      <c r="X9" s="10">
        <v>98</v>
      </c>
    </row>
    <row r="10" spans="1:28" s="127" customFormat="1" ht="20.149999999999999" customHeight="1">
      <c r="B10" s="129"/>
      <c r="C10" s="105"/>
      <c r="D10" s="97" t="s">
        <v>90</v>
      </c>
      <c r="E10" s="97" t="s">
        <v>91</v>
      </c>
      <c r="F10" s="97"/>
      <c r="G10" s="97"/>
      <c r="H10" s="97"/>
      <c r="I10" s="97"/>
      <c r="J10" s="97"/>
      <c r="K10" s="97"/>
      <c r="L10" s="97"/>
      <c r="M10" s="97"/>
      <c r="N10" s="97"/>
      <c r="O10" s="97"/>
      <c r="P10" s="97"/>
      <c r="Q10" s="97"/>
      <c r="R10" s="130"/>
      <c r="T10" s="14">
        <v>0</v>
      </c>
      <c r="U10" s="14">
        <v>0</v>
      </c>
      <c r="V10" s="14">
        <v>0</v>
      </c>
      <c r="W10" s="14">
        <v>0</v>
      </c>
      <c r="X10" s="10">
        <v>81</v>
      </c>
    </row>
    <row r="11" spans="1:28" ht="20.149999999999999" customHeight="1">
      <c r="B11" s="129"/>
      <c r="C11" s="111" t="s">
        <v>92</v>
      </c>
      <c r="D11" s="165">
        <f>M69</f>
        <v>75.172436650950829</v>
      </c>
      <c r="E11" s="165">
        <f>M70</f>
        <v>107.29625230593899</v>
      </c>
      <c r="F11" t="s">
        <v>239</v>
      </c>
      <c r="R11" s="130"/>
      <c r="T11" s="14">
        <v>0</v>
      </c>
      <c r="U11" s="14">
        <v>0</v>
      </c>
      <c r="V11" s="14">
        <v>0</v>
      </c>
      <c r="W11" s="14">
        <v>0</v>
      </c>
      <c r="X11" s="10">
        <v>85</v>
      </c>
    </row>
    <row r="12" spans="1:28" ht="20.149999999999999" customHeight="1">
      <c r="B12" s="129"/>
      <c r="C12" s="115"/>
      <c r="D12" s="165"/>
      <c r="E12" s="165"/>
      <c r="R12" s="130"/>
      <c r="T12" s="14">
        <v>0</v>
      </c>
      <c r="U12" s="14">
        <v>0</v>
      </c>
      <c r="V12" s="14">
        <v>0</v>
      </c>
      <c r="W12" s="14">
        <v>0</v>
      </c>
      <c r="X12" s="10">
        <v>87</v>
      </c>
    </row>
    <row r="13" spans="1:28" ht="20.149999999999999" customHeight="1">
      <c r="B13" s="129"/>
      <c r="D13" s="165" t="s">
        <v>90</v>
      </c>
      <c r="E13" s="165" t="s">
        <v>91</v>
      </c>
      <c r="R13" s="130"/>
      <c r="T13" s="14">
        <v>0</v>
      </c>
      <c r="U13" s="14">
        <v>0</v>
      </c>
      <c r="V13" s="14">
        <v>0</v>
      </c>
      <c r="W13" s="14">
        <v>1</v>
      </c>
      <c r="X13" s="10">
        <v>102</v>
      </c>
      <c r="AB13" s="97" t="s">
        <v>149</v>
      </c>
    </row>
    <row r="14" spans="1:28" ht="20.149999999999999" customHeight="1">
      <c r="B14" s="129"/>
      <c r="C14" s="111" t="s">
        <v>93</v>
      </c>
      <c r="D14" s="205">
        <f>Q69</f>
        <v>90.393625798509973</v>
      </c>
      <c r="E14" s="165">
        <f>Q70</f>
        <v>92.075063158379848</v>
      </c>
      <c r="F14" t="s">
        <v>265</v>
      </c>
      <c r="R14" s="130"/>
      <c r="T14" s="14">
        <v>0</v>
      </c>
      <c r="U14" s="14">
        <v>0</v>
      </c>
      <c r="V14" s="14">
        <v>0</v>
      </c>
      <c r="W14" s="14">
        <v>1</v>
      </c>
      <c r="X14" s="10">
        <v>110</v>
      </c>
    </row>
    <row r="15" spans="1:28" ht="20.149999999999999" customHeight="1" thickBot="1">
      <c r="B15" s="131"/>
      <c r="C15" s="132"/>
      <c r="D15" s="132"/>
      <c r="E15" s="132"/>
      <c r="F15" s="132"/>
      <c r="G15" s="132"/>
      <c r="H15" s="132"/>
      <c r="I15" s="132"/>
      <c r="J15" s="132"/>
      <c r="K15" s="132"/>
      <c r="L15" s="132"/>
      <c r="M15" s="132"/>
      <c r="N15" s="132"/>
      <c r="O15" s="132"/>
      <c r="P15" s="132"/>
      <c r="Q15" s="132"/>
      <c r="R15" s="133"/>
      <c r="T15" s="14">
        <v>0</v>
      </c>
      <c r="U15" s="14">
        <v>0</v>
      </c>
      <c r="V15" s="14">
        <v>0</v>
      </c>
      <c r="W15" s="14">
        <v>1</v>
      </c>
      <c r="X15" s="10">
        <v>118</v>
      </c>
    </row>
    <row r="16" spans="1:28" ht="20.149999999999999" customHeight="1">
      <c r="A16" s="116"/>
      <c r="B16" s="105"/>
      <c r="C16" s="113"/>
      <c r="D16" s="105"/>
      <c r="E16" s="113"/>
      <c r="F16" s="113"/>
      <c r="G16" s="113"/>
      <c r="H16" s="113"/>
      <c r="I16" s="113"/>
      <c r="J16" s="113"/>
      <c r="K16" s="113"/>
      <c r="L16" s="113"/>
      <c r="M16" s="113"/>
      <c r="N16" s="113"/>
      <c r="O16" s="113"/>
      <c r="P16" s="113"/>
      <c r="Q16" s="113"/>
      <c r="R16" s="113"/>
      <c r="T16" s="41">
        <v>0</v>
      </c>
      <c r="U16" s="41">
        <v>0</v>
      </c>
      <c r="V16" s="41">
        <v>0</v>
      </c>
      <c r="W16" s="41">
        <v>1</v>
      </c>
      <c r="X16" s="10">
        <v>106</v>
      </c>
    </row>
    <row r="17" spans="1:35" ht="20.149999999999999" customHeight="1" thickBot="1">
      <c r="A17" s="100" t="s">
        <v>94</v>
      </c>
      <c r="B17" s="13"/>
      <c r="C17" s="22"/>
      <c r="D17" s="15" t="s">
        <v>45</v>
      </c>
      <c r="E17" s="16"/>
      <c r="F17" s="16"/>
      <c r="G17" s="16"/>
      <c r="H17" s="16"/>
      <c r="I17" s="16"/>
      <c r="J17" s="16"/>
      <c r="K17" s="16"/>
      <c r="L17" s="16"/>
      <c r="M17" s="16"/>
      <c r="N17" s="16"/>
      <c r="O17" s="16"/>
      <c r="P17" s="16"/>
      <c r="Q17" s="16"/>
      <c r="R17" s="104"/>
      <c r="T17" s="41">
        <v>0</v>
      </c>
      <c r="U17" s="41">
        <v>0</v>
      </c>
      <c r="V17" s="41">
        <v>0</v>
      </c>
      <c r="W17" s="41">
        <v>0</v>
      </c>
      <c r="X17" s="10">
        <v>89</v>
      </c>
      <c r="AA17" s="79" t="s">
        <v>125</v>
      </c>
      <c r="AB17" s="79"/>
      <c r="AC17" s="79"/>
      <c r="AD17" s="79"/>
      <c r="AE17" s="79"/>
      <c r="AF17" s="79"/>
      <c r="AG17" s="79"/>
      <c r="AH17" s="79"/>
      <c r="AI17" s="79"/>
    </row>
    <row r="18" spans="1:35" ht="20.149999999999999" customHeight="1" thickBot="1">
      <c r="B18" s="106"/>
      <c r="C18" s="107"/>
      <c r="D18" s="107"/>
      <c r="E18" s="107"/>
      <c r="F18" s="107"/>
      <c r="G18" s="107"/>
      <c r="H18" s="134"/>
      <c r="I18" s="134"/>
      <c r="J18" s="134"/>
      <c r="K18" s="134"/>
      <c r="L18" s="134"/>
      <c r="M18" s="134"/>
      <c r="N18" s="134"/>
      <c r="O18" s="134"/>
      <c r="P18" s="134"/>
      <c r="Q18" s="134"/>
      <c r="R18" s="135"/>
      <c r="T18" s="14">
        <v>1</v>
      </c>
      <c r="U18" s="14">
        <v>0</v>
      </c>
      <c r="V18" s="14">
        <v>0</v>
      </c>
      <c r="W18" s="14">
        <v>0</v>
      </c>
      <c r="X18" s="10">
        <v>91</v>
      </c>
      <c r="AA18" s="79"/>
      <c r="AB18" s="79"/>
      <c r="AC18" s="79"/>
      <c r="AD18" s="79"/>
      <c r="AE18" s="79"/>
      <c r="AF18" s="79"/>
      <c r="AG18" s="79"/>
      <c r="AH18" s="79"/>
      <c r="AI18" s="79"/>
    </row>
    <row r="19" spans="1:35" ht="20.149999999999999" customHeight="1">
      <c r="B19" s="110"/>
      <c r="C19" s="115" t="s">
        <v>95</v>
      </c>
      <c r="D19" s="113"/>
      <c r="E19" s="113"/>
      <c r="F19" s="113"/>
      <c r="G19" s="113"/>
      <c r="H19" s="136"/>
      <c r="I19" s="136"/>
      <c r="J19" s="136"/>
      <c r="K19" s="136"/>
      <c r="L19" s="136"/>
      <c r="M19" s="136"/>
      <c r="N19" s="136"/>
      <c r="O19" s="136"/>
      <c r="P19" s="136"/>
      <c r="Q19" s="136"/>
      <c r="R19" s="137"/>
      <c r="T19" s="14">
        <v>0</v>
      </c>
      <c r="U19" s="14">
        <v>0</v>
      </c>
      <c r="V19" s="14">
        <v>0</v>
      </c>
      <c r="W19" s="14">
        <v>0</v>
      </c>
      <c r="X19" s="10">
        <v>87</v>
      </c>
      <c r="AA19" s="154" t="s">
        <v>126</v>
      </c>
      <c r="AB19" s="154"/>
      <c r="AC19" s="79"/>
      <c r="AD19" s="79"/>
      <c r="AE19" s="79"/>
      <c r="AF19" s="79"/>
      <c r="AG19" s="79"/>
      <c r="AH19" s="79"/>
      <c r="AI19" s="79"/>
    </row>
    <row r="20" spans="1:35" ht="20.149999999999999" customHeight="1">
      <c r="B20" s="110"/>
      <c r="C20" s="115" t="s">
        <v>96</v>
      </c>
      <c r="D20" s="113"/>
      <c r="E20" s="113"/>
      <c r="F20" s="113"/>
      <c r="G20" s="113"/>
      <c r="H20" s="136"/>
      <c r="I20" s="136"/>
      <c r="J20" s="136"/>
      <c r="K20" s="136"/>
      <c r="L20" s="136"/>
      <c r="R20" s="214"/>
      <c r="T20" s="14">
        <v>0</v>
      </c>
      <c r="U20" s="14">
        <v>0</v>
      </c>
      <c r="V20" s="14">
        <v>0</v>
      </c>
      <c r="W20" s="14">
        <v>0</v>
      </c>
      <c r="X20" s="10">
        <v>76</v>
      </c>
      <c r="AA20" s="79" t="s">
        <v>127</v>
      </c>
      <c r="AB20" s="79">
        <v>0.95650038133790671</v>
      </c>
      <c r="AC20" s="79"/>
      <c r="AD20" s="79"/>
      <c r="AE20" s="79"/>
      <c r="AF20" s="79"/>
      <c r="AG20" s="79"/>
      <c r="AH20" s="79"/>
      <c r="AI20" s="79"/>
    </row>
    <row r="21" spans="1:35" ht="20.149999999999999" customHeight="1" thickBot="1">
      <c r="B21" s="110"/>
      <c r="C21" s="138"/>
      <c r="D21" s="86"/>
      <c r="E21" s="86"/>
      <c r="F21" s="86"/>
      <c r="G21" s="86"/>
      <c r="H21" s="86"/>
      <c r="I21" s="86"/>
      <c r="J21" s="136"/>
      <c r="K21" s="136"/>
      <c r="L21" s="136"/>
      <c r="R21" s="214"/>
      <c r="S21" s="120"/>
      <c r="T21" s="14">
        <v>0</v>
      </c>
      <c r="U21" s="14">
        <v>0</v>
      </c>
      <c r="V21" s="14">
        <v>1</v>
      </c>
      <c r="W21" s="14">
        <v>0</v>
      </c>
      <c r="X21" s="10">
        <v>68</v>
      </c>
      <c r="AA21" s="79" t="s">
        <v>128</v>
      </c>
      <c r="AB21" s="79">
        <v>0.91489297949956105</v>
      </c>
      <c r="AC21" s="79"/>
      <c r="AD21" s="79"/>
      <c r="AE21" s="79"/>
      <c r="AF21" s="79"/>
      <c r="AG21" s="79"/>
      <c r="AH21" s="79"/>
      <c r="AI21" s="79"/>
    </row>
    <row r="22" spans="1:35" ht="20.149999999999999" customHeight="1">
      <c r="A22" s="139"/>
      <c r="B22" s="110"/>
      <c r="C22" s="168" t="s">
        <v>125</v>
      </c>
      <c r="D22" s="169"/>
      <c r="E22" s="169"/>
      <c r="F22" s="169"/>
      <c r="G22" s="169"/>
      <c r="H22" s="169"/>
      <c r="I22" s="169"/>
      <c r="J22" s="169"/>
      <c r="K22" s="169"/>
      <c r="L22" s="134"/>
      <c r="M22" s="215"/>
      <c r="N22" s="215"/>
      <c r="O22" s="215"/>
      <c r="P22" s="215"/>
      <c r="Q22" s="215"/>
      <c r="R22" s="216"/>
      <c r="S22" s="127"/>
      <c r="T22" s="41">
        <v>0</v>
      </c>
      <c r="U22" s="41">
        <v>0</v>
      </c>
      <c r="V22" s="41">
        <v>1</v>
      </c>
      <c r="W22" s="41">
        <v>0</v>
      </c>
      <c r="X22" s="10">
        <v>66</v>
      </c>
      <c r="AA22" s="79" t="s">
        <v>129</v>
      </c>
      <c r="AB22" s="79">
        <v>0.91248882637807971</v>
      </c>
      <c r="AC22" s="79"/>
      <c r="AD22" s="79"/>
      <c r="AE22" s="79"/>
      <c r="AF22" s="79"/>
      <c r="AG22" s="79"/>
      <c r="AH22" s="79"/>
      <c r="AI22" s="79"/>
    </row>
    <row r="23" spans="1:35" ht="20.149999999999999" customHeight="1" thickBot="1">
      <c r="A23" s="105"/>
      <c r="B23" s="110"/>
      <c r="C23" s="78"/>
      <c r="D23" s="79"/>
      <c r="E23" s="79"/>
      <c r="F23" s="79"/>
      <c r="G23" s="79"/>
      <c r="H23" s="79"/>
      <c r="I23" s="79"/>
      <c r="J23" s="79"/>
      <c r="K23" s="79"/>
      <c r="L23" s="136"/>
      <c r="R23" s="217"/>
      <c r="T23" s="14">
        <v>0</v>
      </c>
      <c r="U23" s="14">
        <v>0</v>
      </c>
      <c r="V23" s="14">
        <v>0</v>
      </c>
      <c r="W23" s="14">
        <v>0</v>
      </c>
      <c r="X23" s="10">
        <v>72</v>
      </c>
      <c r="AA23" s="79" t="s">
        <v>130</v>
      </c>
      <c r="AB23" s="79">
        <v>8.1644964619269373</v>
      </c>
      <c r="AC23" s="79"/>
      <c r="AD23" s="79"/>
      <c r="AE23" s="79"/>
      <c r="AF23" s="79"/>
      <c r="AG23" s="79"/>
      <c r="AH23" s="79"/>
      <c r="AI23" s="79"/>
    </row>
    <row r="24" spans="1:35" s="14" customFormat="1" ht="20.149999999999999" customHeight="1" thickBot="1">
      <c r="B24" s="110"/>
      <c r="C24" s="171" t="s">
        <v>126</v>
      </c>
      <c r="D24" s="224"/>
      <c r="E24" s="79"/>
      <c r="F24" s="79"/>
      <c r="G24" s="79"/>
      <c r="H24" s="79"/>
      <c r="I24" s="79"/>
      <c r="J24" s="79"/>
      <c r="K24" s="79"/>
      <c r="L24" s="136"/>
      <c r="R24" s="218"/>
      <c r="T24" s="14">
        <v>0</v>
      </c>
      <c r="U24" s="14">
        <v>0</v>
      </c>
      <c r="V24" s="14">
        <v>0</v>
      </c>
      <c r="W24" s="14">
        <v>0</v>
      </c>
      <c r="X24" s="10">
        <v>76</v>
      </c>
      <c r="AA24" s="148" t="s">
        <v>131</v>
      </c>
      <c r="AB24" s="148">
        <v>365</v>
      </c>
      <c r="AC24" s="79"/>
      <c r="AD24" s="79"/>
      <c r="AE24" s="79"/>
      <c r="AF24" s="79"/>
      <c r="AG24" s="79"/>
      <c r="AH24" s="79"/>
      <c r="AI24" s="79"/>
    </row>
    <row r="25" spans="1:35" ht="20.149999999999999" customHeight="1">
      <c r="A25" s="105"/>
      <c r="B25" s="110"/>
      <c r="C25" s="78" t="s">
        <v>127</v>
      </c>
      <c r="D25" s="170">
        <v>0.95571326524416256</v>
      </c>
      <c r="E25" s="79" t="s">
        <v>266</v>
      </c>
      <c r="G25" s="79" t="s">
        <v>267</v>
      </c>
      <c r="H25" s="79"/>
      <c r="I25" s="79"/>
      <c r="J25" s="79"/>
      <c r="K25" s="79"/>
      <c r="L25" s="136"/>
      <c r="R25" s="217"/>
      <c r="S25" s="136"/>
      <c r="T25" s="14">
        <v>0</v>
      </c>
      <c r="U25" s="14">
        <v>0</v>
      </c>
      <c r="V25" s="14">
        <v>0</v>
      </c>
      <c r="W25" s="14">
        <v>0</v>
      </c>
      <c r="X25" s="10">
        <v>92</v>
      </c>
      <c r="AA25" s="79"/>
      <c r="AB25" s="79"/>
      <c r="AC25" s="79"/>
      <c r="AD25" s="79"/>
      <c r="AE25" s="79"/>
      <c r="AF25" s="79"/>
      <c r="AG25" s="79"/>
      <c r="AH25" s="79"/>
      <c r="AI25" s="79"/>
    </row>
    <row r="26" spans="1:35" ht="20.149999999999999" customHeight="1" thickBot="1">
      <c r="A26" s="105"/>
      <c r="B26" s="110"/>
      <c r="C26" s="78" t="s">
        <v>128</v>
      </c>
      <c r="D26" s="225">
        <v>0.91338784536365902</v>
      </c>
      <c r="E26" s="79" t="s">
        <v>268</v>
      </c>
      <c r="F26" s="79"/>
      <c r="G26" s="79" t="s">
        <v>277</v>
      </c>
      <c r="H26" s="79"/>
      <c r="I26" s="79"/>
      <c r="J26" s="79"/>
      <c r="K26" s="79"/>
      <c r="L26" s="136"/>
      <c r="R26" s="217"/>
      <c r="S26" s="136"/>
      <c r="T26" s="14">
        <v>0</v>
      </c>
      <c r="U26" s="14">
        <v>0</v>
      </c>
      <c r="V26" s="14">
        <v>0</v>
      </c>
      <c r="W26" s="14">
        <v>0</v>
      </c>
      <c r="X26" s="10">
        <v>93</v>
      </c>
      <c r="AA26" s="79" t="s">
        <v>132</v>
      </c>
      <c r="AB26" s="79"/>
      <c r="AC26" s="79"/>
      <c r="AD26" s="79"/>
      <c r="AE26" s="79"/>
      <c r="AF26" s="79"/>
      <c r="AG26" s="79"/>
      <c r="AH26" s="79"/>
      <c r="AI26" s="79"/>
    </row>
    <row r="27" spans="1:35" ht="20.149999999999999" customHeight="1">
      <c r="A27" s="105"/>
      <c r="B27" s="110"/>
      <c r="C27" s="78" t="s">
        <v>129</v>
      </c>
      <c r="D27" s="225">
        <v>0.91242548808992185</v>
      </c>
      <c r="E27" s="79" t="s">
        <v>269</v>
      </c>
      <c r="F27" s="79"/>
      <c r="G27" s="79" t="s">
        <v>205</v>
      </c>
      <c r="H27" s="79"/>
      <c r="I27" s="79"/>
      <c r="J27" s="79"/>
      <c r="K27" s="79"/>
      <c r="L27" s="136"/>
      <c r="R27" s="217"/>
      <c r="S27" s="136"/>
      <c r="T27" s="14">
        <v>0</v>
      </c>
      <c r="U27" s="14">
        <v>0</v>
      </c>
      <c r="V27" s="14">
        <v>0</v>
      </c>
      <c r="W27" s="14">
        <v>0</v>
      </c>
      <c r="X27" s="10">
        <v>88</v>
      </c>
      <c r="AA27" s="155"/>
      <c r="AB27" s="155" t="s">
        <v>137</v>
      </c>
      <c r="AC27" s="155" t="s">
        <v>138</v>
      </c>
      <c r="AD27" s="155" t="s">
        <v>139</v>
      </c>
      <c r="AE27" s="155" t="s">
        <v>140</v>
      </c>
      <c r="AF27" s="156" t="s">
        <v>141</v>
      </c>
      <c r="AG27" s="79"/>
      <c r="AH27" s="79"/>
      <c r="AI27" s="79"/>
    </row>
    <row r="28" spans="1:35" ht="20.149999999999999" customHeight="1">
      <c r="A28" s="105"/>
      <c r="B28" s="110"/>
      <c r="C28" s="78" t="s">
        <v>130</v>
      </c>
      <c r="D28" s="170">
        <v>8.1674505515111786</v>
      </c>
      <c r="E28" s="79" t="s">
        <v>153</v>
      </c>
      <c r="F28" s="79"/>
      <c r="G28" s="79"/>
      <c r="H28" s="79"/>
      <c r="I28" s="79"/>
      <c r="J28" s="79"/>
      <c r="K28" s="79"/>
      <c r="L28" s="136"/>
      <c r="R28" s="217"/>
      <c r="S28" s="136"/>
      <c r="T28" s="14">
        <v>0</v>
      </c>
      <c r="U28" s="14">
        <v>0</v>
      </c>
      <c r="V28" s="14">
        <v>0</v>
      </c>
      <c r="W28" s="14">
        <v>0</v>
      </c>
      <c r="X28" s="10">
        <v>77</v>
      </c>
      <c r="AA28" s="79" t="s">
        <v>133</v>
      </c>
      <c r="AB28" s="79">
        <v>10</v>
      </c>
      <c r="AC28" s="79">
        <v>253668.75695882304</v>
      </c>
      <c r="AD28" s="79">
        <v>25366.875695882303</v>
      </c>
      <c r="AE28" s="79">
        <v>380.54688419173891</v>
      </c>
      <c r="AF28" s="157">
        <v>1.2197640019010371E-182</v>
      </c>
      <c r="AG28" s="79"/>
      <c r="AH28" s="79"/>
      <c r="AI28" s="79"/>
    </row>
    <row r="29" spans="1:35" ht="20.149999999999999" customHeight="1" thickBot="1">
      <c r="A29" s="105"/>
      <c r="B29" s="110"/>
      <c r="C29" s="172" t="s">
        <v>131</v>
      </c>
      <c r="D29" s="176">
        <v>365</v>
      </c>
      <c r="E29" s="79" t="s">
        <v>154</v>
      </c>
      <c r="F29" s="79"/>
      <c r="G29" s="79"/>
      <c r="H29" s="79"/>
      <c r="I29" s="79"/>
      <c r="J29" s="79"/>
      <c r="K29" s="79"/>
      <c r="L29" s="136"/>
      <c r="R29" s="217"/>
      <c r="S29" s="136"/>
      <c r="T29" s="14">
        <v>0</v>
      </c>
      <c r="U29" s="14">
        <v>0</v>
      </c>
      <c r="V29" s="14">
        <v>0</v>
      </c>
      <c r="W29" s="14">
        <v>0</v>
      </c>
      <c r="X29" s="10">
        <v>89</v>
      </c>
      <c r="AA29" s="79" t="s">
        <v>134</v>
      </c>
      <c r="AB29" s="79">
        <v>354</v>
      </c>
      <c r="AC29" s="79">
        <v>23597.286876793394</v>
      </c>
      <c r="AD29" s="79">
        <v>66.659002476817491</v>
      </c>
      <c r="AE29" s="79"/>
      <c r="AF29" s="157"/>
      <c r="AG29" s="79"/>
      <c r="AH29" s="79"/>
      <c r="AI29" s="79"/>
    </row>
    <row r="30" spans="1:35" ht="20.149999999999999" customHeight="1" thickBot="1">
      <c r="A30" s="105"/>
      <c r="B30" s="110"/>
      <c r="C30" s="78"/>
      <c r="D30" s="79"/>
      <c r="E30" s="79"/>
      <c r="F30" s="79"/>
      <c r="G30" s="79"/>
      <c r="I30" s="219" t="s">
        <v>206</v>
      </c>
      <c r="J30" s="79"/>
      <c r="K30" s="136"/>
      <c r="R30" s="217"/>
      <c r="S30" s="136"/>
      <c r="T30" s="14">
        <v>0</v>
      </c>
      <c r="U30" s="14">
        <v>0</v>
      </c>
      <c r="V30" s="14">
        <v>0</v>
      </c>
      <c r="W30" s="14">
        <v>0</v>
      </c>
      <c r="X30" s="10">
        <v>86</v>
      </c>
      <c r="AA30" s="148" t="s">
        <v>135</v>
      </c>
      <c r="AB30" s="148">
        <v>364</v>
      </c>
      <c r="AC30" s="148">
        <v>277266.04383561644</v>
      </c>
      <c r="AD30" s="148"/>
      <c r="AE30" s="148"/>
      <c r="AF30" s="148"/>
      <c r="AG30" s="79"/>
      <c r="AH30" s="79"/>
      <c r="AI30" s="79"/>
    </row>
    <row r="31" spans="1:35" ht="20.149999999999999" customHeight="1" thickBot="1">
      <c r="A31" s="105"/>
      <c r="B31" s="110"/>
      <c r="C31" s="173" t="s">
        <v>132</v>
      </c>
      <c r="D31" s="196"/>
      <c r="E31" s="196"/>
      <c r="F31" s="196"/>
      <c r="G31" s="196"/>
      <c r="I31" s="196" t="s">
        <v>207</v>
      </c>
      <c r="J31" s="79"/>
      <c r="K31" s="136"/>
      <c r="R31" s="217"/>
      <c r="S31" s="136"/>
      <c r="T31" s="14">
        <v>0</v>
      </c>
      <c r="U31" s="14">
        <v>0</v>
      </c>
      <c r="V31" s="14">
        <v>0</v>
      </c>
      <c r="W31" s="14">
        <v>0</v>
      </c>
      <c r="X31" s="10">
        <v>86</v>
      </c>
      <c r="AA31" s="79"/>
      <c r="AB31" s="79"/>
      <c r="AC31" s="79"/>
      <c r="AD31" s="79"/>
      <c r="AE31" s="79"/>
      <c r="AF31" s="79"/>
      <c r="AG31" s="79"/>
      <c r="AH31" s="79"/>
      <c r="AI31" s="79"/>
    </row>
    <row r="32" spans="1:35" ht="20.149999999999999" customHeight="1">
      <c r="A32" s="105"/>
      <c r="B32" s="110"/>
      <c r="C32" s="174"/>
      <c r="D32" s="162" t="s">
        <v>137</v>
      </c>
      <c r="E32" s="162" t="s">
        <v>138</v>
      </c>
      <c r="F32" s="162" t="s">
        <v>139</v>
      </c>
      <c r="G32" s="162" t="s">
        <v>140</v>
      </c>
      <c r="H32" s="222" t="s">
        <v>141</v>
      </c>
      <c r="I32" s="79" t="s">
        <v>208</v>
      </c>
      <c r="J32" s="79"/>
      <c r="K32" s="136"/>
      <c r="R32" s="217"/>
      <c r="S32" s="136"/>
      <c r="T32" s="14">
        <v>0</v>
      </c>
      <c r="U32" s="14">
        <v>0</v>
      </c>
      <c r="V32" s="14">
        <v>0</v>
      </c>
      <c r="W32" s="14">
        <v>0</v>
      </c>
      <c r="X32" s="10">
        <v>97</v>
      </c>
      <c r="AA32" s="155"/>
      <c r="AB32" s="155" t="s">
        <v>142</v>
      </c>
      <c r="AC32" s="155" t="s">
        <v>130</v>
      </c>
      <c r="AD32" s="155" t="s">
        <v>143</v>
      </c>
      <c r="AE32" s="156" t="s">
        <v>144</v>
      </c>
      <c r="AF32" s="155" t="s">
        <v>145</v>
      </c>
      <c r="AG32" s="155" t="s">
        <v>146</v>
      </c>
      <c r="AH32" s="155" t="s">
        <v>147</v>
      </c>
      <c r="AI32" s="155" t="s">
        <v>148</v>
      </c>
    </row>
    <row r="33" spans="1:35" ht="20.149999999999999" customHeight="1">
      <c r="A33" s="105"/>
      <c r="B33" s="110" t="s">
        <v>155</v>
      </c>
      <c r="C33" s="78" t="s">
        <v>133</v>
      </c>
      <c r="D33" s="79">
        <v>4</v>
      </c>
      <c r="E33" s="79">
        <v>253251.43437151954</v>
      </c>
      <c r="F33" s="79">
        <v>63312.858592879886</v>
      </c>
      <c r="G33" s="79">
        <v>949.11512625316459</v>
      </c>
      <c r="H33" s="223">
        <v>9.6106539024289629E-190</v>
      </c>
      <c r="I33" s="79" t="s">
        <v>270</v>
      </c>
      <c r="J33" s="79"/>
      <c r="K33" s="136"/>
      <c r="R33" s="217"/>
      <c r="S33" s="136"/>
      <c r="T33" s="14">
        <v>0</v>
      </c>
      <c r="U33" s="14">
        <v>0</v>
      </c>
      <c r="V33" s="14">
        <v>0</v>
      </c>
      <c r="W33" s="14">
        <v>0</v>
      </c>
      <c r="X33" s="10">
        <v>71</v>
      </c>
      <c r="AA33" s="79" t="s">
        <v>136</v>
      </c>
      <c r="AB33" s="79">
        <v>82.304433092356078</v>
      </c>
      <c r="AC33" s="79">
        <v>2.8462237759399844</v>
      </c>
      <c r="AD33" s="79">
        <v>28.917063299133776</v>
      </c>
      <c r="AE33" s="157">
        <v>3.107003407415609E-95</v>
      </c>
      <c r="AF33" s="79">
        <v>76.70679924158469</v>
      </c>
      <c r="AG33" s="79">
        <v>87.902066943127465</v>
      </c>
      <c r="AH33" s="79">
        <v>76.70679924158469</v>
      </c>
      <c r="AI33" s="79">
        <v>87.902066943127465</v>
      </c>
    </row>
    <row r="34" spans="1:35" ht="20.149999999999999" customHeight="1">
      <c r="A34" s="105"/>
      <c r="B34" s="110" t="s">
        <v>137</v>
      </c>
      <c r="C34" s="78" t="s">
        <v>134</v>
      </c>
      <c r="D34" s="79">
        <v>360</v>
      </c>
      <c r="E34" s="79">
        <v>24014.609464096888</v>
      </c>
      <c r="F34" s="79">
        <v>66.707248511380243</v>
      </c>
      <c r="G34" s="79"/>
      <c r="H34" s="170"/>
      <c r="I34" s="79" t="s">
        <v>271</v>
      </c>
      <c r="J34" s="79"/>
      <c r="K34" s="136"/>
      <c r="R34" s="217"/>
      <c r="S34" s="136"/>
      <c r="T34" s="14">
        <v>0</v>
      </c>
      <c r="U34" s="14">
        <v>0</v>
      </c>
      <c r="V34" s="14">
        <v>0</v>
      </c>
      <c r="W34" s="14">
        <v>0</v>
      </c>
      <c r="X34" s="10">
        <v>92</v>
      </c>
      <c r="AA34" s="79" t="s">
        <v>108</v>
      </c>
      <c r="AB34" s="79">
        <v>-0.77810535763446864</v>
      </c>
      <c r="AC34" s="79">
        <v>1.1219374887885658</v>
      </c>
      <c r="AD34" s="79">
        <v>-0.69353717601026355</v>
      </c>
      <c r="AE34" s="157">
        <v>0.48842730563596071</v>
      </c>
      <c r="AF34" s="79">
        <v>-2.984606237425004</v>
      </c>
      <c r="AG34" s="79">
        <v>1.4283955221560665</v>
      </c>
      <c r="AH34" s="79">
        <v>-2.984606237425004</v>
      </c>
      <c r="AI34" s="79">
        <v>1.4283955221560665</v>
      </c>
    </row>
    <row r="35" spans="1:35" ht="20.149999999999999" customHeight="1" thickBot="1">
      <c r="A35" s="105"/>
      <c r="B35" s="110"/>
      <c r="C35" s="172" t="s">
        <v>135</v>
      </c>
      <c r="D35" s="148">
        <v>364</v>
      </c>
      <c r="E35" s="148">
        <v>277266.04383561644</v>
      </c>
      <c r="F35" s="148"/>
      <c r="G35" s="148"/>
      <c r="H35" s="176"/>
      <c r="I35" s="79" t="s">
        <v>209</v>
      </c>
      <c r="J35" s="79"/>
      <c r="K35" s="136"/>
      <c r="R35" s="217"/>
      <c r="S35" s="136"/>
      <c r="T35" s="14">
        <v>0</v>
      </c>
      <c r="U35" s="14">
        <v>0</v>
      </c>
      <c r="V35" s="14">
        <v>0</v>
      </c>
      <c r="W35" s="14">
        <v>0</v>
      </c>
      <c r="X35" s="10">
        <v>97</v>
      </c>
      <c r="AA35" s="79" t="s">
        <v>110</v>
      </c>
      <c r="AB35" s="79">
        <v>-0.18908906251219115</v>
      </c>
      <c r="AC35" s="79">
        <v>1.1738348766630708</v>
      </c>
      <c r="AD35" s="79">
        <v>-0.16108659426590366</v>
      </c>
      <c r="AE35" s="159">
        <v>0.87211708905096919</v>
      </c>
      <c r="AF35" s="79">
        <v>-2.4976559068936521</v>
      </c>
      <c r="AG35" s="79">
        <v>2.11947778186927</v>
      </c>
      <c r="AH35" s="79">
        <v>-2.4976559068936521</v>
      </c>
      <c r="AI35" s="79">
        <v>2.11947778186927</v>
      </c>
    </row>
    <row r="36" spans="1:35" ht="20.149999999999999" customHeight="1" thickBot="1">
      <c r="A36" s="105"/>
      <c r="B36" s="110"/>
      <c r="C36" s="78"/>
      <c r="D36" s="79"/>
      <c r="E36" s="79"/>
      <c r="F36" s="79"/>
      <c r="G36" s="79"/>
      <c r="H36" s="79"/>
      <c r="I36" s="79"/>
      <c r="J36" s="79"/>
      <c r="K36" s="79"/>
      <c r="L36" s="136"/>
      <c r="R36" s="217"/>
      <c r="S36" s="136"/>
      <c r="T36" s="14">
        <v>0</v>
      </c>
      <c r="U36" s="14">
        <v>0</v>
      </c>
      <c r="V36" s="14">
        <v>0</v>
      </c>
      <c r="W36" s="14">
        <v>0</v>
      </c>
      <c r="X36" s="10">
        <v>85</v>
      </c>
      <c r="AA36" s="79" t="s">
        <v>111</v>
      </c>
      <c r="AB36" s="79">
        <v>5.4847345587020282</v>
      </c>
      <c r="AC36" s="79">
        <v>2.6352696643102664</v>
      </c>
      <c r="AD36" s="79">
        <v>2.081280194198857</v>
      </c>
      <c r="AE36" s="157">
        <v>3.8126534715554057E-2</v>
      </c>
      <c r="AF36" s="79">
        <v>0.30198160598228707</v>
      </c>
      <c r="AG36" s="79">
        <v>10.667487511421768</v>
      </c>
      <c r="AH36" s="79">
        <v>0.30198160598228707</v>
      </c>
      <c r="AI36" s="79">
        <v>10.667487511421768</v>
      </c>
    </row>
    <row r="37" spans="1:35" ht="20.149999999999999" customHeight="1">
      <c r="A37" s="105"/>
      <c r="B37" s="110"/>
      <c r="C37" s="174" t="s">
        <v>156</v>
      </c>
      <c r="D37" s="162" t="s">
        <v>142</v>
      </c>
      <c r="E37" s="162" t="s">
        <v>130</v>
      </c>
      <c r="F37" s="162" t="s">
        <v>143</v>
      </c>
      <c r="G37" s="163" t="s">
        <v>144</v>
      </c>
      <c r="H37" s="162" t="s">
        <v>145</v>
      </c>
      <c r="I37" s="162" t="s">
        <v>146</v>
      </c>
      <c r="J37" s="162" t="s">
        <v>147</v>
      </c>
      <c r="K37" s="175" t="s">
        <v>148</v>
      </c>
      <c r="M37" s="219" t="s">
        <v>272</v>
      </c>
      <c r="N37" s="136"/>
      <c r="O37" s="136"/>
      <c r="P37" s="136"/>
      <c r="Q37" s="136"/>
      <c r="R37" s="221"/>
      <c r="S37" s="136"/>
      <c r="T37" s="14">
        <v>0</v>
      </c>
      <c r="U37" s="14">
        <v>0</v>
      </c>
      <c r="V37" s="14">
        <v>0</v>
      </c>
      <c r="W37" s="14">
        <v>0</v>
      </c>
      <c r="X37" s="10">
        <v>76</v>
      </c>
      <c r="AA37" s="79" t="s">
        <v>113</v>
      </c>
      <c r="AB37" s="79">
        <v>0.91981503048357727</v>
      </c>
      <c r="AC37" s="79">
        <v>1.119093156305289</v>
      </c>
      <c r="AD37" s="79">
        <v>0.82192892102062987</v>
      </c>
      <c r="AE37" s="157">
        <v>0.41167058877959062</v>
      </c>
      <c r="AF37" s="79">
        <v>-1.2810919350385759</v>
      </c>
      <c r="AG37" s="79">
        <v>3.1207219960057304</v>
      </c>
      <c r="AH37" s="79">
        <v>-1.2810919350385759</v>
      </c>
      <c r="AI37" s="79">
        <v>3.1207219960057304</v>
      </c>
    </row>
    <row r="38" spans="1:35" ht="20.149999999999999" customHeight="1">
      <c r="A38" s="105"/>
      <c r="B38" s="110"/>
      <c r="C38" s="173" t="s">
        <v>211</v>
      </c>
      <c r="D38" s="196">
        <v>85.627718149603822</v>
      </c>
      <c r="E38" s="79">
        <v>0.63900508899879949</v>
      </c>
      <c r="F38" s="79">
        <v>134.00162162051998</v>
      </c>
      <c r="G38" s="220">
        <v>0</v>
      </c>
      <c r="H38" s="79">
        <v>84.371066422597124</v>
      </c>
      <c r="I38" s="79">
        <v>86.884369876610521</v>
      </c>
      <c r="J38" s="79">
        <v>84.371066422597124</v>
      </c>
      <c r="K38" s="170">
        <v>86.884369876610521</v>
      </c>
      <c r="M38" s="196" t="s">
        <v>210</v>
      </c>
      <c r="N38" s="136"/>
      <c r="O38" s="136"/>
      <c r="P38" s="136"/>
      <c r="Q38" s="136"/>
      <c r="R38" s="137"/>
      <c r="S38" s="136"/>
      <c r="T38" s="14">
        <v>0</v>
      </c>
      <c r="U38" s="14">
        <v>0</v>
      </c>
      <c r="V38" s="14">
        <v>0</v>
      </c>
      <c r="W38" s="14">
        <v>0</v>
      </c>
      <c r="X38" s="10">
        <v>87</v>
      </c>
      <c r="AA38" s="79" t="s">
        <v>114</v>
      </c>
      <c r="AB38" s="79">
        <v>-3.6659312296537512</v>
      </c>
      <c r="AC38" s="79">
        <v>2.5098986831151069</v>
      </c>
      <c r="AD38" s="79">
        <v>-1.4605893274958253</v>
      </c>
      <c r="AE38" s="157">
        <v>0.14501512247127679</v>
      </c>
      <c r="AF38" s="79">
        <v>-8.6021185910890612</v>
      </c>
      <c r="AG38" s="79">
        <v>1.2702561317815593</v>
      </c>
      <c r="AH38" s="79">
        <v>-8.6021185910890612</v>
      </c>
      <c r="AI38" s="79">
        <v>1.2702561317815593</v>
      </c>
    </row>
    <row r="39" spans="1:35" ht="20.149999999999999" customHeight="1">
      <c r="A39" s="105" t="s">
        <v>212</v>
      </c>
      <c r="B39" s="110" t="s">
        <v>158</v>
      </c>
      <c r="C39" s="234" t="s">
        <v>111</v>
      </c>
      <c r="D39" s="235">
        <v>5.6066263288410827</v>
      </c>
      <c r="E39" s="79">
        <v>2.6222638795222091</v>
      </c>
      <c r="F39" s="79">
        <v>2.1380862439605588</v>
      </c>
      <c r="G39" s="220">
        <v>3.3182598918740931E-2</v>
      </c>
      <c r="H39" s="79">
        <v>0.4497465330448529</v>
      </c>
      <c r="I39" s="79">
        <v>10.763506124637313</v>
      </c>
      <c r="J39" s="79">
        <v>0.4497465330448529</v>
      </c>
      <c r="K39" s="170">
        <v>10.763506124637313</v>
      </c>
      <c r="M39" s="79" t="s">
        <v>208</v>
      </c>
      <c r="N39" s="136"/>
      <c r="O39" s="136"/>
      <c r="P39" s="136"/>
      <c r="Q39" s="136"/>
      <c r="R39" s="137"/>
      <c r="S39" s="136"/>
      <c r="T39" s="14">
        <v>0</v>
      </c>
      <c r="U39" s="14">
        <v>0</v>
      </c>
      <c r="V39" s="14">
        <v>0</v>
      </c>
      <c r="W39" s="14">
        <v>0</v>
      </c>
      <c r="X39" s="10">
        <v>92</v>
      </c>
      <c r="AA39" s="79" t="s">
        <v>117</v>
      </c>
      <c r="AB39" s="79">
        <v>-58.292199211263345</v>
      </c>
      <c r="AC39" s="79">
        <v>1.1716821975198404</v>
      </c>
      <c r="AD39" s="79">
        <v>-49.75086191004133</v>
      </c>
      <c r="AE39" s="157">
        <v>7.7001978052689667E-162</v>
      </c>
      <c r="AF39" s="79">
        <v>-60.596532407628843</v>
      </c>
      <c r="AG39" s="79">
        <v>-55.987866014897847</v>
      </c>
      <c r="AH39" s="79">
        <v>-60.596532407628843</v>
      </c>
      <c r="AI39" s="79">
        <v>-55.987866014897847</v>
      </c>
    </row>
    <row r="40" spans="1:35" ht="20.149999999999999" customHeight="1">
      <c r="A40" s="105" t="s">
        <v>213</v>
      </c>
      <c r="B40" s="110" t="s">
        <v>159</v>
      </c>
      <c r="C40" s="230" t="s">
        <v>117</v>
      </c>
      <c r="D40" s="231">
        <v>-58.055383807824853</v>
      </c>
      <c r="E40" s="79">
        <v>1.1127133087374279</v>
      </c>
      <c r="F40" s="79">
        <v>-52.174610793232141</v>
      </c>
      <c r="G40" s="220">
        <v>6.1667418352973457E-170</v>
      </c>
      <c r="H40" s="79">
        <v>-60.243618495093294</v>
      </c>
      <c r="I40" s="79">
        <v>-55.867149120556412</v>
      </c>
      <c r="J40" s="79">
        <v>-60.243618495093294</v>
      </c>
      <c r="K40" s="170">
        <v>-55.867149120556412</v>
      </c>
      <c r="M40" s="79" t="s">
        <v>273</v>
      </c>
      <c r="N40" s="136"/>
      <c r="O40" s="136"/>
      <c r="P40" s="136"/>
      <c r="Q40" s="136"/>
      <c r="R40" s="137"/>
      <c r="S40" s="136"/>
      <c r="T40" s="14">
        <v>0</v>
      </c>
      <c r="U40" s="14">
        <v>0</v>
      </c>
      <c r="V40" s="14">
        <v>0</v>
      </c>
      <c r="W40" s="14">
        <v>0</v>
      </c>
      <c r="X40" s="10">
        <v>96</v>
      </c>
      <c r="AA40" s="79" t="s">
        <v>118</v>
      </c>
      <c r="AB40" s="79">
        <v>-32.199174227153286</v>
      </c>
      <c r="AC40" s="79">
        <v>1.1601841436372358</v>
      </c>
      <c r="AD40" s="79">
        <v>-27.753503100126203</v>
      </c>
      <c r="AE40" s="157">
        <v>7.5693474646713978E-91</v>
      </c>
      <c r="AF40" s="79">
        <v>-34.480894340114965</v>
      </c>
      <c r="AG40" s="79">
        <v>-29.917454114191607</v>
      </c>
      <c r="AH40" s="79">
        <v>-34.480894340114965</v>
      </c>
      <c r="AI40" s="79">
        <v>-29.917454114191607</v>
      </c>
    </row>
    <row r="41" spans="1:35" ht="20.149999999999999" customHeight="1">
      <c r="A41" s="105" t="s">
        <v>214</v>
      </c>
      <c r="B41" s="110" t="s">
        <v>160</v>
      </c>
      <c r="C41" s="230" t="s">
        <v>118</v>
      </c>
      <c r="D41" s="231">
        <v>-31.790844725624424</v>
      </c>
      <c r="E41" s="79">
        <v>1.1080767204423683</v>
      </c>
      <c r="F41" s="79">
        <v>-28.69011155918232</v>
      </c>
      <c r="G41" s="220">
        <v>4.9073643298066871E-95</v>
      </c>
      <c r="H41" s="79">
        <v>-33.969961212132475</v>
      </c>
      <c r="I41" s="79">
        <v>-29.611728239116378</v>
      </c>
      <c r="J41" s="79">
        <v>-33.969961212132475</v>
      </c>
      <c r="K41" s="170">
        <v>-29.611728239116378</v>
      </c>
      <c r="M41" s="79" t="s">
        <v>271</v>
      </c>
      <c r="N41" s="136"/>
      <c r="O41" s="136"/>
      <c r="P41" s="136"/>
      <c r="Q41" s="136"/>
      <c r="R41" s="137"/>
      <c r="S41" s="136"/>
      <c r="T41" s="14">
        <v>0</v>
      </c>
      <c r="U41" s="14">
        <v>0</v>
      </c>
      <c r="V41" s="14">
        <v>0</v>
      </c>
      <c r="W41" s="14">
        <v>0</v>
      </c>
      <c r="X41" s="10">
        <v>96</v>
      </c>
      <c r="AA41" s="79" t="s">
        <v>116</v>
      </c>
      <c r="AB41" s="79">
        <v>19.71132215559831</v>
      </c>
      <c r="AC41" s="79">
        <v>1.4718391331374157</v>
      </c>
      <c r="AD41" s="79">
        <v>13.392307428041457</v>
      </c>
      <c r="AE41" s="157">
        <v>2.2555218813179566E-33</v>
      </c>
      <c r="AF41" s="79">
        <v>16.816673946913777</v>
      </c>
      <c r="AG41" s="79">
        <v>22.605970364282843</v>
      </c>
      <c r="AH41" s="79">
        <v>16.816673946913777</v>
      </c>
      <c r="AI41" s="79">
        <v>22.605970364282843</v>
      </c>
    </row>
    <row r="42" spans="1:35" ht="20.149999999999999" customHeight="1" thickBot="1">
      <c r="A42" s="105" t="s">
        <v>215</v>
      </c>
      <c r="B42" s="110" t="s">
        <v>161</v>
      </c>
      <c r="C42" s="232" t="s">
        <v>116</v>
      </c>
      <c r="D42" s="233">
        <v>19.674506141224658</v>
      </c>
      <c r="E42" s="148">
        <v>1.4559382364824924</v>
      </c>
      <c r="F42" s="148">
        <v>13.51328349529286</v>
      </c>
      <c r="G42" s="161">
        <v>6.0876766480465085E-34</v>
      </c>
      <c r="H42" s="148">
        <v>16.811293733703042</v>
      </c>
      <c r="I42" s="148">
        <v>22.537718548746273</v>
      </c>
      <c r="J42" s="148">
        <v>16.811293733703042</v>
      </c>
      <c r="K42" s="176">
        <v>22.537718548746273</v>
      </c>
      <c r="M42" s="79" t="s">
        <v>209</v>
      </c>
      <c r="N42" s="136"/>
      <c r="O42" s="136"/>
      <c r="P42" s="136"/>
      <c r="Q42" s="136"/>
      <c r="R42" s="137"/>
      <c r="S42" s="136"/>
      <c r="T42" s="14">
        <v>0</v>
      </c>
      <c r="U42" s="14">
        <v>0</v>
      </c>
      <c r="V42" s="14">
        <v>0</v>
      </c>
      <c r="W42" s="14">
        <v>0</v>
      </c>
      <c r="X42" s="10">
        <v>98</v>
      </c>
      <c r="AA42" s="79" t="s">
        <v>0</v>
      </c>
      <c r="AB42" s="79">
        <v>4.3092593828141533E-2</v>
      </c>
      <c r="AC42" s="79">
        <v>4.0117416745847394E-2</v>
      </c>
      <c r="AD42" s="79">
        <v>1.0741617313283789</v>
      </c>
      <c r="AE42" s="157">
        <v>0.28348182301981489</v>
      </c>
      <c r="AF42" s="79">
        <v>-3.580584412334905E-2</v>
      </c>
      <c r="AG42" s="79">
        <v>0.12199103177963211</v>
      </c>
      <c r="AH42" s="79">
        <v>-3.580584412334905E-2</v>
      </c>
      <c r="AI42" s="79">
        <v>0.12199103177963211</v>
      </c>
    </row>
    <row r="43" spans="1:35" ht="20.149999999999999" customHeight="1" thickBot="1">
      <c r="A43" s="105"/>
      <c r="B43" s="110"/>
      <c r="C43" s="177"/>
      <c r="D43" s="86"/>
      <c r="E43" s="86"/>
      <c r="F43" s="86" t="s">
        <v>124</v>
      </c>
      <c r="G43" s="86">
        <f>MAX(G38:G42)</f>
        <v>3.3182598918740931E-2</v>
      </c>
      <c r="H43" s="86"/>
      <c r="I43" s="86"/>
      <c r="J43" s="136"/>
      <c r="K43" s="136"/>
      <c r="L43" s="136"/>
      <c r="M43" s="136"/>
      <c r="N43" s="136"/>
      <c r="O43" s="136"/>
      <c r="P43" s="136"/>
      <c r="Q43" s="136"/>
      <c r="R43" s="137"/>
      <c r="S43" s="136"/>
      <c r="T43" s="14">
        <v>0</v>
      </c>
      <c r="U43" s="14">
        <v>0</v>
      </c>
      <c r="V43" s="14">
        <v>0</v>
      </c>
      <c r="W43" s="14">
        <v>0</v>
      </c>
      <c r="X43" s="10">
        <v>83</v>
      </c>
      <c r="AA43" s="148" t="s">
        <v>18</v>
      </c>
      <c r="AB43" s="148">
        <v>6.0272274148449621E-2</v>
      </c>
      <c r="AC43" s="148">
        <v>9.1470119122468885E-2</v>
      </c>
      <c r="AD43" s="148">
        <v>0.6589285629742252</v>
      </c>
      <c r="AE43" s="158">
        <v>0.51037000949287936</v>
      </c>
      <c r="AF43" s="148">
        <v>-0.11962090201789935</v>
      </c>
      <c r="AG43" s="148">
        <v>0.24016545031479861</v>
      </c>
      <c r="AH43" s="148">
        <v>-0.11962090201789935</v>
      </c>
      <c r="AI43" s="148">
        <v>0.24016545031479861</v>
      </c>
    </row>
    <row r="44" spans="1:35" ht="20.149999999999999" customHeight="1" thickBot="1">
      <c r="A44" s="105"/>
      <c r="B44" s="110"/>
      <c r="C44" s="178"/>
      <c r="D44" s="179"/>
      <c r="E44" s="179"/>
      <c r="F44" s="179"/>
      <c r="G44" s="179"/>
      <c r="H44" s="179"/>
      <c r="I44" s="179"/>
      <c r="J44" s="180"/>
      <c r="K44" s="180"/>
      <c r="L44" s="180"/>
      <c r="M44" s="180"/>
      <c r="N44" s="180"/>
      <c r="O44" s="180"/>
      <c r="P44" s="180"/>
      <c r="Q44" s="180"/>
      <c r="R44" s="181"/>
      <c r="S44" s="136"/>
      <c r="T44" s="14">
        <v>0</v>
      </c>
      <c r="U44" s="14">
        <v>0</v>
      </c>
      <c r="V44" s="14">
        <v>0</v>
      </c>
      <c r="W44" s="14">
        <v>0</v>
      </c>
      <c r="X44" s="10">
        <v>77</v>
      </c>
      <c r="AA44"/>
      <c r="AB44"/>
      <c r="AC44"/>
      <c r="AD44" t="s">
        <v>124</v>
      </c>
      <c r="AE44" s="79">
        <f>MAX(AE33:AE43)</f>
        <v>0.87211708905096919</v>
      </c>
      <c r="AF44"/>
      <c r="AG44"/>
      <c r="AH44"/>
      <c r="AI44"/>
    </row>
    <row r="45" spans="1:35" ht="20.149999999999999" customHeight="1">
      <c r="A45" s="105"/>
      <c r="B45" s="110"/>
      <c r="C45" s="138"/>
      <c r="D45" s="86"/>
      <c r="E45" s="86"/>
      <c r="F45" s="86"/>
      <c r="G45" s="86"/>
      <c r="H45" s="86"/>
      <c r="I45" s="86"/>
      <c r="J45" s="136"/>
      <c r="K45" s="136"/>
      <c r="L45" s="136"/>
      <c r="M45" s="136"/>
      <c r="N45" s="136"/>
      <c r="O45" s="136"/>
      <c r="P45" s="136"/>
      <c r="Q45" s="136"/>
      <c r="R45" s="114"/>
      <c r="S45" s="136"/>
      <c r="T45" s="14">
        <v>0</v>
      </c>
      <c r="U45" s="14">
        <v>0</v>
      </c>
      <c r="V45" s="14">
        <v>0</v>
      </c>
      <c r="W45" s="14">
        <v>0</v>
      </c>
      <c r="X45" s="10">
        <v>87</v>
      </c>
      <c r="AA45"/>
      <c r="AB45"/>
      <c r="AC45"/>
      <c r="AD45"/>
      <c r="AE45"/>
      <c r="AF45"/>
      <c r="AG45"/>
      <c r="AH45"/>
      <c r="AI45"/>
    </row>
    <row r="46" spans="1:35" ht="20.149999999999999" customHeight="1">
      <c r="A46" s="105"/>
      <c r="B46" s="110"/>
      <c r="D46" s="227" t="s">
        <v>216</v>
      </c>
      <c r="E46" s="228"/>
      <c r="F46" s="228"/>
      <c r="G46" s="229"/>
      <c r="H46" s="229"/>
      <c r="I46" s="136"/>
      <c r="M46" s="136"/>
      <c r="N46" s="136"/>
      <c r="O46" s="136"/>
      <c r="P46" s="136"/>
      <c r="Q46" s="136"/>
      <c r="R46" s="114"/>
      <c r="S46" s="136"/>
      <c r="T46" s="14">
        <v>0</v>
      </c>
      <c r="U46" s="14">
        <v>0</v>
      </c>
      <c r="V46" s="14">
        <v>0</v>
      </c>
      <c r="W46" s="14">
        <v>0</v>
      </c>
      <c r="X46" s="10">
        <v>94</v>
      </c>
      <c r="AA46"/>
      <c r="AB46"/>
      <c r="AC46"/>
      <c r="AD46"/>
      <c r="AE46"/>
      <c r="AF46"/>
      <c r="AG46"/>
      <c r="AH46"/>
      <c r="AI46"/>
    </row>
    <row r="47" spans="1:35" ht="20.149999999999999" customHeight="1">
      <c r="A47" s="105"/>
      <c r="B47" s="110"/>
      <c r="C47" s="86"/>
      <c r="D47" s="228"/>
      <c r="E47" s="228" t="s">
        <v>220</v>
      </c>
      <c r="G47" s="229"/>
      <c r="H47" s="229"/>
      <c r="I47" s="136"/>
      <c r="M47" s="136"/>
      <c r="N47" s="136"/>
      <c r="O47" s="136"/>
      <c r="P47" s="136"/>
      <c r="Q47" s="136"/>
      <c r="R47" s="114"/>
      <c r="S47" s="136"/>
      <c r="T47" s="14">
        <v>0</v>
      </c>
      <c r="U47" s="14">
        <v>0</v>
      </c>
      <c r="V47" s="14">
        <v>0</v>
      </c>
      <c r="W47" s="14">
        <v>0</v>
      </c>
      <c r="X47" s="10">
        <v>94</v>
      </c>
      <c r="AA47" s="97" t="s">
        <v>150</v>
      </c>
    </row>
    <row r="48" spans="1:35" ht="20.149999999999999" customHeight="1">
      <c r="A48" s="105"/>
      <c r="B48" s="110"/>
      <c r="D48" s="228"/>
      <c r="E48" s="228" t="s">
        <v>217</v>
      </c>
      <c r="F48" s="228"/>
      <c r="G48" s="229"/>
      <c r="H48" s="229"/>
      <c r="I48" s="136"/>
      <c r="M48" s="136"/>
      <c r="N48" s="136"/>
      <c r="O48" s="136"/>
      <c r="P48" s="136"/>
      <c r="Q48" s="136"/>
      <c r="R48" s="114"/>
      <c r="S48" s="136"/>
      <c r="T48" s="14">
        <v>0</v>
      </c>
      <c r="U48" s="14">
        <v>0</v>
      </c>
      <c r="V48" s="14">
        <v>0</v>
      </c>
      <c r="W48" s="14">
        <v>0</v>
      </c>
      <c r="X48" s="10">
        <v>76</v>
      </c>
    </row>
    <row r="49" spans="1:35" ht="20.149999999999999" customHeight="1">
      <c r="A49" s="105"/>
      <c r="B49" s="110"/>
      <c r="D49" s="228"/>
      <c r="E49" s="228" t="s">
        <v>218</v>
      </c>
      <c r="F49" s="228"/>
      <c r="G49" s="229"/>
      <c r="H49" s="229"/>
      <c r="I49" s="136"/>
      <c r="M49" s="136"/>
      <c r="N49" s="136"/>
      <c r="O49" s="136"/>
      <c r="P49" s="136"/>
      <c r="Q49" s="136"/>
      <c r="R49" s="114"/>
      <c r="S49" s="136"/>
      <c r="T49" s="14">
        <v>0</v>
      </c>
      <c r="U49" s="14">
        <v>0</v>
      </c>
      <c r="V49" s="14">
        <v>0</v>
      </c>
      <c r="W49" s="14">
        <v>0</v>
      </c>
      <c r="X49" s="10">
        <v>83</v>
      </c>
    </row>
    <row r="50" spans="1:35" ht="20.149999999999999" customHeight="1" thickBot="1">
      <c r="A50" s="105"/>
      <c r="B50" s="140"/>
      <c r="C50" s="226"/>
      <c r="D50" s="141"/>
      <c r="E50" s="141"/>
      <c r="F50" s="141" t="s">
        <v>219</v>
      </c>
      <c r="G50" s="141"/>
      <c r="H50" s="141"/>
      <c r="I50" s="141"/>
      <c r="J50" s="226"/>
      <c r="K50" s="226"/>
      <c r="L50" s="226"/>
      <c r="M50" s="141"/>
      <c r="N50" s="141"/>
      <c r="O50" s="141"/>
      <c r="P50" s="141"/>
      <c r="Q50" s="141"/>
      <c r="R50" s="142"/>
      <c r="S50" s="136"/>
      <c r="T50" s="14">
        <v>0</v>
      </c>
      <c r="U50" s="14">
        <v>0</v>
      </c>
      <c r="V50" s="14">
        <v>0</v>
      </c>
      <c r="W50" s="14">
        <v>1</v>
      </c>
      <c r="X50" s="10">
        <v>104</v>
      </c>
      <c r="AA50" t="s">
        <v>125</v>
      </c>
      <c r="AB50"/>
      <c r="AC50"/>
      <c r="AD50"/>
      <c r="AE50"/>
      <c r="AF50"/>
      <c r="AG50"/>
      <c r="AH50"/>
      <c r="AI50"/>
    </row>
    <row r="51" spans="1:35" ht="20.149999999999999" customHeight="1" thickBot="1">
      <c r="A51" s="105"/>
      <c r="B51" s="105"/>
      <c r="C51" s="113"/>
      <c r="D51" s="113"/>
      <c r="E51" s="113"/>
      <c r="F51" s="113"/>
      <c r="G51" s="113"/>
      <c r="H51" s="113"/>
      <c r="I51" s="113"/>
      <c r="J51" s="113"/>
      <c r="K51" s="113"/>
      <c r="L51" s="113"/>
      <c r="M51" s="113"/>
      <c r="N51" s="113"/>
      <c r="O51" s="113"/>
      <c r="P51" s="113"/>
      <c r="Q51" s="113"/>
      <c r="R51" s="113"/>
      <c r="S51" s="136"/>
      <c r="T51" s="14">
        <v>0</v>
      </c>
      <c r="U51" s="14">
        <v>0</v>
      </c>
      <c r="V51" s="14">
        <v>0</v>
      </c>
      <c r="W51" s="14">
        <v>0</v>
      </c>
      <c r="X51" s="10">
        <v>77</v>
      </c>
      <c r="AA51"/>
      <c r="AB51"/>
      <c r="AC51"/>
      <c r="AD51"/>
      <c r="AE51"/>
      <c r="AF51"/>
      <c r="AG51"/>
      <c r="AH51"/>
      <c r="AI51"/>
    </row>
    <row r="52" spans="1:35" ht="20.149999999999999" customHeight="1">
      <c r="A52" s="100" t="s">
        <v>97</v>
      </c>
      <c r="B52" s="113"/>
      <c r="C52" s="113"/>
      <c r="D52" s="113"/>
      <c r="E52" s="113"/>
      <c r="F52" s="113"/>
      <c r="G52" s="113"/>
      <c r="H52" s="113"/>
      <c r="I52" s="113"/>
      <c r="J52" s="113"/>
      <c r="K52" s="113"/>
      <c r="L52" s="113"/>
      <c r="M52" s="113"/>
      <c r="N52" s="113"/>
      <c r="O52" s="113"/>
      <c r="P52" s="113"/>
      <c r="Q52" s="113"/>
      <c r="R52" s="113"/>
      <c r="S52" s="113"/>
      <c r="T52" s="14">
        <v>0</v>
      </c>
      <c r="U52" s="14">
        <v>0</v>
      </c>
      <c r="V52" s="14">
        <v>0</v>
      </c>
      <c r="W52" s="14">
        <v>0</v>
      </c>
      <c r="X52" s="10">
        <v>96</v>
      </c>
      <c r="AA52" s="152" t="s">
        <v>126</v>
      </c>
      <c r="AB52" s="152"/>
      <c r="AC52"/>
      <c r="AD52"/>
      <c r="AE52"/>
      <c r="AF52"/>
      <c r="AG52"/>
      <c r="AH52"/>
      <c r="AI52"/>
    </row>
    <row r="53" spans="1:35" ht="20.149999999999999" customHeight="1" thickBot="1">
      <c r="A53" s="105"/>
      <c r="B53" s="13"/>
      <c r="C53" s="17"/>
      <c r="D53" s="14"/>
      <c r="E53" s="15" t="s">
        <v>45</v>
      </c>
      <c r="F53" s="16"/>
      <c r="G53" s="16"/>
      <c r="H53" s="16"/>
      <c r="I53" s="16"/>
      <c r="J53" s="16"/>
      <c r="K53" s="16"/>
      <c r="L53" s="16"/>
      <c r="M53" s="16"/>
      <c r="N53" s="16"/>
      <c r="O53" s="16"/>
      <c r="P53" s="16"/>
      <c r="Q53" s="16"/>
      <c r="R53" s="104"/>
      <c r="S53" s="14"/>
      <c r="T53" s="14">
        <v>1</v>
      </c>
      <c r="U53" s="14">
        <v>0</v>
      </c>
      <c r="V53" s="14">
        <v>0</v>
      </c>
      <c r="W53" s="14">
        <v>1</v>
      </c>
      <c r="X53" s="10">
        <v>118</v>
      </c>
      <c r="AA53" s="79" t="s">
        <v>127</v>
      </c>
      <c r="AB53" s="79">
        <v>0.95649712021985034</v>
      </c>
      <c r="AC53" s="79"/>
      <c r="AD53" s="79"/>
      <c r="AE53" s="79"/>
      <c r="AF53" s="79"/>
      <c r="AG53" s="79"/>
      <c r="AH53" s="79"/>
      <c r="AI53" s="79"/>
    </row>
    <row r="54" spans="1:35" ht="20.149999999999999" customHeight="1">
      <c r="A54" s="105"/>
      <c r="B54" s="106"/>
      <c r="C54" s="107"/>
      <c r="D54" s="107"/>
      <c r="E54" s="107"/>
      <c r="F54" s="107"/>
      <c r="G54" s="107"/>
      <c r="H54" s="134"/>
      <c r="I54" s="134"/>
      <c r="J54" s="134"/>
      <c r="K54" s="134"/>
      <c r="L54" s="134"/>
      <c r="M54" s="134"/>
      <c r="N54" s="134"/>
      <c r="O54" s="134"/>
      <c r="P54" s="134"/>
      <c r="Q54" s="134"/>
      <c r="R54" s="134"/>
      <c r="S54" s="135"/>
      <c r="T54" s="14">
        <v>0</v>
      </c>
      <c r="U54" s="14">
        <v>0</v>
      </c>
      <c r="V54" s="14">
        <v>0</v>
      </c>
      <c r="W54" s="14">
        <v>1</v>
      </c>
      <c r="X54" s="10">
        <v>103</v>
      </c>
      <c r="AA54" s="79" t="s">
        <v>128</v>
      </c>
      <c r="AB54" s="79">
        <v>0.91488674098886691</v>
      </c>
      <c r="AC54" s="79"/>
      <c r="AD54" s="79"/>
      <c r="AE54" s="79"/>
      <c r="AF54" s="79"/>
      <c r="AG54" s="79"/>
      <c r="AH54" s="79"/>
      <c r="AI54" s="79"/>
    </row>
    <row r="55" spans="1:35" ht="20" customHeight="1">
      <c r="A55" s="105"/>
      <c r="B55" s="110"/>
      <c r="C55" s="165"/>
      <c r="D55" s="165"/>
      <c r="E55" s="165"/>
      <c r="F55" s="165"/>
      <c r="G55" s="165"/>
      <c r="H55" s="166"/>
      <c r="I55" s="165"/>
      <c r="J55" s="165"/>
      <c r="K55" s="462" t="s">
        <v>199</v>
      </c>
      <c r="L55" s="463"/>
      <c r="M55" s="464"/>
      <c r="N55" s="166"/>
      <c r="O55" s="462" t="s">
        <v>200</v>
      </c>
      <c r="P55" s="463"/>
      <c r="Q55" s="464"/>
      <c r="R55" s="136"/>
      <c r="S55" s="137"/>
      <c r="T55" s="14">
        <v>0</v>
      </c>
      <c r="U55" s="14">
        <v>0</v>
      </c>
      <c r="V55" s="14">
        <v>0</v>
      </c>
      <c r="W55" s="14">
        <v>0</v>
      </c>
      <c r="X55" s="10">
        <v>71</v>
      </c>
      <c r="AA55" s="79" t="s">
        <v>129</v>
      </c>
      <c r="AB55" s="79">
        <v>0.91272894005619032</v>
      </c>
      <c r="AC55" s="79"/>
      <c r="AD55" s="79"/>
      <c r="AE55" s="79"/>
      <c r="AF55" s="79"/>
      <c r="AG55" s="79"/>
      <c r="AH55" s="79"/>
      <c r="AI55" s="79"/>
    </row>
    <row r="56" spans="1:35" ht="20.149999999999999" customHeight="1">
      <c r="A56" s="105"/>
      <c r="B56" s="110"/>
      <c r="G56" s="165"/>
      <c r="H56" s="465" t="s">
        <v>203</v>
      </c>
      <c r="I56" s="466"/>
      <c r="J56" s="165"/>
      <c r="K56" s="200"/>
      <c r="L56" s="166"/>
      <c r="M56" s="192"/>
      <c r="N56" s="166"/>
      <c r="O56" s="200"/>
      <c r="P56" s="166"/>
      <c r="Q56" s="192"/>
      <c r="R56" s="136"/>
      <c r="S56" s="137"/>
      <c r="T56" s="14">
        <v>0</v>
      </c>
      <c r="U56" s="14">
        <v>0</v>
      </c>
      <c r="V56" s="14">
        <v>0</v>
      </c>
      <c r="W56" s="14">
        <v>0</v>
      </c>
      <c r="X56" s="10">
        <v>93</v>
      </c>
      <c r="AA56" s="79" t="s">
        <v>130</v>
      </c>
      <c r="AB56" s="79">
        <v>8.1532878711464019</v>
      </c>
      <c r="AC56" s="79"/>
      <c r="AD56" s="79"/>
      <c r="AE56" s="79"/>
      <c r="AF56" s="79"/>
      <c r="AG56" s="79"/>
      <c r="AH56" s="79"/>
      <c r="AI56" s="79"/>
    </row>
    <row r="57" spans="1:35" ht="20.149999999999999" customHeight="1" thickBot="1">
      <c r="A57" s="105"/>
      <c r="B57" s="110"/>
      <c r="C57" s="467" t="s">
        <v>202</v>
      </c>
      <c r="D57" s="468"/>
      <c r="E57" s="468"/>
      <c r="F57" s="469"/>
      <c r="G57" s="165"/>
      <c r="H57" s="243" t="s">
        <v>119</v>
      </c>
      <c r="I57" s="244" t="s">
        <v>108</v>
      </c>
      <c r="J57" s="165"/>
      <c r="K57" s="200" t="s">
        <v>172</v>
      </c>
      <c r="L57" s="166"/>
      <c r="M57" s="192"/>
      <c r="N57" s="166"/>
      <c r="O57" s="200"/>
      <c r="P57" s="166"/>
      <c r="Q57" s="192"/>
      <c r="R57" s="136"/>
      <c r="S57" s="137"/>
      <c r="T57" s="14">
        <v>0</v>
      </c>
      <c r="U57" s="14">
        <v>1</v>
      </c>
      <c r="V57" s="14">
        <v>0</v>
      </c>
      <c r="W57" s="14">
        <v>0</v>
      </c>
      <c r="X57" s="10">
        <v>23</v>
      </c>
      <c r="AA57" s="148" t="s">
        <v>131</v>
      </c>
      <c r="AB57" s="148">
        <v>365</v>
      </c>
      <c r="AC57" s="79"/>
      <c r="AD57" s="79"/>
      <c r="AE57" s="79"/>
      <c r="AF57" s="79"/>
      <c r="AG57" s="79"/>
      <c r="AH57" s="79"/>
      <c r="AI57" s="79"/>
    </row>
    <row r="58" spans="1:35" ht="20.149999999999999" customHeight="1">
      <c r="A58" s="105"/>
      <c r="B58" s="110"/>
      <c r="C58" s="194" t="s">
        <v>156</v>
      </c>
      <c r="D58" s="162" t="s">
        <v>142</v>
      </c>
      <c r="E58" s="165" t="s">
        <v>165</v>
      </c>
      <c r="F58" s="193" t="s">
        <v>164</v>
      </c>
      <c r="G58" s="165"/>
      <c r="H58" s="239" t="s">
        <v>111</v>
      </c>
      <c r="I58" s="240" t="s">
        <v>111</v>
      </c>
      <c r="J58" s="165"/>
      <c r="K58" s="200"/>
      <c r="L58" s="166"/>
      <c r="M58" s="192"/>
      <c r="N58" s="166"/>
      <c r="O58" s="200"/>
      <c r="P58" s="166"/>
      <c r="Q58" s="192"/>
      <c r="R58" s="136"/>
      <c r="S58" s="137"/>
      <c r="T58" s="14">
        <v>0</v>
      </c>
      <c r="U58" s="14">
        <v>0</v>
      </c>
      <c r="V58" s="14">
        <v>0</v>
      </c>
      <c r="W58" s="14">
        <v>0</v>
      </c>
      <c r="X58" s="10">
        <v>86</v>
      </c>
      <c r="AA58" s="79"/>
      <c r="AB58" s="79"/>
      <c r="AC58" s="79"/>
      <c r="AD58" s="79"/>
      <c r="AE58" s="79"/>
      <c r="AF58" s="79"/>
      <c r="AG58" s="79"/>
      <c r="AH58" s="79"/>
      <c r="AI58" s="79"/>
    </row>
    <row r="59" spans="1:35" ht="20.149999999999999" customHeight="1" thickBot="1">
      <c r="A59" s="113"/>
      <c r="B59" s="110"/>
      <c r="C59" s="195" t="s">
        <v>157</v>
      </c>
      <c r="D59" s="196">
        <v>85.627718149603822</v>
      </c>
      <c r="E59" s="165"/>
      <c r="F59" s="193">
        <f>D59</f>
        <v>85.627718149603822</v>
      </c>
      <c r="G59" s="165"/>
      <c r="H59" s="243" t="s">
        <v>232</v>
      </c>
      <c r="I59" s="244" t="s">
        <v>233</v>
      </c>
      <c r="J59" s="165"/>
      <c r="K59" s="198" t="s">
        <v>173</v>
      </c>
      <c r="L59" s="198" t="s">
        <v>154</v>
      </c>
      <c r="M59" s="198">
        <f>D29</f>
        <v>365</v>
      </c>
      <c r="N59" s="166"/>
      <c r="O59" s="198" t="s">
        <v>176</v>
      </c>
      <c r="P59" s="198" t="s">
        <v>137</v>
      </c>
      <c r="Q59" s="198">
        <f>D34</f>
        <v>360</v>
      </c>
      <c r="R59" s="136"/>
      <c r="S59" s="137"/>
      <c r="T59" s="14">
        <v>0</v>
      </c>
      <c r="U59" s="14">
        <v>0</v>
      </c>
      <c r="V59" s="14">
        <v>0</v>
      </c>
      <c r="W59" s="14">
        <v>0</v>
      </c>
      <c r="X59" s="10">
        <v>93</v>
      </c>
      <c r="AA59" s="79" t="s">
        <v>132</v>
      </c>
      <c r="AB59" s="79"/>
      <c r="AC59" s="79"/>
      <c r="AD59" s="79"/>
      <c r="AE59" s="79"/>
      <c r="AF59" s="79"/>
      <c r="AG59" s="79"/>
      <c r="AH59" s="79"/>
      <c r="AI59" s="79"/>
    </row>
    <row r="60" spans="1:35" s="14" customFormat="1" ht="20.149999999999999" customHeight="1">
      <c r="B60" s="110"/>
      <c r="C60" s="195" t="s">
        <v>111</v>
      </c>
      <c r="D60" s="196">
        <v>5.6066263288410827</v>
      </c>
      <c r="E60" s="210">
        <v>1</v>
      </c>
      <c r="F60" s="193">
        <f>D60*E60</f>
        <v>5.6066263288410827</v>
      </c>
      <c r="G60" s="165"/>
      <c r="H60" s="243" t="s">
        <v>112</v>
      </c>
      <c r="I60" s="244" t="s">
        <v>166</v>
      </c>
      <c r="J60" s="165"/>
      <c r="K60" s="198" t="s">
        <v>174</v>
      </c>
      <c r="L60" s="198" t="s">
        <v>155</v>
      </c>
      <c r="M60" s="198">
        <f>D33</f>
        <v>4</v>
      </c>
      <c r="N60" s="166"/>
      <c r="O60" s="198" t="s">
        <v>177</v>
      </c>
      <c r="P60" s="198"/>
      <c r="Q60" s="198">
        <v>0.95</v>
      </c>
      <c r="R60" s="136"/>
      <c r="S60" s="137"/>
      <c r="T60" s="14">
        <v>0</v>
      </c>
      <c r="U60" s="14">
        <v>0</v>
      </c>
      <c r="V60" s="14">
        <v>0</v>
      </c>
      <c r="W60" s="14">
        <v>1</v>
      </c>
      <c r="X60" s="10">
        <v>105</v>
      </c>
      <c r="AA60" s="155"/>
      <c r="AB60" s="155" t="s">
        <v>137</v>
      </c>
      <c r="AC60" s="155" t="s">
        <v>138</v>
      </c>
      <c r="AD60" s="155" t="s">
        <v>139</v>
      </c>
      <c r="AE60" s="155" t="s">
        <v>140</v>
      </c>
      <c r="AF60" s="155" t="s">
        <v>141</v>
      </c>
      <c r="AG60" s="79"/>
      <c r="AH60" s="79"/>
      <c r="AI60" s="79"/>
    </row>
    <row r="61" spans="1:35" ht="20.149999999999999" customHeight="1">
      <c r="A61" s="105"/>
      <c r="B61" s="110"/>
      <c r="C61" s="195" t="s">
        <v>117</v>
      </c>
      <c r="D61" s="196">
        <v>-58.055383807824853</v>
      </c>
      <c r="E61" s="210">
        <v>0</v>
      </c>
      <c r="F61" s="193">
        <f>D61*E61</f>
        <v>0</v>
      </c>
      <c r="G61" s="165"/>
      <c r="H61" s="243" t="s">
        <v>120</v>
      </c>
      <c r="I61" s="244" t="s">
        <v>113</v>
      </c>
      <c r="J61" s="165"/>
      <c r="K61" s="198" t="s">
        <v>175</v>
      </c>
      <c r="L61" s="198"/>
      <c r="M61" s="198">
        <v>1</v>
      </c>
      <c r="N61" s="166"/>
      <c r="O61" s="198" t="s">
        <v>178</v>
      </c>
      <c r="P61" s="212" t="s">
        <v>204</v>
      </c>
      <c r="Q61" s="198">
        <v>0.05</v>
      </c>
      <c r="R61" s="136"/>
      <c r="S61" s="137"/>
      <c r="T61" s="14">
        <v>0</v>
      </c>
      <c r="U61" s="14">
        <v>0</v>
      </c>
      <c r="V61" s="14">
        <v>0</v>
      </c>
      <c r="W61" s="14">
        <v>1</v>
      </c>
      <c r="X61" s="10">
        <v>101</v>
      </c>
      <c r="AA61" s="79" t="s">
        <v>133</v>
      </c>
      <c r="AB61" s="79">
        <v>9</v>
      </c>
      <c r="AC61" s="79">
        <v>253667.02723164344</v>
      </c>
      <c r="AD61" s="79">
        <v>28185.225247960381</v>
      </c>
      <c r="AE61" s="79">
        <v>423.9903353151347</v>
      </c>
      <c r="AF61" s="79">
        <v>5.8312222710052653E-184</v>
      </c>
      <c r="AG61" s="79"/>
      <c r="AH61" s="79"/>
      <c r="AI61" s="79"/>
    </row>
    <row r="62" spans="1:35" ht="20.149999999999999" customHeight="1">
      <c r="A62" s="105"/>
      <c r="B62" s="110"/>
      <c r="C62" s="195" t="s">
        <v>118</v>
      </c>
      <c r="D62" s="196">
        <v>-31.790844725624424</v>
      </c>
      <c r="E62" s="210">
        <v>0</v>
      </c>
      <c r="F62" s="193">
        <f>D62*E62</f>
        <v>0</v>
      </c>
      <c r="G62" s="165"/>
      <c r="H62" s="243" t="s">
        <v>123</v>
      </c>
      <c r="I62" s="244" t="s">
        <v>234</v>
      </c>
      <c r="J62" s="165"/>
      <c r="K62" s="198" t="s">
        <v>176</v>
      </c>
      <c r="L62" s="198" t="s">
        <v>137</v>
      </c>
      <c r="M62" s="198">
        <f>M59-M60-M61</f>
        <v>360</v>
      </c>
      <c r="N62" s="166"/>
      <c r="O62" s="198" t="s">
        <v>179</v>
      </c>
      <c r="P62" s="198" t="s">
        <v>180</v>
      </c>
      <c r="Q62" s="198">
        <f>_xlfn.T.INV.2T(Q61,Q59)</f>
        <v>1.9665754602606362</v>
      </c>
      <c r="R62" s="136"/>
      <c r="S62" s="137"/>
      <c r="T62" s="14">
        <v>0</v>
      </c>
      <c r="U62" s="14">
        <v>0</v>
      </c>
      <c r="V62" s="14">
        <v>0</v>
      </c>
      <c r="W62" s="14">
        <v>1</v>
      </c>
      <c r="X62" s="10">
        <v>103</v>
      </c>
      <c r="AA62" s="79" t="s">
        <v>134</v>
      </c>
      <c r="AB62" s="79">
        <v>355</v>
      </c>
      <c r="AC62" s="79">
        <v>23599.016603972981</v>
      </c>
      <c r="AD62" s="79">
        <v>66.47610310978304</v>
      </c>
      <c r="AE62" s="79"/>
      <c r="AF62" s="79"/>
      <c r="AG62" s="79"/>
      <c r="AH62" s="79"/>
      <c r="AI62" s="79"/>
    </row>
    <row r="63" spans="1:35" ht="20.149999999999999" customHeight="1" thickBot="1">
      <c r="A63" s="105"/>
      <c r="B63" s="110"/>
      <c r="C63" s="197" t="s">
        <v>116</v>
      </c>
      <c r="D63" s="164">
        <v>19.674506141224658</v>
      </c>
      <c r="E63" s="250">
        <v>0</v>
      </c>
      <c r="F63" s="237">
        <f>D63*E63</f>
        <v>0</v>
      </c>
      <c r="G63" s="165"/>
      <c r="H63" s="243" t="s">
        <v>167</v>
      </c>
      <c r="I63" s="244">
        <v>0.74</v>
      </c>
      <c r="J63" s="165"/>
      <c r="K63" s="198" t="s">
        <v>177</v>
      </c>
      <c r="L63" s="198"/>
      <c r="M63" s="198">
        <v>0.95</v>
      </c>
      <c r="N63" s="166"/>
      <c r="O63" s="198" t="s">
        <v>181</v>
      </c>
      <c r="P63" s="198" t="s">
        <v>153</v>
      </c>
      <c r="Q63" s="198">
        <f>D28</f>
        <v>8.1674505515111786</v>
      </c>
      <c r="R63" s="136"/>
      <c r="S63" s="137"/>
      <c r="T63" s="14">
        <v>0</v>
      </c>
      <c r="U63" s="14">
        <v>0</v>
      </c>
      <c r="V63" s="14">
        <v>0</v>
      </c>
      <c r="W63" s="14">
        <v>0</v>
      </c>
      <c r="X63" s="10">
        <v>95</v>
      </c>
      <c r="AA63" s="148" t="s">
        <v>135</v>
      </c>
      <c r="AB63" s="148">
        <v>364</v>
      </c>
      <c r="AC63" s="148">
        <v>277266.04383561644</v>
      </c>
      <c r="AD63" s="148"/>
      <c r="AE63" s="148"/>
      <c r="AF63" s="148"/>
      <c r="AG63" s="79"/>
      <c r="AH63" s="79"/>
      <c r="AI63" s="79"/>
    </row>
    <row r="64" spans="1:35" ht="20.149999999999999" customHeight="1" thickBot="1">
      <c r="A64" s="105"/>
      <c r="B64" s="110"/>
      <c r="C64" s="201"/>
      <c r="D64" s="165"/>
      <c r="E64" s="165"/>
      <c r="F64" s="193">
        <f>SUM(F59:F63)</f>
        <v>91.23434447844491</v>
      </c>
      <c r="G64" s="165"/>
      <c r="H64" s="243" t="s">
        <v>168</v>
      </c>
      <c r="I64" s="244" t="s">
        <v>235</v>
      </c>
      <c r="J64" s="165"/>
      <c r="K64" s="198" t="s">
        <v>178</v>
      </c>
      <c r="L64" s="212" t="s">
        <v>204</v>
      </c>
      <c r="M64" s="198">
        <v>0.05</v>
      </c>
      <c r="N64" s="166"/>
      <c r="O64" s="198"/>
      <c r="P64" s="198"/>
      <c r="Q64" s="198"/>
      <c r="R64" s="136"/>
      <c r="S64" s="137"/>
      <c r="T64" s="14">
        <v>0</v>
      </c>
      <c r="U64" s="14">
        <v>0</v>
      </c>
      <c r="V64" s="14">
        <v>0</v>
      </c>
      <c r="W64" s="14">
        <v>0</v>
      </c>
      <c r="X64" s="10">
        <v>90</v>
      </c>
      <c r="AA64" s="79"/>
      <c r="AB64" s="79"/>
      <c r="AC64" s="79"/>
      <c r="AD64" s="79"/>
      <c r="AE64" s="79"/>
      <c r="AF64" s="79"/>
      <c r="AG64" s="79"/>
      <c r="AH64" s="79"/>
      <c r="AI64" s="79"/>
    </row>
    <row r="65" spans="1:35" ht="20.149999999999999" customHeight="1">
      <c r="A65" s="105"/>
      <c r="B65" s="110"/>
      <c r="C65" s="201"/>
      <c r="D65" s="165"/>
      <c r="E65" s="165"/>
      <c r="F65" s="193"/>
      <c r="G65" s="165"/>
      <c r="H65" s="241" t="s">
        <v>115</v>
      </c>
      <c r="I65" s="242" t="s">
        <v>236</v>
      </c>
      <c r="J65" s="165"/>
      <c r="K65" s="198" t="s">
        <v>179</v>
      </c>
      <c r="L65" s="198" t="s">
        <v>180</v>
      </c>
      <c r="M65" s="198">
        <f>_xlfn.T.INV.2T(M64,M62)</f>
        <v>1.9665754602606362</v>
      </c>
      <c r="N65" s="166"/>
      <c r="O65" s="198" t="s">
        <v>173</v>
      </c>
      <c r="P65" s="198" t="s">
        <v>154</v>
      </c>
      <c r="Q65" s="198">
        <f>D29</f>
        <v>365</v>
      </c>
      <c r="R65" s="136"/>
      <c r="S65" s="137"/>
      <c r="T65" s="14">
        <v>0</v>
      </c>
      <c r="U65" s="14">
        <v>0</v>
      </c>
      <c r="V65" s="14">
        <v>0</v>
      </c>
      <c r="W65" s="14">
        <v>0</v>
      </c>
      <c r="X65" s="10">
        <v>98</v>
      </c>
      <c r="AA65" s="155"/>
      <c r="AB65" s="155" t="s">
        <v>142</v>
      </c>
      <c r="AC65" s="155" t="s">
        <v>130</v>
      </c>
      <c r="AD65" s="155" t="s">
        <v>143</v>
      </c>
      <c r="AE65" s="155" t="s">
        <v>144</v>
      </c>
      <c r="AF65" s="155" t="s">
        <v>145</v>
      </c>
      <c r="AG65" s="155" t="s">
        <v>146</v>
      </c>
      <c r="AH65" s="155" t="s">
        <v>147</v>
      </c>
      <c r="AI65" s="155" t="s">
        <v>148</v>
      </c>
    </row>
    <row r="66" spans="1:35" ht="20.149999999999999" customHeight="1">
      <c r="A66" s="105"/>
      <c r="B66" s="110"/>
      <c r="C66" s="202"/>
      <c r="D66" s="203"/>
      <c r="E66" s="203"/>
      <c r="F66" s="204"/>
      <c r="G66" s="165"/>
      <c r="H66" s="245"/>
      <c r="I66" s="246"/>
      <c r="J66" s="165"/>
      <c r="K66" s="198" t="s">
        <v>181</v>
      </c>
      <c r="L66" s="198" t="s">
        <v>153</v>
      </c>
      <c r="M66" s="198">
        <f>D28</f>
        <v>8.1674505515111786</v>
      </c>
      <c r="N66" s="166"/>
      <c r="O66" s="198" t="s">
        <v>201</v>
      </c>
      <c r="P66" s="198"/>
      <c r="Q66" s="198">
        <f>SQRT(Q65)</f>
        <v>19.104973174542799</v>
      </c>
      <c r="R66" s="136"/>
      <c r="S66" s="137"/>
      <c r="T66" s="14">
        <v>0</v>
      </c>
      <c r="U66" s="14">
        <v>0</v>
      </c>
      <c r="V66" s="14">
        <v>1</v>
      </c>
      <c r="W66" s="14">
        <v>0</v>
      </c>
      <c r="X66" s="10">
        <v>67</v>
      </c>
      <c r="AA66" s="79" t="s">
        <v>136</v>
      </c>
      <c r="AB66" s="79">
        <v>82.337535526502649</v>
      </c>
      <c r="AC66" s="79">
        <v>2.8348985962634656</v>
      </c>
      <c r="AD66" s="79">
        <v>29.044261277996867</v>
      </c>
      <c r="AE66" s="79">
        <v>8.0374157550161245E-96</v>
      </c>
      <c r="AF66" s="79">
        <v>76.762228644470909</v>
      </c>
      <c r="AG66" s="79">
        <v>87.912842408534388</v>
      </c>
      <c r="AH66" s="79">
        <v>76.762228644470909</v>
      </c>
      <c r="AI66" s="79">
        <v>87.912842408534388</v>
      </c>
    </row>
    <row r="67" spans="1:35" ht="20.149999999999999" customHeight="1">
      <c r="A67" s="105"/>
      <c r="B67" s="110"/>
      <c r="C67" s="165"/>
      <c r="D67" s="205"/>
      <c r="E67" s="165"/>
      <c r="F67" s="165"/>
      <c r="G67" s="165"/>
      <c r="H67" s="247"/>
      <c r="I67" s="246"/>
      <c r="J67" s="165"/>
      <c r="K67" s="198"/>
      <c r="L67" s="198"/>
      <c r="M67" s="198"/>
      <c r="N67" s="166"/>
      <c r="O67" s="198"/>
      <c r="P67" s="198"/>
      <c r="Q67" s="198"/>
      <c r="R67" s="136"/>
      <c r="S67" s="137"/>
      <c r="T67" s="14">
        <v>0</v>
      </c>
      <c r="U67" s="14">
        <v>0</v>
      </c>
      <c r="V67" s="14">
        <v>1</v>
      </c>
      <c r="W67" s="14">
        <v>0</v>
      </c>
      <c r="X67" s="10">
        <v>54</v>
      </c>
      <c r="AA67" s="79" t="s">
        <v>108</v>
      </c>
      <c r="AB67" s="79">
        <v>-0.71072193450988042</v>
      </c>
      <c r="AC67" s="79">
        <v>1.0396107551306086</v>
      </c>
      <c r="AD67" s="79">
        <v>-0.6836423449857354</v>
      </c>
      <c r="AE67" s="79">
        <v>0.49464700653552607</v>
      </c>
      <c r="AF67" s="79">
        <v>-2.7552920667020868</v>
      </c>
      <c r="AG67" s="79">
        <v>1.3338481976823258</v>
      </c>
      <c r="AH67" s="79">
        <v>-2.7552920667020868</v>
      </c>
      <c r="AI67" s="79">
        <v>1.3338481976823258</v>
      </c>
    </row>
    <row r="68" spans="1:35" ht="20.149999999999999" customHeight="1">
      <c r="A68" s="105"/>
      <c r="B68" s="110"/>
      <c r="D68" s="205"/>
      <c r="E68" s="165"/>
      <c r="F68" s="165"/>
      <c r="G68" s="165"/>
      <c r="H68" s="248"/>
      <c r="I68" s="249"/>
      <c r="J68" s="165"/>
      <c r="K68" s="198" t="s">
        <v>164</v>
      </c>
      <c r="L68" s="198" t="s">
        <v>182</v>
      </c>
      <c r="M68" s="198">
        <f>I77</f>
        <v>91.23434447844491</v>
      </c>
      <c r="N68" s="166"/>
      <c r="O68" s="198" t="s">
        <v>164</v>
      </c>
      <c r="P68" s="198" t="s">
        <v>182</v>
      </c>
      <c r="Q68" s="198">
        <f>M68</f>
        <v>91.23434447844491</v>
      </c>
      <c r="R68" s="136"/>
      <c r="S68" s="137"/>
      <c r="T68" s="14">
        <v>0</v>
      </c>
      <c r="U68" s="14">
        <v>0</v>
      </c>
      <c r="V68" s="14">
        <v>1</v>
      </c>
      <c r="W68" s="14">
        <v>0</v>
      </c>
      <c r="X68" s="10">
        <v>40</v>
      </c>
      <c r="AA68" s="79" t="s">
        <v>111</v>
      </c>
      <c r="AB68" s="79">
        <v>5.449295043147095</v>
      </c>
      <c r="AC68" s="79">
        <v>2.62246505718959</v>
      </c>
      <c r="AD68" s="79">
        <v>2.0779285612243492</v>
      </c>
      <c r="AE68" s="79">
        <v>3.8434126684131306E-2</v>
      </c>
      <c r="AF68" s="79">
        <v>0.29177459408830764</v>
      </c>
      <c r="AG68" s="79">
        <v>10.606815492205882</v>
      </c>
      <c r="AH68" s="79">
        <v>0.29177459408830764</v>
      </c>
      <c r="AI68" s="79">
        <v>10.606815492205882</v>
      </c>
    </row>
    <row r="69" spans="1:35" ht="20.149999999999999" customHeight="1">
      <c r="A69" s="105"/>
      <c r="B69" s="110"/>
      <c r="D69" s="205"/>
      <c r="E69" s="165"/>
      <c r="F69" s="165"/>
      <c r="G69" s="165"/>
      <c r="H69" s="166"/>
      <c r="I69" s="165"/>
      <c r="J69" s="165"/>
      <c r="K69" s="198" t="s">
        <v>183</v>
      </c>
      <c r="L69" s="198"/>
      <c r="M69" s="198">
        <f>M68-M65*M66</f>
        <v>75.172436650950829</v>
      </c>
      <c r="N69" s="166"/>
      <c r="O69" s="198" t="s">
        <v>183</v>
      </c>
      <c r="P69" s="198"/>
      <c r="Q69" s="198">
        <f>Q68-Q62*Q63/Q66</f>
        <v>90.393625798509973</v>
      </c>
      <c r="R69" s="136"/>
      <c r="S69" s="137"/>
      <c r="T69" s="14">
        <v>0</v>
      </c>
      <c r="U69" s="14">
        <v>1</v>
      </c>
      <c r="V69" s="14">
        <v>0</v>
      </c>
      <c r="W69" s="14">
        <v>0</v>
      </c>
      <c r="X69" s="10">
        <v>37</v>
      </c>
      <c r="AA69" s="79" t="s">
        <v>113</v>
      </c>
      <c r="AB69" s="79">
        <v>0.93565499016199649</v>
      </c>
      <c r="AC69" s="79">
        <v>1.1132342928016163</v>
      </c>
      <c r="AD69" s="79">
        <v>0.84048344199609981</v>
      </c>
      <c r="AE69" s="79">
        <v>0.40120310113969337</v>
      </c>
      <c r="AF69" s="79">
        <v>-1.253708263307181</v>
      </c>
      <c r="AG69" s="79">
        <v>3.1250182436311738</v>
      </c>
      <c r="AH69" s="79">
        <v>-1.253708263307181</v>
      </c>
      <c r="AI69" s="79">
        <v>3.1250182436311738</v>
      </c>
    </row>
    <row r="70" spans="1:35" ht="20.149999999999999" customHeight="1">
      <c r="A70" s="105"/>
      <c r="B70" s="110"/>
      <c r="E70" s="165"/>
      <c r="F70" s="165"/>
      <c r="G70" s="206" t="s">
        <v>169</v>
      </c>
      <c r="H70" s="199"/>
      <c r="I70" s="199"/>
      <c r="J70" s="165"/>
      <c r="K70" s="198" t="s">
        <v>184</v>
      </c>
      <c r="L70" s="198"/>
      <c r="M70" s="198">
        <f>M68+M65*M66</f>
        <v>107.29625230593899</v>
      </c>
      <c r="N70" s="166"/>
      <c r="O70" s="198" t="s">
        <v>184</v>
      </c>
      <c r="P70" s="198"/>
      <c r="Q70" s="198">
        <f>Q68+Q62*Q63/Q66</f>
        <v>92.075063158379848</v>
      </c>
      <c r="R70" s="136"/>
      <c r="S70" s="137"/>
      <c r="T70" s="14">
        <v>0</v>
      </c>
      <c r="U70" s="14">
        <v>0</v>
      </c>
      <c r="V70" s="14">
        <v>0</v>
      </c>
      <c r="W70" s="14">
        <v>0</v>
      </c>
      <c r="X70" s="10">
        <v>71</v>
      </c>
      <c r="AA70" s="79" t="s">
        <v>114</v>
      </c>
      <c r="AB70" s="79">
        <v>-3.6937462902556066</v>
      </c>
      <c r="AC70" s="79">
        <v>2.5005145292621624</v>
      </c>
      <c r="AD70" s="79">
        <v>-1.4771944921853888</v>
      </c>
      <c r="AE70" s="79">
        <v>0.14051006929593227</v>
      </c>
      <c r="AF70" s="79">
        <v>-8.611430429642736</v>
      </c>
      <c r="AG70" s="79">
        <v>1.2239378491315231</v>
      </c>
      <c r="AH70" s="79">
        <v>-8.611430429642736</v>
      </c>
      <c r="AI70" s="79">
        <v>1.2239378491315231</v>
      </c>
    </row>
    <row r="71" spans="1:35" ht="20.149999999999999" customHeight="1">
      <c r="A71" s="105"/>
      <c r="B71" s="110"/>
      <c r="E71" s="165"/>
      <c r="F71" s="165"/>
      <c r="G71" s="199" t="s">
        <v>119</v>
      </c>
      <c r="H71" s="199" t="str">
        <f>I57</f>
        <v>autumn</v>
      </c>
      <c r="I71" s="211">
        <v>0</v>
      </c>
      <c r="J71" s="165"/>
      <c r="K71" s="198"/>
      <c r="L71" s="198"/>
      <c r="M71" s="198"/>
      <c r="N71" s="166"/>
      <c r="O71" s="198"/>
      <c r="P71" s="198"/>
      <c r="Q71" s="198"/>
      <c r="R71" s="136"/>
      <c r="S71" s="137"/>
      <c r="T71" s="14">
        <v>0</v>
      </c>
      <c r="U71" s="14">
        <v>0</v>
      </c>
      <c r="V71" s="14">
        <v>0</v>
      </c>
      <c r="W71" s="14">
        <v>1</v>
      </c>
      <c r="X71" s="10">
        <v>107</v>
      </c>
      <c r="AA71" s="79" t="s">
        <v>117</v>
      </c>
      <c r="AB71" s="79">
        <v>-58.261221772336164</v>
      </c>
      <c r="AC71" s="79">
        <v>1.154206819644056</v>
      </c>
      <c r="AD71" s="79">
        <v>-50.477280831093381</v>
      </c>
      <c r="AE71" s="79">
        <v>4.6347933151906983E-164</v>
      </c>
      <c r="AF71" s="79">
        <v>-60.531164419784361</v>
      </c>
      <c r="AG71" s="79">
        <v>-55.991279124887967</v>
      </c>
      <c r="AH71" s="79">
        <v>-60.531164419784361</v>
      </c>
      <c r="AI71" s="79">
        <v>-55.991279124887967</v>
      </c>
    </row>
    <row r="72" spans="1:35" ht="20.149999999999999" customHeight="1">
      <c r="A72" s="105"/>
      <c r="B72" s="110"/>
      <c r="D72" s="205"/>
      <c r="E72" s="165"/>
      <c r="F72" s="165"/>
      <c r="G72" s="199" t="s">
        <v>112</v>
      </c>
      <c r="H72" s="199" t="s">
        <v>166</v>
      </c>
      <c r="I72" s="211">
        <v>0</v>
      </c>
      <c r="J72" s="165"/>
      <c r="K72" s="198"/>
      <c r="L72" s="198"/>
      <c r="M72" s="198"/>
      <c r="N72" s="166"/>
      <c r="O72" s="207"/>
      <c r="P72" s="208"/>
      <c r="Q72" s="209"/>
      <c r="R72" s="136"/>
      <c r="S72" s="137"/>
      <c r="T72" s="14">
        <v>0</v>
      </c>
      <c r="U72" s="14">
        <v>0</v>
      </c>
      <c r="V72" s="14">
        <v>0</v>
      </c>
      <c r="W72" s="14">
        <v>1</v>
      </c>
      <c r="X72" s="10">
        <v>101</v>
      </c>
      <c r="AA72" s="79" t="s">
        <v>118</v>
      </c>
      <c r="AB72" s="79">
        <v>-32.227338161943678</v>
      </c>
      <c r="AC72" s="79">
        <v>1.1453601283232444</v>
      </c>
      <c r="AD72" s="79">
        <v>-28.137297051821637</v>
      </c>
      <c r="AE72" s="79">
        <v>2.0850090476808393E-92</v>
      </c>
      <c r="AF72" s="79">
        <v>-34.479882296771656</v>
      </c>
      <c r="AG72" s="79">
        <v>-29.974794027115699</v>
      </c>
      <c r="AH72" s="79">
        <v>-34.479882296771656</v>
      </c>
      <c r="AI72" s="79">
        <v>-29.974794027115699</v>
      </c>
    </row>
    <row r="73" spans="1:35" ht="20.149999999999999" customHeight="1">
      <c r="A73" s="105"/>
      <c r="B73" s="110"/>
      <c r="D73" s="205"/>
      <c r="E73" s="165"/>
      <c r="F73" s="165"/>
      <c r="G73" s="199" t="s">
        <v>123</v>
      </c>
      <c r="H73" s="199" t="str">
        <f>I62</f>
        <v>36 C</v>
      </c>
      <c r="I73" s="211">
        <v>0</v>
      </c>
      <c r="J73" s="165"/>
      <c r="K73" s="166"/>
      <c r="L73" s="166"/>
      <c r="M73" s="166"/>
      <c r="N73" s="166"/>
      <c r="O73" s="166"/>
      <c r="P73" s="166"/>
      <c r="Q73" s="166"/>
      <c r="R73" s="136"/>
      <c r="S73" s="137"/>
      <c r="T73" s="14">
        <v>0</v>
      </c>
      <c r="U73" s="14">
        <v>0</v>
      </c>
      <c r="V73" s="14">
        <v>0</v>
      </c>
      <c r="W73" s="14">
        <v>0</v>
      </c>
      <c r="X73" s="10">
        <v>94</v>
      </c>
      <c r="AA73" s="79" t="s">
        <v>116</v>
      </c>
      <c r="AB73" s="79">
        <v>19.741880231879779</v>
      </c>
      <c r="AC73" s="79">
        <v>1.4575593525518447</v>
      </c>
      <c r="AD73" s="79">
        <v>13.544477758189659</v>
      </c>
      <c r="AE73" s="79">
        <v>5.5567893589202389E-34</v>
      </c>
      <c r="AF73" s="79">
        <v>16.875343594568331</v>
      </c>
      <c r="AG73" s="79">
        <v>22.608416869191228</v>
      </c>
      <c r="AH73" s="79">
        <v>16.875343594568331</v>
      </c>
      <c r="AI73" s="79">
        <v>22.608416869191228</v>
      </c>
    </row>
    <row r="74" spans="1:35" ht="20.149999999999999" customHeight="1">
      <c r="A74" s="105"/>
      <c r="B74" s="110"/>
      <c r="D74" s="205"/>
      <c r="E74" s="165"/>
      <c r="F74" s="165"/>
      <c r="G74" s="199" t="s">
        <v>167</v>
      </c>
      <c r="H74" s="199">
        <f>I63</f>
        <v>0.74</v>
      </c>
      <c r="I74" s="211">
        <v>0</v>
      </c>
      <c r="J74" s="165"/>
      <c r="K74" s="166"/>
      <c r="L74" s="166"/>
      <c r="M74" s="166"/>
      <c r="N74" s="166"/>
      <c r="O74" s="166"/>
      <c r="P74" s="166"/>
      <c r="Q74" s="166"/>
      <c r="R74" s="136"/>
      <c r="S74" s="137"/>
      <c r="T74" s="14">
        <v>0</v>
      </c>
      <c r="U74" s="14">
        <v>0</v>
      </c>
      <c r="V74" s="14">
        <v>0</v>
      </c>
      <c r="W74" s="14">
        <v>0</v>
      </c>
      <c r="X74" s="10">
        <v>95</v>
      </c>
      <c r="AA74" s="79" t="s">
        <v>0</v>
      </c>
      <c r="AB74" s="79">
        <v>4.1442347896799063E-2</v>
      </c>
      <c r="AC74" s="79">
        <v>3.873409516218896E-2</v>
      </c>
      <c r="AD74" s="79">
        <v>1.069919091262362</v>
      </c>
      <c r="AE74" s="79">
        <v>0.28538264077405473</v>
      </c>
      <c r="AF74" s="79">
        <v>-3.473479212918381E-2</v>
      </c>
      <c r="AG74" s="79">
        <v>0.11761948792278193</v>
      </c>
      <c r="AH74" s="79">
        <v>-3.473479212918381E-2</v>
      </c>
      <c r="AI74" s="79">
        <v>0.11761948792278193</v>
      </c>
    </row>
    <row r="75" spans="1:35" ht="20.149999999999999" customHeight="1" thickBot="1">
      <c r="A75" s="105"/>
      <c r="B75" s="110"/>
      <c r="D75" s="165"/>
      <c r="E75" s="165"/>
      <c r="F75" s="165"/>
      <c r="G75" s="199" t="s">
        <v>170</v>
      </c>
      <c r="H75" s="199" t="str">
        <f>I64</f>
        <v>30 km/h</v>
      </c>
      <c r="I75" s="211">
        <v>0</v>
      </c>
      <c r="J75" s="165"/>
      <c r="K75" s="166"/>
      <c r="L75" s="166"/>
      <c r="M75" s="166"/>
      <c r="N75" s="166"/>
      <c r="O75" s="166"/>
      <c r="P75" s="166"/>
      <c r="Q75" s="166"/>
      <c r="R75" s="136"/>
      <c r="S75" s="137"/>
      <c r="T75" s="14">
        <v>0</v>
      </c>
      <c r="U75" s="14">
        <v>0</v>
      </c>
      <c r="V75" s="14">
        <v>0</v>
      </c>
      <c r="W75" s="14">
        <v>0</v>
      </c>
      <c r="X75" s="10">
        <v>96</v>
      </c>
      <c r="AA75" s="148" t="s">
        <v>18</v>
      </c>
      <c r="AB75" s="148">
        <v>6.0421930688980267E-2</v>
      </c>
      <c r="AC75" s="148">
        <v>9.1339833093942474E-2</v>
      </c>
      <c r="AD75" s="148">
        <v>0.6615069093331567</v>
      </c>
      <c r="AE75" s="160">
        <v>0.50871640319651013</v>
      </c>
      <c r="AF75" s="148">
        <v>-0.11921327768267043</v>
      </c>
      <c r="AG75" s="148">
        <v>0.24005713906063098</v>
      </c>
      <c r="AH75" s="148">
        <v>-0.11921327768267043</v>
      </c>
      <c r="AI75" s="148">
        <v>0.24005713906063098</v>
      </c>
    </row>
    <row r="76" spans="1:35" ht="20.149999999999999" customHeight="1">
      <c r="A76" s="105"/>
      <c r="B76" s="110"/>
      <c r="D76" s="165"/>
      <c r="E76" s="165"/>
      <c r="F76" s="165"/>
      <c r="G76" s="97" t="s">
        <v>232</v>
      </c>
      <c r="H76" s="199" t="s">
        <v>233</v>
      </c>
      <c r="I76" s="97">
        <v>0</v>
      </c>
      <c r="J76" s="165"/>
      <c r="K76" s="166"/>
      <c r="L76" s="166"/>
      <c r="M76" s="166"/>
      <c r="N76" s="166"/>
      <c r="O76" s="166"/>
      <c r="P76" s="166"/>
      <c r="Q76" s="166"/>
      <c r="R76" s="136"/>
      <c r="S76" s="137"/>
      <c r="T76" s="14">
        <v>0</v>
      </c>
      <c r="U76" s="14">
        <v>0</v>
      </c>
      <c r="V76" s="14">
        <v>0</v>
      </c>
      <c r="W76" s="14">
        <v>0</v>
      </c>
      <c r="X76" s="10">
        <v>74</v>
      </c>
      <c r="AA76"/>
      <c r="AB76"/>
      <c r="AC76"/>
      <c r="AD76" t="s">
        <v>124</v>
      </c>
      <c r="AE76" s="79">
        <f>MAX(AE66:AE75)</f>
        <v>0.50871640319651013</v>
      </c>
      <c r="AF76"/>
      <c r="AG76"/>
      <c r="AH76"/>
      <c r="AI76"/>
    </row>
    <row r="77" spans="1:35" ht="20.149999999999999" customHeight="1">
      <c r="A77" s="105"/>
      <c r="B77" s="110"/>
      <c r="D77" s="165"/>
      <c r="E77" s="165"/>
      <c r="F77" s="165"/>
      <c r="G77" s="199" t="s">
        <v>171</v>
      </c>
      <c r="H77" s="199"/>
      <c r="I77" s="199">
        <f>F64</f>
        <v>91.23434447844491</v>
      </c>
      <c r="J77" s="165"/>
      <c r="K77" s="166"/>
      <c r="L77" s="166"/>
      <c r="M77" s="166"/>
      <c r="N77" s="166"/>
      <c r="O77" s="166"/>
      <c r="P77" s="166"/>
      <c r="Q77" s="166"/>
      <c r="R77" s="136"/>
      <c r="S77" s="137"/>
      <c r="T77" s="14">
        <v>0</v>
      </c>
      <c r="U77" s="14">
        <v>0</v>
      </c>
      <c r="V77" s="14">
        <v>0</v>
      </c>
      <c r="W77" s="14">
        <v>0</v>
      </c>
      <c r="X77" s="10">
        <v>95</v>
      </c>
      <c r="AA77"/>
      <c r="AB77"/>
      <c r="AC77"/>
      <c r="AD77"/>
      <c r="AE77"/>
      <c r="AF77"/>
      <c r="AG77"/>
      <c r="AH77"/>
      <c r="AI77"/>
    </row>
    <row r="78" spans="1:35" ht="20.149999999999999" customHeight="1">
      <c r="A78" s="105"/>
      <c r="B78" s="110"/>
      <c r="D78" s="97"/>
      <c r="G78" s="165"/>
      <c r="H78" s="166"/>
      <c r="I78" s="165"/>
      <c r="K78" s="136"/>
      <c r="L78" s="136"/>
      <c r="M78" s="136"/>
      <c r="N78" s="136"/>
      <c r="O78" s="136"/>
      <c r="P78" s="136"/>
      <c r="Q78" s="136"/>
      <c r="R78" s="136"/>
      <c r="S78" s="137"/>
      <c r="T78" s="14">
        <v>0</v>
      </c>
      <c r="U78" s="14">
        <v>0</v>
      </c>
      <c r="V78" s="14">
        <v>0</v>
      </c>
      <c r="W78" s="14">
        <v>0</v>
      </c>
      <c r="X78" s="10">
        <v>91</v>
      </c>
      <c r="AA78" s="79" t="s">
        <v>151</v>
      </c>
      <c r="AB78"/>
      <c r="AC78"/>
      <c r="AD78"/>
      <c r="AE78"/>
      <c r="AF78"/>
      <c r="AG78"/>
      <c r="AH78"/>
      <c r="AI78"/>
    </row>
    <row r="79" spans="1:35" ht="20.149999999999999" customHeight="1">
      <c r="A79" s="105"/>
      <c r="B79" s="110"/>
      <c r="D79" s="97"/>
      <c r="H79" s="136"/>
      <c r="K79" s="136"/>
      <c r="L79" s="136"/>
      <c r="M79" s="136"/>
      <c r="N79" s="136"/>
      <c r="O79" s="136"/>
      <c r="P79" s="136"/>
      <c r="Q79" s="136"/>
      <c r="R79" s="136"/>
      <c r="S79" s="137"/>
      <c r="T79" s="14">
        <v>0</v>
      </c>
      <c r="U79" s="14">
        <v>0</v>
      </c>
      <c r="V79" s="14">
        <v>0</v>
      </c>
      <c r="W79" s="14">
        <v>0</v>
      </c>
      <c r="X79" s="10">
        <v>85</v>
      </c>
    </row>
    <row r="80" spans="1:35" ht="20.149999999999999" customHeight="1">
      <c r="A80" s="105"/>
      <c r="B80" s="110"/>
      <c r="E80" s="97" t="s">
        <v>237</v>
      </c>
      <c r="H80" s="205" t="s">
        <v>238</v>
      </c>
      <c r="K80" s="136"/>
      <c r="L80" s="136"/>
      <c r="M80" s="136"/>
      <c r="N80" s="136"/>
      <c r="O80" s="136"/>
      <c r="P80" s="136"/>
      <c r="Q80" s="136"/>
      <c r="R80" s="136"/>
      <c r="S80" s="137"/>
      <c r="T80" s="14">
        <v>0</v>
      </c>
      <c r="U80" s="14">
        <v>0</v>
      </c>
      <c r="V80" s="14">
        <v>0</v>
      </c>
      <c r="W80" s="14">
        <v>0</v>
      </c>
      <c r="X80" s="10">
        <v>91</v>
      </c>
    </row>
    <row r="81" spans="1:35" ht="20.149999999999999" customHeight="1">
      <c r="A81" s="105"/>
      <c r="B81" s="110"/>
      <c r="H81" s="136"/>
      <c r="J81" s="165"/>
      <c r="K81" s="136"/>
      <c r="L81" s="136"/>
      <c r="M81" s="136"/>
      <c r="N81" s="136"/>
      <c r="O81" s="136"/>
      <c r="P81" s="136"/>
      <c r="Q81" s="136"/>
      <c r="R81" s="136"/>
      <c r="S81" s="137"/>
      <c r="T81" s="14">
        <v>0</v>
      </c>
      <c r="U81" s="14">
        <v>0</v>
      </c>
      <c r="V81" s="14">
        <v>0</v>
      </c>
      <c r="W81" s="14">
        <v>0</v>
      </c>
      <c r="X81" s="10">
        <v>73</v>
      </c>
      <c r="AA81" s="79" t="s">
        <v>125</v>
      </c>
      <c r="AB81" s="79"/>
      <c r="AC81" s="79"/>
      <c r="AD81" s="79"/>
      <c r="AE81" s="79"/>
      <c r="AF81" s="79"/>
      <c r="AG81" s="79"/>
      <c r="AH81" s="79"/>
      <c r="AI81" s="79"/>
    </row>
    <row r="82" spans="1:35" ht="20.149999999999999" customHeight="1" thickBot="1">
      <c r="A82" s="105"/>
      <c r="B82" s="110"/>
      <c r="D82" s="97"/>
      <c r="H82" s="136"/>
      <c r="K82" s="136"/>
      <c r="L82" s="136"/>
      <c r="M82" s="136"/>
      <c r="N82" s="136"/>
      <c r="O82" s="136"/>
      <c r="P82" s="136"/>
      <c r="Q82" s="136"/>
      <c r="R82" s="136"/>
      <c r="S82" s="137"/>
      <c r="T82" s="14">
        <v>0</v>
      </c>
      <c r="U82" s="14">
        <v>0</v>
      </c>
      <c r="V82" s="14">
        <v>0</v>
      </c>
      <c r="W82" s="14">
        <v>0</v>
      </c>
      <c r="X82" s="10">
        <v>87</v>
      </c>
      <c r="AA82" s="79"/>
      <c r="AB82" s="79"/>
      <c r="AC82" s="79"/>
      <c r="AD82" s="79"/>
      <c r="AE82" s="79"/>
      <c r="AF82" s="79"/>
      <c r="AG82" s="79"/>
      <c r="AH82" s="79"/>
      <c r="AI82" s="79"/>
    </row>
    <row r="83" spans="1:35" ht="20.149999999999999" customHeight="1">
      <c r="A83" s="105"/>
      <c r="B83" s="110"/>
      <c r="D83" s="97"/>
      <c r="H83" s="136"/>
      <c r="K83" s="136"/>
      <c r="L83" s="136"/>
      <c r="M83" s="136"/>
      <c r="N83" s="136"/>
      <c r="O83" s="136"/>
      <c r="P83" s="136"/>
      <c r="Q83" s="136"/>
      <c r="R83" s="136"/>
      <c r="S83" s="137"/>
      <c r="T83" s="14">
        <v>0</v>
      </c>
      <c r="U83" s="14">
        <v>0</v>
      </c>
      <c r="V83" s="14">
        <v>0</v>
      </c>
      <c r="W83" s="14">
        <v>0</v>
      </c>
      <c r="X83" s="10">
        <v>96</v>
      </c>
      <c r="AA83" s="154" t="s">
        <v>126</v>
      </c>
      <c r="AB83" s="154"/>
      <c r="AC83" s="79"/>
      <c r="AD83" s="79"/>
      <c r="AE83" s="79"/>
      <c r="AF83" s="79"/>
      <c r="AG83" s="79"/>
      <c r="AH83" s="79"/>
      <c r="AI83" s="79"/>
    </row>
    <row r="84" spans="1:35" ht="37.5" customHeight="1" thickBot="1">
      <c r="A84" s="105"/>
      <c r="B84" s="140"/>
      <c r="C84" s="141"/>
      <c r="D84" s="141"/>
      <c r="E84" s="141"/>
      <c r="F84" s="141"/>
      <c r="G84" s="141"/>
      <c r="H84" s="141"/>
      <c r="I84" s="141"/>
      <c r="J84" s="141"/>
      <c r="K84" s="141"/>
      <c r="L84" s="141"/>
      <c r="M84" s="141"/>
      <c r="N84" s="141"/>
      <c r="O84" s="141"/>
      <c r="P84" s="141"/>
      <c r="Q84" s="141"/>
      <c r="R84" s="141"/>
      <c r="S84" s="142"/>
      <c r="T84" s="14">
        <v>0</v>
      </c>
      <c r="U84" s="14">
        <v>0</v>
      </c>
      <c r="V84" s="14">
        <v>1</v>
      </c>
      <c r="W84" s="14">
        <v>0</v>
      </c>
      <c r="X84" s="10">
        <v>48</v>
      </c>
      <c r="AA84" s="79" t="s">
        <v>127</v>
      </c>
      <c r="AB84" s="79">
        <v>0.95644227529759507</v>
      </c>
      <c r="AC84" s="79"/>
      <c r="AD84" s="79"/>
      <c r="AE84" s="79"/>
      <c r="AF84" s="79"/>
      <c r="AG84" s="79"/>
      <c r="AH84" s="79"/>
      <c r="AI84" s="79"/>
    </row>
    <row r="85" spans="1:35" ht="20.149999999999999" customHeight="1">
      <c r="A85" s="105"/>
      <c r="B85" s="105"/>
      <c r="C85" s="113"/>
      <c r="D85" s="113"/>
      <c r="E85" s="113"/>
      <c r="F85" s="113"/>
      <c r="J85" s="113"/>
      <c r="K85" s="113"/>
      <c r="L85" s="113"/>
      <c r="M85" s="113"/>
      <c r="N85" s="113"/>
      <c r="O85" s="113"/>
      <c r="P85" s="113"/>
      <c r="Q85" s="113"/>
      <c r="R85" s="113"/>
      <c r="T85" s="14">
        <v>0</v>
      </c>
      <c r="U85" s="14">
        <v>0</v>
      </c>
      <c r="V85" s="14">
        <v>0</v>
      </c>
      <c r="W85" s="14">
        <v>1</v>
      </c>
      <c r="X85" s="10">
        <v>109</v>
      </c>
      <c r="AA85" s="79" t="s">
        <v>128</v>
      </c>
      <c r="AB85" s="79">
        <v>0.91478182597644064</v>
      </c>
      <c r="AC85" s="79"/>
      <c r="AD85" s="79"/>
      <c r="AE85" s="79"/>
      <c r="AF85" s="79"/>
      <c r="AG85" s="79"/>
      <c r="AH85" s="79"/>
      <c r="AI85" s="79"/>
    </row>
    <row r="86" spans="1:35" ht="20.149999999999999" customHeight="1">
      <c r="A86" s="105"/>
      <c r="B86" s="113"/>
      <c r="D86" s="97"/>
      <c r="G86" s="113"/>
      <c r="H86" s="113"/>
      <c r="I86" s="113"/>
      <c r="K86" s="113"/>
      <c r="L86" s="113"/>
      <c r="M86" s="113"/>
      <c r="N86" s="113"/>
      <c r="O86" s="113"/>
      <c r="P86" s="113"/>
      <c r="Q86" s="113"/>
      <c r="R86" s="113"/>
      <c r="S86" s="113"/>
      <c r="T86" s="14">
        <v>0</v>
      </c>
      <c r="U86" s="14">
        <v>0</v>
      </c>
      <c r="V86" s="14">
        <v>0</v>
      </c>
      <c r="W86" s="14">
        <v>1</v>
      </c>
      <c r="X86" s="10">
        <v>100</v>
      </c>
      <c r="AA86" s="79" t="s">
        <v>129</v>
      </c>
      <c r="AB86" s="79">
        <v>0.91286681082984389</v>
      </c>
      <c r="AC86" s="79"/>
      <c r="AD86" s="79"/>
      <c r="AE86" s="79"/>
      <c r="AF86" s="79"/>
      <c r="AG86" s="79"/>
      <c r="AH86" s="79"/>
      <c r="AI86" s="79"/>
    </row>
    <row r="87" spans="1:35" ht="20.149999999999999" customHeight="1">
      <c r="A87" s="100" t="s">
        <v>76</v>
      </c>
      <c r="B87" s="96"/>
      <c r="C87" s="101"/>
      <c r="D87" s="96"/>
      <c r="E87" s="102" t="s">
        <v>77</v>
      </c>
      <c r="F87" s="96"/>
      <c r="J87" s="96"/>
      <c r="K87" s="96"/>
      <c r="L87" s="96"/>
      <c r="M87" s="96"/>
      <c r="N87" s="96"/>
      <c r="O87" s="96"/>
      <c r="P87" s="96"/>
      <c r="Q87" s="96"/>
      <c r="R87" s="96"/>
      <c r="S87" s="96"/>
      <c r="T87" s="14">
        <v>0</v>
      </c>
      <c r="U87" s="14">
        <v>0</v>
      </c>
      <c r="V87" s="14">
        <v>0</v>
      </c>
      <c r="W87" s="14">
        <v>0</v>
      </c>
      <c r="X87" s="10">
        <v>93</v>
      </c>
      <c r="AA87" s="79" t="s">
        <v>130</v>
      </c>
      <c r="AB87" s="79">
        <v>8.1468450456464172</v>
      </c>
      <c r="AC87" s="79"/>
      <c r="AD87" s="79"/>
      <c r="AE87" s="79"/>
      <c r="AF87" s="79"/>
      <c r="AG87" s="79"/>
      <c r="AH87" s="79"/>
      <c r="AI87" s="79"/>
    </row>
    <row r="88" spans="1:35" ht="20.149999999999999" customHeight="1" thickBot="1">
      <c r="A88" s="105"/>
      <c r="B88" s="113"/>
      <c r="C88" s="143"/>
      <c r="D88" s="143"/>
      <c r="E88" s="136"/>
      <c r="F88" s="136"/>
      <c r="G88" s="96"/>
      <c r="H88" s="96"/>
      <c r="I88" s="96"/>
      <c r="J88" s="136"/>
      <c r="K88" s="113"/>
      <c r="L88" s="113"/>
      <c r="M88" s="113"/>
      <c r="N88" s="113"/>
      <c r="O88" s="113"/>
      <c r="P88" s="113"/>
      <c r="Q88" s="113"/>
      <c r="R88" s="113"/>
      <c r="S88" s="113"/>
      <c r="T88" s="14">
        <v>0</v>
      </c>
      <c r="U88" s="14">
        <v>0</v>
      </c>
      <c r="V88" s="14">
        <v>0</v>
      </c>
      <c r="W88" s="14">
        <v>0</v>
      </c>
      <c r="X88" s="10">
        <v>83</v>
      </c>
      <c r="AA88" s="148" t="s">
        <v>131</v>
      </c>
      <c r="AB88" s="148">
        <v>365</v>
      </c>
      <c r="AC88" s="79"/>
      <c r="AD88" s="79"/>
      <c r="AE88" s="79"/>
      <c r="AF88" s="79"/>
      <c r="AG88" s="79"/>
      <c r="AH88" s="79"/>
      <c r="AI88" s="79"/>
    </row>
    <row r="89" spans="1:35" ht="20.149999999999999" customHeight="1">
      <c r="A89" s="105"/>
      <c r="B89" s="113"/>
      <c r="C89" s="143"/>
      <c r="D89" s="143"/>
      <c r="E89" s="143"/>
      <c r="F89" s="113"/>
      <c r="G89" s="136"/>
      <c r="H89" s="136"/>
      <c r="I89" s="136"/>
      <c r="J89" s="113"/>
      <c r="K89" s="113"/>
      <c r="L89" s="113"/>
      <c r="M89" s="113"/>
      <c r="N89" s="113"/>
      <c r="O89" s="113"/>
      <c r="P89" s="113"/>
      <c r="Q89" s="113"/>
      <c r="R89" s="113"/>
      <c r="S89" s="113"/>
      <c r="T89" s="14">
        <v>0</v>
      </c>
      <c r="U89" s="14">
        <v>0</v>
      </c>
      <c r="V89" s="14">
        <v>0</v>
      </c>
      <c r="W89" s="14">
        <v>0</v>
      </c>
      <c r="X89" s="10">
        <v>79</v>
      </c>
      <c r="AA89" s="79"/>
      <c r="AB89" s="79"/>
      <c r="AC89" s="79"/>
      <c r="AD89" s="79"/>
      <c r="AE89" s="79"/>
      <c r="AF89" s="79"/>
      <c r="AG89" s="79"/>
      <c r="AH89" s="79"/>
      <c r="AI89" s="79"/>
    </row>
    <row r="90" spans="1:35" ht="20.149999999999999" customHeight="1" thickBot="1">
      <c r="A90" s="105"/>
      <c r="B90" s="113"/>
      <c r="C90" s="136"/>
      <c r="D90" s="136" t="s">
        <v>198</v>
      </c>
      <c r="E90" s="136"/>
      <c r="F90" s="136"/>
      <c r="G90" s="113"/>
      <c r="H90" s="113"/>
      <c r="I90" s="113"/>
      <c r="O90" s="14"/>
      <c r="P90" s="113"/>
      <c r="Q90" s="113"/>
      <c r="R90" s="113"/>
      <c r="S90" s="113"/>
      <c r="T90" s="14">
        <v>0</v>
      </c>
      <c r="U90" s="14">
        <v>0</v>
      </c>
      <c r="V90" s="14">
        <v>0</v>
      </c>
      <c r="W90" s="14">
        <v>0</v>
      </c>
      <c r="X90" s="10">
        <v>97</v>
      </c>
      <c r="AA90" s="79" t="s">
        <v>132</v>
      </c>
      <c r="AB90" s="79"/>
      <c r="AC90" s="79"/>
      <c r="AD90" s="79"/>
      <c r="AE90" s="79"/>
      <c r="AF90" s="79"/>
      <c r="AG90" s="79"/>
      <c r="AH90" s="79"/>
      <c r="AI90" s="79"/>
    </row>
    <row r="91" spans="1:35" ht="20.149999999999999" customHeight="1">
      <c r="A91" s="105"/>
      <c r="B91" s="113"/>
      <c r="C91" s="136"/>
      <c r="D91" s="136"/>
      <c r="E91" s="136"/>
      <c r="F91" s="136"/>
      <c r="G91" s="136"/>
      <c r="H91" s="137"/>
      <c r="J91" s="147"/>
      <c r="K91" s="147"/>
      <c r="L91" s="147"/>
      <c r="M91" s="149"/>
      <c r="N91" s="14"/>
      <c r="O91" s="113"/>
      <c r="P91" s="113"/>
      <c r="Q91" s="113"/>
      <c r="R91" s="113"/>
      <c r="T91" s="14">
        <v>0</v>
      </c>
      <c r="U91" s="14">
        <v>0</v>
      </c>
      <c r="V91" s="14">
        <v>1</v>
      </c>
      <c r="W91" s="14">
        <v>0</v>
      </c>
      <c r="X91" s="10">
        <v>104</v>
      </c>
      <c r="Z91" s="155"/>
      <c r="AA91" s="155" t="s">
        <v>137</v>
      </c>
      <c r="AB91" s="155" t="s">
        <v>138</v>
      </c>
      <c r="AC91" s="155" t="s">
        <v>139</v>
      </c>
      <c r="AD91" s="155" t="s">
        <v>140</v>
      </c>
      <c r="AE91" s="155" t="s">
        <v>141</v>
      </c>
      <c r="AF91" s="79"/>
      <c r="AG91" s="79"/>
      <c r="AH91" s="79"/>
    </row>
    <row r="92" spans="1:35" ht="20.149999999999999" customHeight="1">
      <c r="A92" s="105"/>
      <c r="B92" s="144"/>
      <c r="C92" s="149"/>
      <c r="D92" s="149" t="s">
        <v>111</v>
      </c>
      <c r="E92" s="149" t="s">
        <v>117</v>
      </c>
      <c r="F92" s="149" t="s">
        <v>118</v>
      </c>
      <c r="G92" s="136"/>
      <c r="H92" s="137"/>
      <c r="J92" s="236" t="s">
        <v>221</v>
      </c>
      <c r="K92" s="14"/>
      <c r="L92" s="144"/>
      <c r="M92" s="144"/>
      <c r="N92" s="144"/>
      <c r="O92" s="144"/>
      <c r="T92" s="14">
        <v>0</v>
      </c>
      <c r="U92" s="14">
        <v>0</v>
      </c>
      <c r="V92" s="14">
        <v>1</v>
      </c>
      <c r="W92" s="14">
        <v>0</v>
      </c>
      <c r="X92" s="10">
        <v>49</v>
      </c>
      <c r="Y92" s="79">
        <v>253637.93786120904</v>
      </c>
      <c r="Z92" s="79">
        <v>31704.74223265113</v>
      </c>
      <c r="AA92" s="79">
        <v>477.68908125979755</v>
      </c>
      <c r="AB92" s="79">
        <v>3.2138055836226077E-185</v>
      </c>
      <c r="AC92" s="79"/>
      <c r="AD92" s="79"/>
      <c r="AE92" s="79"/>
    </row>
    <row r="93" spans="1:35" ht="20.149999999999999" customHeight="1">
      <c r="A93" s="113"/>
      <c r="B93" s="113"/>
      <c r="C93" s="150"/>
      <c r="D93" s="150"/>
      <c r="E93" s="150"/>
      <c r="F93" s="150"/>
      <c r="G93" s="149" t="s">
        <v>116</v>
      </c>
      <c r="H93" s="149" t="s">
        <v>197</v>
      </c>
      <c r="J93" s="236" t="s">
        <v>222</v>
      </c>
      <c r="K93" s="14"/>
      <c r="L93" s="113"/>
      <c r="M93" s="113"/>
      <c r="N93" s="113"/>
      <c r="O93" s="113"/>
      <c r="T93" s="14">
        <v>0</v>
      </c>
      <c r="U93" s="14">
        <v>0</v>
      </c>
      <c r="V93" s="14">
        <v>1</v>
      </c>
      <c r="W93" s="14">
        <v>0</v>
      </c>
      <c r="X93" s="10">
        <v>58</v>
      </c>
      <c r="Y93" s="79">
        <v>23628.105974407394</v>
      </c>
      <c r="Z93" s="79">
        <v>66.371084197773584</v>
      </c>
      <c r="AA93" s="79"/>
      <c r="AB93" s="79"/>
      <c r="AC93" s="79"/>
      <c r="AD93" s="79"/>
      <c r="AE93" s="79"/>
    </row>
    <row r="94" spans="1:35" s="96" customFormat="1" ht="19" thickBot="1">
      <c r="B94" s="113"/>
      <c r="C94" s="150" t="s">
        <v>185</v>
      </c>
      <c r="D94" s="151">
        <v>2.7397260273972601E-2</v>
      </c>
      <c r="E94" s="151">
        <v>0.21917808219178081</v>
      </c>
      <c r="F94" s="151">
        <v>0.22191780821917809</v>
      </c>
      <c r="G94" s="150"/>
      <c r="H94" s="150"/>
      <c r="I94" s="97"/>
      <c r="J94" s="236" t="s">
        <v>223</v>
      </c>
      <c r="K94" s="14"/>
      <c r="L94" s="113"/>
      <c r="M94" s="113"/>
      <c r="N94" s="113"/>
      <c r="O94" s="113"/>
      <c r="T94" s="14">
        <v>0</v>
      </c>
      <c r="U94" s="14">
        <v>0</v>
      </c>
      <c r="V94" s="14">
        <v>0</v>
      </c>
      <c r="W94" s="14">
        <v>0</v>
      </c>
      <c r="X94" s="10">
        <v>72</v>
      </c>
      <c r="Y94" s="148">
        <v>277266.04383561644</v>
      </c>
      <c r="Z94" s="148"/>
      <c r="AA94" s="148"/>
      <c r="AB94" s="148"/>
      <c r="AC94" s="79"/>
      <c r="AD94" s="79"/>
      <c r="AE94" s="79"/>
    </row>
    <row r="95" spans="1:35" ht="20.149999999999999" customHeight="1" thickBot="1">
      <c r="A95" s="113"/>
      <c r="B95" s="113"/>
      <c r="C95" s="150" t="s">
        <v>130</v>
      </c>
      <c r="D95" s="151">
        <v>8.5559969334946147E-3</v>
      </c>
      <c r="E95" s="151">
        <v>2.1683224543165246E-2</v>
      </c>
      <c r="F95" s="151">
        <v>2.1780012425347255E-2</v>
      </c>
      <c r="G95" s="151">
        <v>0.10684931506849316</v>
      </c>
      <c r="H95" s="151">
        <v>68.104109589041101</v>
      </c>
      <c r="I95" s="96"/>
      <c r="J95" s="236" t="s">
        <v>224</v>
      </c>
      <c r="K95" s="14"/>
      <c r="L95" s="113"/>
      <c r="M95" s="113"/>
      <c r="N95" s="113"/>
      <c r="O95" s="113"/>
      <c r="T95" s="14">
        <v>0</v>
      </c>
      <c r="U95" s="14">
        <v>0</v>
      </c>
      <c r="V95" s="14">
        <v>0</v>
      </c>
      <c r="W95" s="14">
        <v>0</v>
      </c>
      <c r="X95" s="10">
        <v>89</v>
      </c>
      <c r="Y95" s="79"/>
      <c r="Z95" s="79"/>
      <c r="AA95" s="79"/>
      <c r="AB95" s="79"/>
      <c r="AC95" s="79"/>
      <c r="AD95" s="79"/>
      <c r="AE95" s="79"/>
    </row>
    <row r="96" spans="1:35" ht="20.149999999999999" customHeight="1">
      <c r="A96" s="113"/>
      <c r="B96" s="113"/>
      <c r="C96" s="150" t="s">
        <v>186</v>
      </c>
      <c r="D96" s="151">
        <v>0</v>
      </c>
      <c r="E96" s="151">
        <v>0</v>
      </c>
      <c r="F96" s="151">
        <v>0</v>
      </c>
      <c r="G96" s="151">
        <v>1.6191890092710454E-2</v>
      </c>
      <c r="H96" s="151">
        <v>1.4446120023694451</v>
      </c>
      <c r="J96" s="236" t="s">
        <v>225</v>
      </c>
      <c r="K96" s="14"/>
      <c r="L96" s="113"/>
      <c r="M96" s="113"/>
      <c r="N96" s="113"/>
      <c r="O96" s="113"/>
      <c r="T96" s="14">
        <v>0</v>
      </c>
      <c r="U96" s="14">
        <v>0</v>
      </c>
      <c r="V96" s="14">
        <v>0</v>
      </c>
      <c r="W96" s="14">
        <v>0</v>
      </c>
      <c r="X96" s="10">
        <v>96</v>
      </c>
      <c r="Y96" s="155" t="s">
        <v>130</v>
      </c>
      <c r="Z96" s="155" t="s">
        <v>143</v>
      </c>
      <c r="AA96" s="155" t="s">
        <v>144</v>
      </c>
      <c r="AB96" s="155" t="s">
        <v>145</v>
      </c>
      <c r="AC96" s="155" t="s">
        <v>146</v>
      </c>
      <c r="AD96" s="155" t="s">
        <v>147</v>
      </c>
      <c r="AE96" s="155" t="s">
        <v>148</v>
      </c>
    </row>
    <row r="97" spans="1:35" ht="20.149999999999999" customHeight="1">
      <c r="A97" s="113"/>
      <c r="B97" s="113"/>
      <c r="C97" s="150" t="s">
        <v>187</v>
      </c>
      <c r="D97" s="151">
        <v>0</v>
      </c>
      <c r="E97" s="151">
        <v>0</v>
      </c>
      <c r="F97" s="151">
        <v>0</v>
      </c>
      <c r="G97" s="151">
        <v>0</v>
      </c>
      <c r="H97" s="151">
        <v>75</v>
      </c>
      <c r="J97" s="236" t="s">
        <v>226</v>
      </c>
      <c r="K97" s="14"/>
      <c r="L97" s="113"/>
      <c r="M97" s="113"/>
      <c r="N97" s="113"/>
      <c r="O97" s="113"/>
      <c r="T97" s="14">
        <v>0</v>
      </c>
      <c r="U97" s="14">
        <v>0</v>
      </c>
      <c r="V97" s="14">
        <v>0</v>
      </c>
      <c r="W97" s="14">
        <v>0</v>
      </c>
      <c r="X97" s="10">
        <v>96</v>
      </c>
      <c r="Y97" s="79">
        <v>2.1663843982486775</v>
      </c>
      <c r="Z97" s="79">
        <v>38.564605579863191</v>
      </c>
      <c r="AA97" s="79">
        <v>3.6075664206160733E-129</v>
      </c>
      <c r="AB97" s="79">
        <v>79.2852399863865</v>
      </c>
      <c r="AC97" s="79">
        <v>87.80627971927251</v>
      </c>
      <c r="AD97" s="79">
        <v>79.2852399863865</v>
      </c>
      <c r="AE97" s="79">
        <v>87.80627971927251</v>
      </c>
    </row>
    <row r="98" spans="1:35" ht="20.149999999999999" customHeight="1">
      <c r="A98" s="113"/>
      <c r="B98" s="113"/>
      <c r="C98" s="150" t="s">
        <v>188</v>
      </c>
      <c r="D98" s="151">
        <v>0.16346209189588506</v>
      </c>
      <c r="E98" s="151">
        <v>0.41425742323476006</v>
      </c>
      <c r="F98" s="151">
        <v>0.41610655312746814</v>
      </c>
      <c r="G98" s="151">
        <v>0</v>
      </c>
      <c r="H98" s="151">
        <v>96</v>
      </c>
      <c r="J98" s="236" t="s">
        <v>227</v>
      </c>
      <c r="K98" s="14"/>
      <c r="L98" s="113"/>
      <c r="M98" s="113"/>
      <c r="N98" s="113"/>
      <c r="O98" s="113"/>
      <c r="T98" s="14">
        <v>0</v>
      </c>
      <c r="U98" s="14">
        <v>0</v>
      </c>
      <c r="V98" s="14">
        <v>0</v>
      </c>
      <c r="W98" s="14">
        <v>1</v>
      </c>
      <c r="X98" s="10">
        <v>100</v>
      </c>
      <c r="Y98" s="79">
        <v>1.0163214381627974</v>
      </c>
      <c r="Z98" s="79">
        <v>-0.55933513155231074</v>
      </c>
      <c r="AA98" s="159">
        <v>0.57628473210562681</v>
      </c>
      <c r="AB98" s="79">
        <v>-2.5672128368108891</v>
      </c>
      <c r="AC98" s="79">
        <v>1.4302842661824453</v>
      </c>
      <c r="AD98" s="79">
        <v>-2.5672128368108891</v>
      </c>
      <c r="AE98" s="79">
        <v>1.4302842661824453</v>
      </c>
    </row>
    <row r="99" spans="1:35" s="145" customFormat="1" ht="20.149999999999999" customHeight="1">
      <c r="A99" s="144"/>
      <c r="B99" s="113"/>
      <c r="C99" s="150" t="s">
        <v>189</v>
      </c>
      <c r="D99" s="151">
        <v>2.6719855486978777E-2</v>
      </c>
      <c r="E99" s="151">
        <v>0.17160921270510313</v>
      </c>
      <c r="F99" s="151">
        <v>0.17314466355562244</v>
      </c>
      <c r="G99" s="151">
        <v>0.30934562586637854</v>
      </c>
      <c r="H99" s="151">
        <v>27.599273552890807</v>
      </c>
      <c r="I99" s="97"/>
      <c r="J99" s="236" t="s">
        <v>228</v>
      </c>
      <c r="K99" s="14"/>
      <c r="L99" s="113"/>
      <c r="M99" s="113"/>
      <c r="N99" s="113"/>
      <c r="O99" s="113"/>
      <c r="T99" s="14">
        <v>0</v>
      </c>
      <c r="U99" s="14">
        <v>0</v>
      </c>
      <c r="V99" s="14">
        <v>0</v>
      </c>
      <c r="W99" s="14">
        <v>1</v>
      </c>
      <c r="X99" s="10">
        <v>108</v>
      </c>
      <c r="Y99" s="79">
        <v>2.6203236650308961</v>
      </c>
      <c r="Z99" s="79">
        <v>2.0748191611584361</v>
      </c>
      <c r="AA99" s="79">
        <v>3.872125923430484E-2</v>
      </c>
      <c r="AB99" s="79">
        <v>0.28343822535623264</v>
      </c>
      <c r="AC99" s="79">
        <v>10.589957271929773</v>
      </c>
      <c r="AD99" s="79">
        <v>0.28343822535623264</v>
      </c>
      <c r="AE99" s="79">
        <v>10.589957271929773</v>
      </c>
    </row>
    <row r="100" spans="1:35" ht="20.149999999999999" customHeight="1">
      <c r="A100" s="113"/>
      <c r="B100" s="113"/>
      <c r="C100" s="150" t="s">
        <v>190</v>
      </c>
      <c r="D100" s="151">
        <v>31.980980995787075</v>
      </c>
      <c r="E100" s="151">
        <v>-0.14234730129278983</v>
      </c>
      <c r="F100" s="151">
        <v>-0.19488184492442739</v>
      </c>
      <c r="G100" s="151">
        <v>9.5694716242661459E-2</v>
      </c>
      <c r="H100" s="151">
        <v>761.71990064729789</v>
      </c>
      <c r="I100" s="145"/>
      <c r="J100" s="236" t="s">
        <v>229</v>
      </c>
      <c r="K100" s="14"/>
      <c r="L100" s="113"/>
      <c r="M100" s="113"/>
      <c r="N100" s="113"/>
      <c r="O100" s="113"/>
      <c r="T100" s="14">
        <v>0</v>
      </c>
      <c r="U100" s="14">
        <v>0</v>
      </c>
      <c r="V100" s="14">
        <v>0</v>
      </c>
      <c r="W100" s="14">
        <v>1</v>
      </c>
      <c r="X100" s="10">
        <v>110</v>
      </c>
      <c r="Y100" s="79">
        <v>1.0851993086699583</v>
      </c>
      <c r="Z100" s="79">
        <v>1.011223535932021</v>
      </c>
      <c r="AA100" s="79">
        <v>0.31259624524422674</v>
      </c>
      <c r="AB100" s="79">
        <v>-1.0368281330955647</v>
      </c>
      <c r="AC100" s="79">
        <v>3.2315862973040046</v>
      </c>
      <c r="AD100" s="79">
        <v>-1.0368281330955647</v>
      </c>
      <c r="AE100" s="79">
        <v>3.2315862973040046</v>
      </c>
    </row>
    <row r="101" spans="1:35" ht="20.149999999999999" customHeight="1">
      <c r="A101" s="113"/>
      <c r="B101" s="113"/>
      <c r="C101" s="150" t="s">
        <v>191</v>
      </c>
      <c r="D101" s="151">
        <v>5.8142729737354255</v>
      </c>
      <c r="E101" s="151">
        <v>1.3632544894457632</v>
      </c>
      <c r="F101" s="151">
        <v>1.343955402611575</v>
      </c>
      <c r="G101" s="151">
        <v>4.5571879555789394</v>
      </c>
      <c r="H101" s="151">
        <v>-1.0830316996600871</v>
      </c>
      <c r="J101" s="236" t="s">
        <v>230</v>
      </c>
      <c r="K101" s="14"/>
      <c r="L101" s="113"/>
      <c r="M101" s="113"/>
      <c r="N101" s="113"/>
      <c r="O101" s="113"/>
      <c r="T101" s="14">
        <v>0</v>
      </c>
      <c r="U101" s="14">
        <v>0</v>
      </c>
      <c r="V101" s="14">
        <v>0</v>
      </c>
      <c r="W101" s="14">
        <v>1</v>
      </c>
      <c r="X101" s="10">
        <v>102</v>
      </c>
      <c r="Y101" s="79">
        <v>2.4183307088260273</v>
      </c>
      <c r="Z101" s="79">
        <v>-1.3554795865213278</v>
      </c>
      <c r="AA101" s="79">
        <v>0.17612412518917492</v>
      </c>
      <c r="AB101" s="79">
        <v>-8.0340079862049514</v>
      </c>
      <c r="AC101" s="79">
        <v>1.4780121676622846</v>
      </c>
      <c r="AD101" s="79">
        <v>-8.0340079862049514</v>
      </c>
      <c r="AE101" s="79">
        <v>1.4780121676622846</v>
      </c>
    </row>
    <row r="102" spans="1:35" ht="20.149999999999999" customHeight="1">
      <c r="A102" s="113"/>
      <c r="B102" s="113"/>
      <c r="C102" s="150" t="s">
        <v>192</v>
      </c>
      <c r="D102" s="151">
        <v>1</v>
      </c>
      <c r="E102" s="151">
        <v>1</v>
      </c>
      <c r="F102" s="151">
        <v>1</v>
      </c>
      <c r="G102" s="151">
        <v>2.5558260492648603</v>
      </c>
      <c r="H102" s="151">
        <v>-0.36188671845723069</v>
      </c>
      <c r="J102" s="236" t="s">
        <v>231</v>
      </c>
      <c r="K102" s="14"/>
      <c r="L102" s="113"/>
      <c r="M102" s="113"/>
      <c r="N102" s="113"/>
      <c r="O102" s="113"/>
      <c r="T102" s="96">
        <v>0</v>
      </c>
      <c r="U102" s="96">
        <v>0</v>
      </c>
      <c r="V102" s="96">
        <v>0</v>
      </c>
      <c r="W102" s="96">
        <v>0</v>
      </c>
      <c r="X102" s="10">
        <v>91</v>
      </c>
      <c r="Y102" s="79">
        <v>1.1532640478709761</v>
      </c>
      <c r="Z102" s="79">
        <v>-50.513714175636785</v>
      </c>
      <c r="AA102" s="79">
        <v>2.0049001176173975E-164</v>
      </c>
      <c r="AB102" s="79">
        <v>-60.523717217415957</v>
      </c>
      <c r="AC102" s="79">
        <v>-55.987583748968824</v>
      </c>
      <c r="AD102" s="79">
        <v>-60.523717217415957</v>
      </c>
      <c r="AE102" s="79">
        <v>-55.987583748968824</v>
      </c>
    </row>
    <row r="103" spans="1:35" ht="20.149999999999999" customHeight="1">
      <c r="A103" s="113"/>
      <c r="B103" s="113"/>
      <c r="C103" s="150" t="s">
        <v>193</v>
      </c>
      <c r="D103" s="151">
        <v>0</v>
      </c>
      <c r="E103" s="151">
        <v>0</v>
      </c>
      <c r="F103" s="151">
        <v>0</v>
      </c>
      <c r="G103" s="151">
        <v>1</v>
      </c>
      <c r="H103" s="151">
        <v>113</v>
      </c>
      <c r="K103" s="14"/>
      <c r="L103" s="113"/>
      <c r="M103" s="113"/>
      <c r="N103" s="113"/>
      <c r="O103" s="113"/>
      <c r="T103" s="14">
        <v>0</v>
      </c>
      <c r="U103" s="14">
        <v>0</v>
      </c>
      <c r="V103" s="14">
        <v>1</v>
      </c>
      <c r="W103" s="14">
        <v>0</v>
      </c>
      <c r="X103" s="10">
        <v>48</v>
      </c>
      <c r="Y103" s="79">
        <v>1.1439479281725264</v>
      </c>
      <c r="Z103" s="79">
        <v>-28.191747345053276</v>
      </c>
      <c r="AA103" s="79">
        <v>1.0175887588152793E-92</v>
      </c>
      <c r="AB103" s="79">
        <v>-34.499636154400235</v>
      </c>
      <c r="AC103" s="79">
        <v>-30.000145779473797</v>
      </c>
      <c r="AD103" s="79">
        <v>-34.499636154400235</v>
      </c>
      <c r="AE103" s="79">
        <v>-30.000145779473797</v>
      </c>
    </row>
    <row r="104" spans="1:35" ht="20.149999999999999" customHeight="1">
      <c r="A104" s="113"/>
      <c r="B104" s="113"/>
      <c r="C104" s="150" t="s">
        <v>194</v>
      </c>
      <c r="D104" s="151">
        <v>1</v>
      </c>
      <c r="E104" s="151">
        <v>1</v>
      </c>
      <c r="F104" s="151">
        <v>1</v>
      </c>
      <c r="G104" s="151">
        <v>0</v>
      </c>
      <c r="H104" s="151">
        <v>8</v>
      </c>
      <c r="J104" s="149"/>
      <c r="K104" s="149"/>
      <c r="L104" s="149"/>
      <c r="M104" s="149"/>
      <c r="N104" s="149"/>
      <c r="O104" s="149"/>
      <c r="T104" s="14">
        <v>0</v>
      </c>
      <c r="U104" s="14">
        <v>0</v>
      </c>
      <c r="V104" s="14">
        <v>1</v>
      </c>
      <c r="W104" s="14">
        <v>0</v>
      </c>
      <c r="X104" s="10">
        <v>58</v>
      </c>
      <c r="Y104" s="79">
        <v>1.4542292231206331</v>
      </c>
      <c r="Z104" s="79">
        <v>13.611743638523375</v>
      </c>
      <c r="AA104" s="79">
        <v>2.9204903888312536E-34</v>
      </c>
      <c r="AB104" s="79">
        <v>16.934635482079795</v>
      </c>
      <c r="AC104" s="79">
        <v>22.654555271454338</v>
      </c>
      <c r="AD104" s="79">
        <v>16.934635482079795</v>
      </c>
      <c r="AE104" s="79">
        <v>22.654555271454338</v>
      </c>
    </row>
    <row r="105" spans="1:35" ht="20.149999999999999" customHeight="1" thickBot="1">
      <c r="A105" s="113"/>
      <c r="B105" s="113"/>
      <c r="C105" s="150" t="s">
        <v>195</v>
      </c>
      <c r="D105" s="151">
        <v>10</v>
      </c>
      <c r="E105" s="151">
        <v>80</v>
      </c>
      <c r="F105" s="151">
        <v>81</v>
      </c>
      <c r="G105" s="151">
        <v>1</v>
      </c>
      <c r="H105" s="151">
        <v>121</v>
      </c>
      <c r="J105" s="151"/>
      <c r="K105" s="151"/>
      <c r="L105" s="151"/>
      <c r="M105" s="151"/>
      <c r="N105" s="151"/>
      <c r="O105" s="151"/>
      <c r="T105" s="14">
        <v>0</v>
      </c>
      <c r="U105" s="14">
        <v>0</v>
      </c>
      <c r="V105" s="14">
        <v>0</v>
      </c>
      <c r="W105" s="14">
        <v>0</v>
      </c>
      <c r="X105" s="10">
        <v>73</v>
      </c>
      <c r="Y105" s="148">
        <v>3.6547567313075215E-2</v>
      </c>
      <c r="Z105" s="148">
        <v>0.90320554757406002</v>
      </c>
      <c r="AA105" s="148">
        <v>0.36702754835625373</v>
      </c>
      <c r="AB105" s="148">
        <v>-3.8866307533761857E-2</v>
      </c>
      <c r="AC105" s="148">
        <v>0.10488623862877369</v>
      </c>
      <c r="AD105" s="148">
        <v>-3.8866307533761857E-2</v>
      </c>
      <c r="AE105" s="148">
        <v>0.10488623862877369</v>
      </c>
    </row>
    <row r="106" spans="1:35" ht="20.149999999999999" customHeight="1">
      <c r="A106" s="113"/>
      <c r="B106" s="113"/>
      <c r="C106" s="150" t="s">
        <v>196</v>
      </c>
      <c r="D106" s="151">
        <v>365</v>
      </c>
      <c r="E106" s="151">
        <v>365</v>
      </c>
      <c r="F106" s="151">
        <v>365</v>
      </c>
      <c r="G106" s="151">
        <v>39</v>
      </c>
      <c r="H106" s="151">
        <v>24858</v>
      </c>
      <c r="K106" s="150"/>
      <c r="L106" s="151"/>
      <c r="M106" s="151"/>
      <c r="N106" s="151"/>
      <c r="O106" s="151"/>
      <c r="P106" s="151"/>
      <c r="Q106" s="151"/>
      <c r="R106" s="151"/>
      <c r="S106" s="151"/>
      <c r="T106" s="14">
        <v>1</v>
      </c>
      <c r="U106" s="14">
        <v>0</v>
      </c>
      <c r="V106" s="14">
        <v>0</v>
      </c>
      <c r="W106" s="14">
        <v>1</v>
      </c>
      <c r="X106" s="10">
        <v>104</v>
      </c>
      <c r="AA106" s="79"/>
      <c r="AB106" s="79"/>
      <c r="AC106" s="79"/>
      <c r="AD106" s="79" t="s">
        <v>124</v>
      </c>
      <c r="AE106" s="79">
        <f>MAX(AA97:AA105)</f>
        <v>0.57628473210562681</v>
      </c>
      <c r="AF106" s="79"/>
      <c r="AG106" s="79"/>
      <c r="AH106" s="79"/>
      <c r="AI106" s="79"/>
    </row>
    <row r="107" spans="1:35" ht="20.149999999999999" customHeight="1">
      <c r="A107" s="113"/>
      <c r="B107" s="113"/>
      <c r="C107" s="14"/>
      <c r="D107" s="136"/>
      <c r="G107" s="151">
        <v>365</v>
      </c>
      <c r="H107" s="151">
        <v>365</v>
      </c>
      <c r="K107" s="150"/>
      <c r="L107" s="151"/>
      <c r="M107" s="151"/>
      <c r="N107" s="151"/>
      <c r="O107" s="151"/>
      <c r="P107" s="151"/>
      <c r="Q107" s="151"/>
      <c r="R107" s="151"/>
      <c r="S107" s="151"/>
      <c r="T107" s="14">
        <v>0</v>
      </c>
      <c r="U107" s="14">
        <v>0</v>
      </c>
      <c r="V107" s="14">
        <v>0</v>
      </c>
      <c r="W107" s="14">
        <v>1</v>
      </c>
      <c r="X107" s="10">
        <v>101</v>
      </c>
      <c r="AA107" s="79"/>
      <c r="AB107" s="79"/>
      <c r="AC107" s="79"/>
      <c r="AD107" s="79"/>
      <c r="AE107" s="79"/>
      <c r="AF107" s="79"/>
      <c r="AG107" s="79"/>
      <c r="AH107" s="79"/>
      <c r="AI107" s="79"/>
    </row>
    <row r="108" spans="1:35" ht="20.149999999999999" customHeight="1">
      <c r="A108" s="113"/>
      <c r="B108" s="113"/>
      <c r="C108" s="14"/>
      <c r="D108" s="136"/>
      <c r="K108" s="150"/>
      <c r="L108" s="151"/>
      <c r="M108" s="151"/>
      <c r="N108" s="151"/>
      <c r="O108" s="151"/>
      <c r="P108" s="151"/>
      <c r="Q108" s="151"/>
      <c r="R108" s="151"/>
      <c r="S108" s="151"/>
      <c r="T108" s="14">
        <v>0</v>
      </c>
      <c r="U108" s="14">
        <v>0</v>
      </c>
      <c r="V108" s="14">
        <v>0</v>
      </c>
      <c r="W108" s="14">
        <v>0</v>
      </c>
      <c r="X108" s="10">
        <v>91</v>
      </c>
      <c r="AA108" s="79" t="s">
        <v>152</v>
      </c>
      <c r="AB108" s="79"/>
      <c r="AC108" s="79"/>
      <c r="AD108" s="79"/>
      <c r="AE108" s="79"/>
      <c r="AF108" s="79"/>
      <c r="AG108" s="79"/>
      <c r="AH108" s="79"/>
      <c r="AI108" s="79"/>
    </row>
    <row r="109" spans="1:35" ht="20.149999999999999" customHeight="1">
      <c r="A109" s="113"/>
      <c r="B109" s="113"/>
      <c r="C109" s="14"/>
      <c r="D109" s="136"/>
      <c r="K109" s="150"/>
      <c r="L109" s="151"/>
      <c r="M109" s="151"/>
      <c r="N109" s="151"/>
      <c r="O109" s="151"/>
      <c r="P109" s="151"/>
      <c r="Q109" s="151"/>
      <c r="R109" s="151"/>
      <c r="S109" s="151"/>
      <c r="T109" s="14">
        <v>0</v>
      </c>
      <c r="U109" s="14">
        <v>0</v>
      </c>
      <c r="V109" s="14">
        <v>0</v>
      </c>
      <c r="W109" s="14">
        <v>0</v>
      </c>
      <c r="X109" s="10">
        <v>95</v>
      </c>
    </row>
    <row r="110" spans="1:35" ht="20.149999999999999" customHeight="1">
      <c r="A110" s="113"/>
      <c r="B110" s="113"/>
      <c r="C110" s="14"/>
      <c r="D110"/>
      <c r="E110"/>
      <c r="F110"/>
      <c r="J110"/>
      <c r="K110" s="150"/>
      <c r="L110" s="151"/>
      <c r="M110" s="151"/>
      <c r="N110" s="151"/>
      <c r="O110" s="151"/>
      <c r="P110" s="151"/>
      <c r="Q110" s="151"/>
      <c r="R110" s="151"/>
      <c r="S110" s="151"/>
      <c r="T110" s="14">
        <v>0</v>
      </c>
      <c r="U110" s="14">
        <v>0</v>
      </c>
      <c r="V110" s="14">
        <v>1</v>
      </c>
      <c r="W110" s="14">
        <v>0</v>
      </c>
      <c r="X110" s="10">
        <v>48</v>
      </c>
    </row>
    <row r="111" spans="1:35" ht="20.149999999999999" customHeight="1" thickBot="1">
      <c r="A111" s="113"/>
      <c r="B111" s="113"/>
      <c r="C111" s="14"/>
      <c r="D111"/>
      <c r="E111"/>
      <c r="F111"/>
      <c r="G111"/>
      <c r="H111"/>
      <c r="I111"/>
      <c r="J111"/>
      <c r="K111" s="150"/>
      <c r="L111" s="151"/>
      <c r="M111" s="151"/>
      <c r="N111" s="151"/>
      <c r="O111" s="151"/>
      <c r="P111" s="151"/>
      <c r="Q111" s="151"/>
      <c r="R111" s="151"/>
      <c r="S111" s="151"/>
      <c r="T111" s="14">
        <v>0</v>
      </c>
      <c r="U111" s="14">
        <v>0</v>
      </c>
      <c r="V111" s="14">
        <v>0</v>
      </c>
      <c r="W111" s="14">
        <v>0</v>
      </c>
      <c r="X111" s="10">
        <v>83</v>
      </c>
      <c r="AA111"/>
      <c r="AB111"/>
      <c r="AC111"/>
      <c r="AD111"/>
      <c r="AE111"/>
      <c r="AF111"/>
      <c r="AG111"/>
      <c r="AH111"/>
      <c r="AI111"/>
    </row>
    <row r="112" spans="1:35" ht="20.149999999999999" customHeight="1">
      <c r="A112" s="113"/>
      <c r="B112" s="113"/>
      <c r="C112" s="14"/>
      <c r="D112" s="152"/>
      <c r="E112" s="152"/>
      <c r="F112"/>
      <c r="G112"/>
      <c r="H112"/>
      <c r="I112"/>
      <c r="J112"/>
      <c r="K112" s="150"/>
      <c r="L112" s="151"/>
      <c r="M112" s="151"/>
      <c r="N112" s="151"/>
      <c r="O112" s="151"/>
      <c r="P112" s="151"/>
      <c r="Q112" s="151"/>
      <c r="R112" s="151"/>
      <c r="S112" s="151"/>
      <c r="T112" s="14">
        <v>0</v>
      </c>
      <c r="U112" s="14">
        <v>0</v>
      </c>
      <c r="V112" s="14">
        <v>0</v>
      </c>
      <c r="W112" s="14">
        <v>0</v>
      </c>
      <c r="X112" s="10">
        <v>87</v>
      </c>
      <c r="AA112"/>
      <c r="AB112"/>
      <c r="AC112"/>
      <c r="AD112"/>
      <c r="AE112"/>
      <c r="AF112"/>
      <c r="AG112"/>
      <c r="AH112"/>
      <c r="AI112"/>
    </row>
    <row r="113" spans="1:35" ht="20.149999999999999" customHeight="1">
      <c r="A113" s="113"/>
      <c r="B113" s="113"/>
      <c r="C113" s="14"/>
      <c r="D113"/>
      <c r="E113"/>
      <c r="F113"/>
      <c r="G113"/>
      <c r="H113"/>
      <c r="I113"/>
      <c r="J113"/>
      <c r="K113" s="150"/>
      <c r="L113" s="151"/>
      <c r="M113" s="151"/>
      <c r="N113" s="151"/>
      <c r="O113" s="151"/>
      <c r="P113" s="151"/>
      <c r="Q113" s="151"/>
      <c r="R113" s="151"/>
      <c r="S113" s="151"/>
      <c r="T113" s="14">
        <v>0</v>
      </c>
      <c r="U113" s="14">
        <v>0</v>
      </c>
      <c r="V113" s="14">
        <v>0</v>
      </c>
      <c r="W113" s="14">
        <v>0</v>
      </c>
      <c r="X113" s="10">
        <v>86</v>
      </c>
      <c r="AA113" s="79" t="s">
        <v>125</v>
      </c>
      <c r="AB113" s="79"/>
      <c r="AC113" s="79"/>
      <c r="AD113" s="79"/>
      <c r="AE113" s="79"/>
      <c r="AF113" s="79"/>
      <c r="AG113" s="79"/>
      <c r="AH113" s="79"/>
      <c r="AI113" s="79"/>
    </row>
    <row r="114" spans="1:35" ht="20.149999999999999" customHeight="1" thickBot="1">
      <c r="A114" s="113"/>
      <c r="B114" s="113"/>
      <c r="C114" s="14"/>
      <c r="D114"/>
      <c r="E114"/>
      <c r="F114"/>
      <c r="G114"/>
      <c r="H114"/>
      <c r="I114"/>
      <c r="J114"/>
      <c r="K114" s="150"/>
      <c r="L114" s="151"/>
      <c r="M114" s="151"/>
      <c r="N114" s="151"/>
      <c r="O114" s="151"/>
      <c r="P114" s="151"/>
      <c r="Q114" s="151"/>
      <c r="R114" s="151"/>
      <c r="S114" s="151"/>
      <c r="T114" s="14">
        <v>0</v>
      </c>
      <c r="U114" s="14">
        <v>0</v>
      </c>
      <c r="V114" s="14">
        <v>0</v>
      </c>
      <c r="W114" s="14">
        <v>0</v>
      </c>
      <c r="X114" s="10">
        <v>87</v>
      </c>
      <c r="AA114" s="79"/>
      <c r="AB114" s="79"/>
      <c r="AC114" s="79"/>
      <c r="AD114" s="79"/>
      <c r="AE114" s="79"/>
      <c r="AF114" s="79"/>
      <c r="AG114" s="79"/>
      <c r="AH114" s="79"/>
      <c r="AI114" s="79"/>
    </row>
    <row r="115" spans="1:35" ht="20.149999999999999" customHeight="1">
      <c r="A115" s="113"/>
      <c r="B115" s="113"/>
      <c r="C115" s="14"/>
      <c r="D115"/>
      <c r="E115"/>
      <c r="F115"/>
      <c r="G115"/>
      <c r="H115"/>
      <c r="I115"/>
      <c r="J115"/>
      <c r="K115"/>
      <c r="L115"/>
      <c r="O115" s="14"/>
      <c r="P115" s="113"/>
      <c r="Q115" s="113"/>
      <c r="R115" s="113"/>
      <c r="S115" s="113"/>
      <c r="T115" s="14">
        <v>0</v>
      </c>
      <c r="U115" s="14">
        <v>0</v>
      </c>
      <c r="V115" s="14">
        <v>0</v>
      </c>
      <c r="W115" s="14">
        <v>0</v>
      </c>
      <c r="X115" s="10">
        <v>84</v>
      </c>
      <c r="AA115" s="154" t="s">
        <v>126</v>
      </c>
      <c r="AB115" s="154"/>
      <c r="AC115" s="79"/>
      <c r="AD115" s="79"/>
      <c r="AE115" s="79"/>
      <c r="AF115" s="79"/>
      <c r="AG115" s="79"/>
      <c r="AH115" s="79"/>
      <c r="AI115" s="79"/>
    </row>
    <row r="116" spans="1:35" ht="20.149999999999999" customHeight="1">
      <c r="A116" s="113"/>
      <c r="B116" s="113"/>
      <c r="C116" s="14"/>
      <c r="D116"/>
      <c r="E116"/>
      <c r="F116"/>
      <c r="G116"/>
      <c r="H116"/>
      <c r="I116"/>
      <c r="J116"/>
      <c r="K116"/>
      <c r="L116"/>
      <c r="O116" s="14"/>
      <c r="P116" s="113"/>
      <c r="Q116" s="113"/>
      <c r="R116" s="113"/>
      <c r="S116" s="113"/>
      <c r="T116" s="14">
        <v>0</v>
      </c>
      <c r="U116" s="14">
        <v>0</v>
      </c>
      <c r="V116" s="14">
        <v>0</v>
      </c>
      <c r="W116" s="14">
        <v>0</v>
      </c>
      <c r="X116" s="10">
        <v>94</v>
      </c>
      <c r="AA116" s="79" t="s">
        <v>127</v>
      </c>
      <c r="AB116" s="79">
        <v>0.95640312396474225</v>
      </c>
      <c r="AC116" s="79"/>
      <c r="AD116" s="79"/>
      <c r="AE116" s="79"/>
      <c r="AF116" s="79"/>
      <c r="AG116" s="79"/>
      <c r="AH116" s="79"/>
      <c r="AI116" s="79"/>
    </row>
    <row r="117" spans="1:35" ht="20.149999999999999" customHeight="1" thickBot="1">
      <c r="A117" s="113"/>
      <c r="B117" s="113"/>
      <c r="C117" s="14"/>
      <c r="D117" s="146"/>
      <c r="E117" s="146"/>
      <c r="F117"/>
      <c r="G117"/>
      <c r="H117"/>
      <c r="I117"/>
      <c r="J117"/>
      <c r="K117"/>
      <c r="L117"/>
      <c r="O117" s="14"/>
      <c r="P117" s="113"/>
      <c r="Q117" s="113"/>
      <c r="R117" s="113"/>
      <c r="S117" s="113"/>
      <c r="T117" s="14">
        <v>0</v>
      </c>
      <c r="U117" s="14">
        <v>0</v>
      </c>
      <c r="V117" s="14">
        <v>0</v>
      </c>
      <c r="W117" s="14">
        <v>0</v>
      </c>
      <c r="X117" s="10">
        <v>78</v>
      </c>
      <c r="AA117" s="79" t="s">
        <v>128</v>
      </c>
      <c r="AB117" s="79">
        <v>0.91470693552951821</v>
      </c>
      <c r="AC117" s="79"/>
      <c r="AD117" s="79"/>
      <c r="AE117" s="79"/>
      <c r="AF117" s="79"/>
      <c r="AG117" s="79"/>
      <c r="AH117" s="79"/>
      <c r="AI117" s="79"/>
    </row>
    <row r="118" spans="1:35" ht="20.149999999999999" customHeight="1">
      <c r="A118" s="113"/>
      <c r="B118" s="113"/>
      <c r="C118" s="14"/>
      <c r="D118"/>
      <c r="E118"/>
      <c r="F118"/>
      <c r="G118"/>
      <c r="H118"/>
      <c r="I118"/>
      <c r="J118"/>
      <c r="K118"/>
      <c r="L118"/>
      <c r="O118" s="14"/>
      <c r="P118" s="113"/>
      <c r="Q118" s="113"/>
      <c r="R118" s="113"/>
      <c r="S118" s="113"/>
      <c r="T118" s="14">
        <v>0</v>
      </c>
      <c r="U118" s="14">
        <v>0</v>
      </c>
      <c r="V118" s="14">
        <v>1</v>
      </c>
      <c r="W118" s="14">
        <v>0</v>
      </c>
      <c r="X118" s="10">
        <v>53</v>
      </c>
      <c r="AA118" s="79" t="s">
        <v>129</v>
      </c>
      <c r="AB118" s="79">
        <v>0.91303452250068518</v>
      </c>
      <c r="AC118" s="79"/>
      <c r="AD118" s="79"/>
      <c r="AE118" s="79"/>
      <c r="AF118" s="79"/>
      <c r="AG118" s="79"/>
      <c r="AH118" s="79"/>
      <c r="AI118" s="79"/>
    </row>
    <row r="119" spans="1:35" ht="20.149999999999999" customHeight="1" thickBot="1">
      <c r="A119" s="113"/>
      <c r="B119" s="113"/>
      <c r="C119" s="14"/>
      <c r="D119"/>
      <c r="E119"/>
      <c r="F119"/>
      <c r="G119"/>
      <c r="H119"/>
      <c r="I119"/>
      <c r="J119"/>
      <c r="K119"/>
      <c r="L119"/>
      <c r="O119" s="14"/>
      <c r="P119" s="113"/>
      <c r="Q119" s="113"/>
      <c r="R119" s="113"/>
      <c r="S119" s="113"/>
      <c r="T119" s="14">
        <v>0</v>
      </c>
      <c r="U119" s="14">
        <v>0</v>
      </c>
      <c r="V119" s="14">
        <v>0</v>
      </c>
      <c r="W119" s="14">
        <v>0</v>
      </c>
      <c r="X119" s="10">
        <v>75</v>
      </c>
      <c r="AA119" s="79" t="s">
        <v>130</v>
      </c>
      <c r="AB119" s="79">
        <v>8.1390008527166824</v>
      </c>
      <c r="AC119" s="79"/>
      <c r="AD119" s="79"/>
      <c r="AE119" s="79"/>
      <c r="AF119" s="79"/>
      <c r="AG119" s="79"/>
      <c r="AH119" s="79"/>
      <c r="AI119" s="79"/>
    </row>
    <row r="120" spans="1:35" ht="20.149999999999999" customHeight="1" thickBot="1">
      <c r="A120" s="113"/>
      <c r="B120" s="113"/>
      <c r="C120" s="14"/>
      <c r="D120" s="147"/>
      <c r="E120" s="147"/>
      <c r="F120" s="147"/>
      <c r="G120"/>
      <c r="H120"/>
      <c r="I120"/>
      <c r="J120"/>
      <c r="K120"/>
      <c r="L120"/>
      <c r="O120" s="14"/>
      <c r="P120" s="113"/>
      <c r="Q120" s="113"/>
      <c r="R120" s="113"/>
      <c r="S120" s="113"/>
      <c r="T120" s="14">
        <v>0</v>
      </c>
      <c r="U120" s="14">
        <v>1</v>
      </c>
      <c r="V120" s="14">
        <v>0</v>
      </c>
      <c r="W120" s="14">
        <v>0</v>
      </c>
      <c r="X120" s="10">
        <v>12</v>
      </c>
      <c r="AA120" s="148" t="s">
        <v>131</v>
      </c>
      <c r="AB120" s="148">
        <v>365</v>
      </c>
      <c r="AC120" s="79"/>
      <c r="AD120" s="79"/>
      <c r="AE120" s="79"/>
      <c r="AF120" s="79"/>
      <c r="AG120" s="79"/>
      <c r="AH120" s="79"/>
      <c r="AI120" s="79"/>
    </row>
    <row r="121" spans="1:35" ht="20.149999999999999" customHeight="1">
      <c r="A121" s="113"/>
      <c r="B121" s="113"/>
      <c r="C121" s="14"/>
      <c r="D121"/>
      <c r="E121"/>
      <c r="F121"/>
      <c r="G121" s="147"/>
      <c r="H121" s="147"/>
      <c r="I121" s="147"/>
      <c r="J121"/>
      <c r="K121"/>
      <c r="L121"/>
      <c r="O121" s="14"/>
      <c r="P121" s="113"/>
      <c r="Q121" s="113"/>
      <c r="R121" s="113"/>
      <c r="S121" s="113"/>
      <c r="T121" s="14">
        <v>0</v>
      </c>
      <c r="U121" s="14">
        <v>0</v>
      </c>
      <c r="V121" s="14">
        <v>1</v>
      </c>
      <c r="W121" s="14">
        <v>0</v>
      </c>
      <c r="X121" s="10">
        <v>67</v>
      </c>
      <c r="AA121" s="79"/>
      <c r="AB121" s="79"/>
      <c r="AC121" s="79"/>
      <c r="AD121" s="79"/>
      <c r="AE121" s="79"/>
      <c r="AF121" s="79"/>
      <c r="AG121" s="79"/>
      <c r="AH121" s="79"/>
      <c r="AI121" s="79"/>
    </row>
    <row r="122" spans="1:35" ht="20.149999999999999" customHeight="1" thickBot="1">
      <c r="A122" s="113"/>
      <c r="B122" s="113"/>
      <c r="C122" s="14"/>
      <c r="D122"/>
      <c r="E122"/>
      <c r="F122"/>
      <c r="G122"/>
      <c r="H122"/>
      <c r="I122"/>
      <c r="J122"/>
      <c r="K122"/>
      <c r="L122"/>
      <c r="O122" s="14"/>
      <c r="P122" s="113"/>
      <c r="Q122" s="113"/>
      <c r="R122" s="113"/>
      <c r="S122" s="113"/>
      <c r="T122" s="14">
        <v>0</v>
      </c>
      <c r="U122" s="14">
        <v>0</v>
      </c>
      <c r="V122" s="14">
        <v>0</v>
      </c>
      <c r="W122" s="14">
        <v>0</v>
      </c>
      <c r="X122" s="10">
        <v>73</v>
      </c>
      <c r="AA122" s="79" t="s">
        <v>132</v>
      </c>
      <c r="AB122" s="79"/>
      <c r="AC122" s="79"/>
      <c r="AD122" s="79"/>
      <c r="AE122" s="79"/>
      <c r="AF122" s="79"/>
      <c r="AG122" s="79"/>
      <c r="AH122" s="79"/>
      <c r="AI122" s="79"/>
    </row>
    <row r="123" spans="1:35" ht="20.149999999999999" customHeight="1" thickBot="1">
      <c r="A123" s="113"/>
      <c r="B123" s="113"/>
      <c r="C123" s="14"/>
      <c r="D123" s="146"/>
      <c r="E123" s="146"/>
      <c r="F123" s="146"/>
      <c r="G123"/>
      <c r="H123"/>
      <c r="I123"/>
      <c r="J123"/>
      <c r="K123"/>
      <c r="L123"/>
      <c r="O123" s="14"/>
      <c r="P123" s="113"/>
      <c r="Q123" s="113"/>
      <c r="R123" s="113"/>
      <c r="S123" s="113"/>
      <c r="T123" s="14">
        <v>0</v>
      </c>
      <c r="U123" s="14">
        <v>0</v>
      </c>
      <c r="V123" s="14">
        <v>0</v>
      </c>
      <c r="W123" s="14">
        <v>0</v>
      </c>
      <c r="X123" s="10">
        <v>81</v>
      </c>
      <c r="AA123" s="155"/>
      <c r="AB123" s="155" t="s">
        <v>137</v>
      </c>
      <c r="AC123" s="155" t="s">
        <v>138</v>
      </c>
      <c r="AD123" s="155" t="s">
        <v>139</v>
      </c>
      <c r="AE123" s="155" t="s">
        <v>140</v>
      </c>
      <c r="AF123" s="155" t="s">
        <v>141</v>
      </c>
      <c r="AG123" s="79"/>
      <c r="AH123" s="79"/>
      <c r="AI123" s="79"/>
    </row>
    <row r="124" spans="1:35" ht="20.149999999999999" customHeight="1" thickBot="1">
      <c r="A124" s="113"/>
      <c r="B124" s="113"/>
      <c r="C124" s="14"/>
      <c r="D124"/>
      <c r="E124"/>
      <c r="F124"/>
      <c r="G124" s="146"/>
      <c r="H124" s="146"/>
      <c r="I124" s="146"/>
      <c r="J124"/>
      <c r="K124"/>
      <c r="L124"/>
      <c r="O124" s="14"/>
      <c r="P124" s="113"/>
      <c r="Q124" s="113"/>
      <c r="R124" s="113"/>
      <c r="S124" s="113"/>
      <c r="T124" s="14">
        <v>0</v>
      </c>
      <c r="U124" s="14">
        <v>0</v>
      </c>
      <c r="V124" s="14">
        <v>0</v>
      </c>
      <c r="W124" s="14">
        <v>0</v>
      </c>
      <c r="X124" s="10">
        <v>83</v>
      </c>
      <c r="AA124" s="79" t="s">
        <v>133</v>
      </c>
      <c r="AB124" s="79">
        <v>7</v>
      </c>
      <c r="AC124" s="79">
        <v>253617.17328326977</v>
      </c>
      <c r="AD124" s="79">
        <v>36231.024754752827</v>
      </c>
      <c r="AE124" s="79">
        <v>546.93841757966209</v>
      </c>
      <c r="AF124" s="79">
        <v>1.5487182091102359E-186</v>
      </c>
      <c r="AG124" s="79"/>
      <c r="AH124" s="79"/>
      <c r="AI124" s="79"/>
    </row>
    <row r="125" spans="1:35" ht="20.149999999999999" customHeight="1" thickBot="1">
      <c r="A125" s="113"/>
      <c r="B125" s="113"/>
      <c r="C125" s="14"/>
      <c r="D125" s="147"/>
      <c r="E125" s="147"/>
      <c r="F125" s="147"/>
      <c r="G125"/>
      <c r="H125"/>
      <c r="I125"/>
      <c r="J125" s="147"/>
      <c r="K125" s="147"/>
      <c r="L125" s="147"/>
      <c r="O125" s="14"/>
      <c r="P125" s="113"/>
      <c r="Q125" s="113"/>
      <c r="R125" s="113"/>
      <c r="S125" s="113"/>
      <c r="T125" s="14">
        <v>0</v>
      </c>
      <c r="U125" s="14">
        <v>0</v>
      </c>
      <c r="V125" s="14">
        <v>0</v>
      </c>
      <c r="W125" s="14">
        <v>0</v>
      </c>
      <c r="X125" s="10">
        <v>79</v>
      </c>
      <c r="AA125" s="79" t="s">
        <v>134</v>
      </c>
      <c r="AB125" s="79">
        <v>357</v>
      </c>
      <c r="AC125" s="79">
        <v>23648.870552346674</v>
      </c>
      <c r="AD125" s="79">
        <v>66.243334880522895</v>
      </c>
      <c r="AE125" s="79"/>
      <c r="AF125" s="79"/>
      <c r="AG125" s="79"/>
      <c r="AH125" s="79"/>
      <c r="AI125" s="79"/>
    </row>
    <row r="126" spans="1:35" ht="20.149999999999999" customHeight="1" thickBot="1">
      <c r="A126" s="113"/>
      <c r="B126" s="113"/>
      <c r="C126" s="14"/>
      <c r="D126"/>
      <c r="E126"/>
      <c r="F126"/>
      <c r="G126" s="147"/>
      <c r="H126" s="147"/>
      <c r="I126" s="147"/>
      <c r="J126"/>
      <c r="K126"/>
      <c r="L126"/>
      <c r="O126" s="14"/>
      <c r="P126" s="113"/>
      <c r="Q126" s="113"/>
      <c r="R126" s="113"/>
      <c r="S126" s="113"/>
      <c r="T126" s="14">
        <v>0</v>
      </c>
      <c r="U126" s="14">
        <v>0</v>
      </c>
      <c r="V126" s="14">
        <v>0</v>
      </c>
      <c r="W126" s="14">
        <v>0</v>
      </c>
      <c r="X126" s="10">
        <v>81</v>
      </c>
      <c r="AA126" s="148" t="s">
        <v>135</v>
      </c>
      <c r="AB126" s="148">
        <v>364</v>
      </c>
      <c r="AC126" s="148">
        <v>277266.04383561644</v>
      </c>
      <c r="AD126" s="148"/>
      <c r="AE126" s="148"/>
      <c r="AF126" s="148"/>
      <c r="AG126" s="79"/>
      <c r="AH126" s="79"/>
      <c r="AI126" s="79"/>
    </row>
    <row r="127" spans="1:35" ht="20.149999999999999" customHeight="1" thickBot="1">
      <c r="A127" s="113"/>
      <c r="B127" s="113"/>
      <c r="C127" s="14"/>
      <c r="D127"/>
      <c r="E127"/>
      <c r="F127"/>
      <c r="G127"/>
      <c r="H127"/>
      <c r="I127"/>
      <c r="J127"/>
      <c r="K127"/>
      <c r="L127"/>
      <c r="O127" s="14"/>
      <c r="P127" s="113"/>
      <c r="Q127" s="113"/>
      <c r="R127" s="113"/>
      <c r="S127" s="113"/>
      <c r="T127" s="14">
        <v>0</v>
      </c>
      <c r="U127" s="14">
        <v>0</v>
      </c>
      <c r="V127" s="14">
        <v>0</v>
      </c>
      <c r="W127" s="14">
        <v>0</v>
      </c>
      <c r="X127" s="10">
        <v>78</v>
      </c>
      <c r="AA127" s="79"/>
      <c r="AB127" s="79"/>
      <c r="AC127" s="79"/>
      <c r="AD127" s="79"/>
      <c r="AE127" s="79"/>
      <c r="AF127" s="79"/>
      <c r="AG127" s="79"/>
      <c r="AH127" s="79"/>
      <c r="AI127" s="79"/>
    </row>
    <row r="128" spans="1:35" ht="20.149999999999999" customHeight="1">
      <c r="A128" s="113"/>
      <c r="B128" s="113"/>
      <c r="C128" s="14"/>
      <c r="D128"/>
      <c r="E128"/>
      <c r="F128"/>
      <c r="G128"/>
      <c r="H128"/>
      <c r="I128"/>
      <c r="J128"/>
      <c r="K128"/>
      <c r="L128"/>
      <c r="O128" s="14"/>
      <c r="P128" s="113"/>
      <c r="Q128" s="113"/>
      <c r="R128" s="113"/>
      <c r="S128" s="113"/>
      <c r="T128" s="14">
        <v>0</v>
      </c>
      <c r="U128" s="14">
        <v>0</v>
      </c>
      <c r="V128" s="14">
        <v>0</v>
      </c>
      <c r="W128" s="14">
        <v>0</v>
      </c>
      <c r="X128" s="10">
        <v>73</v>
      </c>
      <c r="AA128" s="155"/>
      <c r="AB128" s="155" t="s">
        <v>142</v>
      </c>
      <c r="AC128" s="155" t="s">
        <v>130</v>
      </c>
      <c r="AD128" s="155" t="s">
        <v>143</v>
      </c>
      <c r="AE128" s="155" t="s">
        <v>144</v>
      </c>
      <c r="AF128" s="155" t="s">
        <v>145</v>
      </c>
      <c r="AG128" s="155" t="s">
        <v>146</v>
      </c>
      <c r="AH128" s="155" t="s">
        <v>147</v>
      </c>
      <c r="AI128" s="155" t="s">
        <v>148</v>
      </c>
    </row>
    <row r="129" spans="1:35" ht="20.149999999999999" customHeight="1">
      <c r="A129" s="113"/>
      <c r="B129" s="113"/>
      <c r="C129" s="14"/>
      <c r="D129"/>
      <c r="E129"/>
      <c r="F129"/>
      <c r="G129"/>
      <c r="H129"/>
      <c r="I129"/>
      <c r="J129"/>
      <c r="K129"/>
      <c r="L129"/>
      <c r="O129" s="14"/>
      <c r="P129" s="113"/>
      <c r="Q129" s="113"/>
      <c r="R129" s="113"/>
      <c r="S129" s="113"/>
      <c r="T129" s="14">
        <v>0</v>
      </c>
      <c r="U129" s="14">
        <v>0</v>
      </c>
      <c r="V129" s="14">
        <v>0</v>
      </c>
      <c r="W129" s="14">
        <v>0</v>
      </c>
      <c r="X129" s="10">
        <v>80</v>
      </c>
      <c r="AA129" s="79" t="s">
        <v>136</v>
      </c>
      <c r="AB129" s="79">
        <v>83.384228640464116</v>
      </c>
      <c r="AC129" s="79">
        <v>2.1449820485214879</v>
      </c>
      <c r="AD129" s="79">
        <v>38.874091602743214</v>
      </c>
      <c r="AE129" s="79">
        <v>2.3630904920268011E-130</v>
      </c>
      <c r="AF129" s="79">
        <v>79.165840011037432</v>
      </c>
      <c r="AG129" s="79">
        <v>87.6026172698908</v>
      </c>
      <c r="AH129" s="79">
        <v>79.165840011037432</v>
      </c>
      <c r="AI129" s="79">
        <v>87.6026172698908</v>
      </c>
    </row>
    <row r="130" spans="1:35" ht="20.149999999999999" customHeight="1">
      <c r="A130" s="113"/>
      <c r="B130" s="113"/>
      <c r="C130" s="14"/>
      <c r="D130"/>
      <c r="E130"/>
      <c r="F130"/>
      <c r="G130"/>
      <c r="H130"/>
      <c r="I130"/>
      <c r="J130"/>
      <c r="K130"/>
      <c r="L130"/>
      <c r="O130" s="14"/>
      <c r="P130" s="113"/>
      <c r="Q130" s="113"/>
      <c r="R130" s="113"/>
      <c r="S130" s="113"/>
      <c r="T130" s="14">
        <v>0</v>
      </c>
      <c r="U130" s="14">
        <v>0</v>
      </c>
      <c r="V130" s="14">
        <v>0</v>
      </c>
      <c r="W130" s="14">
        <v>0</v>
      </c>
      <c r="X130" s="10">
        <v>85</v>
      </c>
      <c r="AA130" s="79" t="s">
        <v>111</v>
      </c>
      <c r="AB130" s="79">
        <v>5.4756820886514985</v>
      </c>
      <c r="AC130" s="79">
        <v>2.6168744748347175</v>
      </c>
      <c r="AD130" s="79">
        <v>2.092451182243789</v>
      </c>
      <c r="AE130" s="79">
        <v>3.7103897943856524E-2</v>
      </c>
      <c r="AF130" s="79">
        <v>0.32925508853335206</v>
      </c>
      <c r="AG130" s="79">
        <v>10.622109088769644</v>
      </c>
      <c r="AH130" s="79">
        <v>0.32925508853335206</v>
      </c>
      <c r="AI130" s="79">
        <v>10.622109088769644</v>
      </c>
    </row>
    <row r="131" spans="1:35" ht="20.149999999999999" customHeight="1">
      <c r="A131" s="113"/>
      <c r="B131" s="113"/>
      <c r="C131" s="14"/>
      <c r="D131"/>
      <c r="E131"/>
      <c r="F131"/>
      <c r="G131"/>
      <c r="H131"/>
      <c r="I131"/>
      <c r="J131"/>
      <c r="K131"/>
      <c r="L131"/>
      <c r="O131" s="14"/>
      <c r="P131" s="113"/>
      <c r="Q131" s="113"/>
      <c r="R131" s="113"/>
      <c r="S131" s="113"/>
      <c r="T131" s="14">
        <v>0</v>
      </c>
      <c r="U131" s="14">
        <v>0</v>
      </c>
      <c r="V131" s="14">
        <v>0</v>
      </c>
      <c r="W131" s="14">
        <v>0</v>
      </c>
      <c r="X131" s="10">
        <v>82</v>
      </c>
      <c r="AA131" s="79" t="s">
        <v>113</v>
      </c>
      <c r="AB131" s="79">
        <v>1.055401663827142</v>
      </c>
      <c r="AC131" s="79">
        <v>1.0815587534184417</v>
      </c>
      <c r="AD131" s="79">
        <v>0.9758153780285852</v>
      </c>
      <c r="AE131" s="79">
        <v>0.32981671241444432</v>
      </c>
      <c r="AF131" s="79">
        <v>-1.0716255300004689</v>
      </c>
      <c r="AG131" s="79">
        <v>3.1824288576547528</v>
      </c>
      <c r="AH131" s="79">
        <v>-1.0716255300004689</v>
      </c>
      <c r="AI131" s="79">
        <v>3.1824288576547528</v>
      </c>
    </row>
    <row r="132" spans="1:35" ht="20.149999999999999" customHeight="1">
      <c r="A132" s="113"/>
      <c r="B132" s="113"/>
      <c r="C132" s="14"/>
      <c r="D132"/>
      <c r="E132"/>
      <c r="F132"/>
      <c r="G132"/>
      <c r="H132"/>
      <c r="I132"/>
      <c r="J132"/>
      <c r="K132"/>
      <c r="L132"/>
      <c r="O132" s="14"/>
      <c r="P132" s="113"/>
      <c r="Q132" s="113"/>
      <c r="R132" s="113"/>
      <c r="S132" s="113"/>
      <c r="T132" s="14">
        <v>0</v>
      </c>
      <c r="U132" s="14">
        <v>0</v>
      </c>
      <c r="V132" s="14">
        <v>1</v>
      </c>
      <c r="W132" s="14">
        <v>0</v>
      </c>
      <c r="X132" s="10">
        <v>59</v>
      </c>
      <c r="AA132" s="79" t="s">
        <v>114</v>
      </c>
      <c r="AB132" s="79">
        <v>-3.2398644118248918</v>
      </c>
      <c r="AC132" s="79">
        <v>2.4150419526085738</v>
      </c>
      <c r="AD132" s="79">
        <v>-1.3415354579349636</v>
      </c>
      <c r="AE132" s="79">
        <v>0.18059939852344573</v>
      </c>
      <c r="AF132" s="79">
        <v>-7.989361275677263</v>
      </c>
      <c r="AG132" s="79">
        <v>1.5096324520274798</v>
      </c>
      <c r="AH132" s="79">
        <v>-7.989361275677263</v>
      </c>
      <c r="AI132" s="79">
        <v>1.5096324520274798</v>
      </c>
    </row>
    <row r="133" spans="1:35" ht="20.149999999999999" customHeight="1">
      <c r="A133" s="113"/>
      <c r="B133" s="113"/>
      <c r="C133" s="14"/>
      <c r="D133"/>
      <c r="E133"/>
      <c r="F133"/>
      <c r="G133"/>
      <c r="H133"/>
      <c r="I133"/>
      <c r="J133"/>
      <c r="K133"/>
      <c r="L133"/>
      <c r="O133" s="14"/>
      <c r="P133" s="113"/>
      <c r="Q133" s="113"/>
      <c r="R133" s="113"/>
      <c r="S133" s="113"/>
      <c r="T133" s="14">
        <v>0</v>
      </c>
      <c r="U133" s="14">
        <v>0</v>
      </c>
      <c r="V133" s="14">
        <v>1</v>
      </c>
      <c r="W133" s="14">
        <v>0</v>
      </c>
      <c r="X133" s="10">
        <v>68</v>
      </c>
      <c r="AA133" s="79" t="s">
        <v>117</v>
      </c>
      <c r="AB133" s="79">
        <v>-58.110890251329522</v>
      </c>
      <c r="AC133" s="79">
        <v>1.1227668883369939</v>
      </c>
      <c r="AD133" s="79">
        <v>-51.756861424192422</v>
      </c>
      <c r="AE133" s="79">
        <v>5.2302515846332107E-168</v>
      </c>
      <c r="AF133" s="79">
        <v>-60.318958649161672</v>
      </c>
      <c r="AG133" s="79">
        <v>-55.902821853497372</v>
      </c>
      <c r="AH133" s="79">
        <v>-60.318958649161672</v>
      </c>
      <c r="AI133" s="79">
        <v>-55.902821853497372</v>
      </c>
    </row>
    <row r="134" spans="1:35" ht="20.149999999999999" customHeight="1">
      <c r="A134" s="113"/>
      <c r="B134" s="113"/>
      <c r="C134" s="14"/>
      <c r="D134"/>
      <c r="E134"/>
      <c r="F134"/>
      <c r="G134"/>
      <c r="H134"/>
      <c r="I134"/>
      <c r="J134"/>
      <c r="K134"/>
      <c r="L134"/>
      <c r="M134" s="14"/>
      <c r="N134" s="14"/>
      <c r="O134" s="14"/>
      <c r="P134" s="113"/>
      <c r="Q134" s="113"/>
      <c r="R134" s="113"/>
      <c r="S134" s="113"/>
      <c r="T134" s="14">
        <v>0</v>
      </c>
      <c r="U134" s="14">
        <v>0</v>
      </c>
      <c r="V134" s="14">
        <v>0</v>
      </c>
      <c r="W134" s="14">
        <v>0</v>
      </c>
      <c r="X134" s="10">
        <v>82</v>
      </c>
      <c r="AA134" s="79" t="s">
        <v>118</v>
      </c>
      <c r="AB134" s="79">
        <v>-32.209456429534853</v>
      </c>
      <c r="AC134" s="79">
        <v>1.1405622445659305</v>
      </c>
      <c r="AD134" s="79">
        <v>-28.239981275018419</v>
      </c>
      <c r="AE134" s="79">
        <v>5.2394392917655507E-93</v>
      </c>
      <c r="AF134" s="79">
        <v>-34.45252173021963</v>
      </c>
      <c r="AG134" s="79">
        <v>-29.966391128850073</v>
      </c>
      <c r="AH134" s="79">
        <v>-34.45252173021963</v>
      </c>
      <c r="AI134" s="79">
        <v>-29.966391128850073</v>
      </c>
    </row>
    <row r="135" spans="1:35" ht="20.149999999999999" customHeight="1">
      <c r="A135" s="113"/>
      <c r="B135" s="113"/>
      <c r="C135" s="14"/>
      <c r="D135"/>
      <c r="E135"/>
      <c r="F135"/>
      <c r="G135"/>
      <c r="H135"/>
      <c r="I135"/>
      <c r="J135"/>
      <c r="K135"/>
      <c r="L135"/>
      <c r="O135" s="14"/>
      <c r="P135" s="113"/>
      <c r="Q135" s="113"/>
      <c r="R135" s="113"/>
      <c r="S135" s="113"/>
      <c r="T135" s="14">
        <v>0</v>
      </c>
      <c r="U135" s="14">
        <v>0</v>
      </c>
      <c r="V135" s="14">
        <v>0</v>
      </c>
      <c r="W135" s="14">
        <v>0</v>
      </c>
      <c r="X135" s="10">
        <v>74</v>
      </c>
      <c r="AA135" s="79" t="s">
        <v>116</v>
      </c>
      <c r="AB135" s="79">
        <v>19.784100210741933</v>
      </c>
      <c r="AC135" s="79">
        <v>1.4527080775790846</v>
      </c>
      <c r="AD135" s="79">
        <v>13.618772082352448</v>
      </c>
      <c r="AE135" s="79">
        <v>2.6371035233850155E-34</v>
      </c>
      <c r="AF135" s="79">
        <v>16.927159174540748</v>
      </c>
      <c r="AG135" s="79">
        <v>22.641041246943118</v>
      </c>
      <c r="AH135" s="79">
        <v>16.927159174540748</v>
      </c>
      <c r="AI135" s="79">
        <v>22.641041246943118</v>
      </c>
    </row>
    <row r="136" spans="1:35" ht="20.149999999999999" customHeight="1" thickBot="1">
      <c r="A136" s="113"/>
      <c r="B136" s="113"/>
      <c r="C136" s="14"/>
      <c r="D136" s="146"/>
      <c r="E136" s="146"/>
      <c r="F136" s="146"/>
      <c r="G136"/>
      <c r="H136"/>
      <c r="I136"/>
      <c r="J136" s="146"/>
      <c r="K136" s="146"/>
      <c r="L136" s="146"/>
      <c r="O136" s="14"/>
      <c r="P136" s="113"/>
      <c r="Q136" s="113"/>
      <c r="R136" s="113"/>
      <c r="S136" s="113"/>
      <c r="T136" s="14">
        <v>0</v>
      </c>
      <c r="U136" s="14">
        <v>0</v>
      </c>
      <c r="V136" s="14">
        <v>0</v>
      </c>
      <c r="W136" s="14">
        <v>0</v>
      </c>
      <c r="X136" s="10">
        <v>90</v>
      </c>
      <c r="AA136" s="148" t="s">
        <v>0</v>
      </c>
      <c r="AB136" s="148">
        <v>3.2859152236595267E-2</v>
      </c>
      <c r="AC136" s="148">
        <v>3.6511383821818476E-2</v>
      </c>
      <c r="AD136" s="148">
        <v>0.8999700585700422</v>
      </c>
      <c r="AE136" s="160">
        <v>0.36874284617817421</v>
      </c>
      <c r="AF136" s="148">
        <v>-3.8945274501967157E-2</v>
      </c>
      <c r="AG136" s="148">
        <v>0.10466357897515768</v>
      </c>
      <c r="AH136" s="148">
        <v>-3.8945274501967157E-2</v>
      </c>
      <c r="AI136" s="148">
        <v>0.10466357897515768</v>
      </c>
    </row>
    <row r="137" spans="1:35" ht="20.149999999999999" customHeight="1" thickBot="1">
      <c r="A137" s="113"/>
      <c r="B137" s="113"/>
      <c r="C137" s="14"/>
      <c r="D137"/>
      <c r="E137"/>
      <c r="F137"/>
      <c r="G137" s="146"/>
      <c r="H137" s="146"/>
      <c r="I137" s="146"/>
      <c r="J137"/>
      <c r="K137"/>
      <c r="L137"/>
      <c r="O137" s="14"/>
      <c r="P137" s="113"/>
      <c r="Q137" s="113"/>
      <c r="R137" s="113"/>
      <c r="S137" s="113"/>
      <c r="T137" s="14">
        <v>0</v>
      </c>
      <c r="U137" s="14">
        <v>0</v>
      </c>
      <c r="V137" s="14">
        <v>0</v>
      </c>
      <c r="W137" s="14">
        <v>0</v>
      </c>
      <c r="X137" s="10">
        <v>84</v>
      </c>
      <c r="AA137" s="79"/>
      <c r="AB137" s="79"/>
      <c r="AC137" s="79"/>
      <c r="AD137" s="79" t="s">
        <v>124</v>
      </c>
      <c r="AE137" s="79">
        <f>MAX(AE129:AE136)</f>
        <v>0.36874284617817421</v>
      </c>
      <c r="AF137" s="79"/>
      <c r="AG137" s="79"/>
      <c r="AH137" s="79"/>
      <c r="AI137" s="79"/>
    </row>
    <row r="138" spans="1:35" ht="20.149999999999999" customHeight="1">
      <c r="A138" s="113"/>
      <c r="B138" s="113"/>
      <c r="C138" s="14"/>
      <c r="D138" s="86"/>
      <c r="E138" s="86"/>
      <c r="F138" s="14"/>
      <c r="G138"/>
      <c r="H138"/>
      <c r="I138"/>
      <c r="J138" s="103"/>
      <c r="K138" s="86"/>
      <c r="L138" s="14"/>
      <c r="M138" s="14"/>
      <c r="N138" s="14"/>
      <c r="O138" s="14"/>
      <c r="P138" s="113"/>
      <c r="Q138" s="113"/>
      <c r="R138" s="113"/>
      <c r="S138" s="113"/>
      <c r="T138" s="14">
        <v>0</v>
      </c>
      <c r="U138" s="14">
        <v>1</v>
      </c>
      <c r="V138" s="14">
        <v>0</v>
      </c>
      <c r="W138" s="14">
        <v>0</v>
      </c>
      <c r="X138" s="10">
        <v>36</v>
      </c>
      <c r="AA138" s="79"/>
      <c r="AB138" s="79"/>
      <c r="AC138" s="79"/>
      <c r="AD138" s="79"/>
      <c r="AE138" s="79"/>
      <c r="AF138" s="79"/>
      <c r="AG138" s="79"/>
      <c r="AH138" s="79"/>
      <c r="AI138" s="79"/>
    </row>
    <row r="139" spans="1:35" ht="20.149999999999999" customHeight="1">
      <c r="A139" s="113"/>
      <c r="B139" s="113"/>
      <c r="C139" s="14"/>
      <c r="D139" s="86"/>
      <c r="E139" s="86"/>
      <c r="F139" s="14"/>
      <c r="G139" s="103"/>
      <c r="H139" s="86"/>
      <c r="I139" s="14"/>
      <c r="J139" s="103"/>
      <c r="K139" s="86"/>
      <c r="L139" s="14"/>
      <c r="M139" s="14"/>
      <c r="N139" s="14"/>
      <c r="O139" s="14"/>
      <c r="P139" s="113"/>
      <c r="Q139" s="113"/>
      <c r="R139" s="113"/>
      <c r="S139" s="113"/>
      <c r="T139" s="14">
        <v>0</v>
      </c>
      <c r="U139" s="14">
        <v>0</v>
      </c>
      <c r="V139" s="14">
        <v>1</v>
      </c>
      <c r="W139" s="14">
        <v>0</v>
      </c>
      <c r="X139" s="10">
        <v>61</v>
      </c>
      <c r="AA139" s="79"/>
      <c r="AB139" s="79"/>
      <c r="AC139" s="79"/>
      <c r="AD139" s="79"/>
      <c r="AE139" s="79"/>
      <c r="AF139" s="79"/>
      <c r="AG139" s="79"/>
      <c r="AH139" s="79"/>
      <c r="AI139" s="79"/>
    </row>
    <row r="140" spans="1:35" ht="20.149999999999999" customHeight="1">
      <c r="A140" s="113"/>
      <c r="B140" s="113"/>
      <c r="C140" s="14"/>
      <c r="D140" s="86"/>
      <c r="E140" s="86"/>
      <c r="F140" s="14"/>
      <c r="G140" s="103"/>
      <c r="H140" s="86"/>
      <c r="I140" s="14"/>
      <c r="J140" s="103"/>
      <c r="K140" s="86"/>
      <c r="L140" s="14"/>
      <c r="M140" s="14"/>
      <c r="N140" s="14"/>
      <c r="O140" s="14"/>
      <c r="P140" s="113"/>
      <c r="Q140" s="113"/>
      <c r="R140" s="113"/>
      <c r="S140" s="113"/>
      <c r="T140" s="14">
        <v>0</v>
      </c>
      <c r="U140" s="14">
        <v>0</v>
      </c>
      <c r="V140" s="14">
        <v>1</v>
      </c>
      <c r="W140" s="14">
        <v>0</v>
      </c>
      <c r="X140" s="10">
        <v>68</v>
      </c>
    </row>
    <row r="141" spans="1:35" ht="20.149999999999999" customHeight="1">
      <c r="A141" s="113"/>
      <c r="B141" s="113"/>
      <c r="C141" s="113"/>
      <c r="D141" s="113"/>
      <c r="E141" s="113"/>
      <c r="F141" s="113"/>
      <c r="G141" s="103"/>
      <c r="H141" s="86"/>
      <c r="I141" s="14"/>
      <c r="J141" s="113"/>
      <c r="K141" s="113"/>
      <c r="L141" s="113"/>
      <c r="M141" s="113"/>
      <c r="N141" s="113"/>
      <c r="O141" s="113"/>
      <c r="P141" s="113"/>
      <c r="Q141" s="113"/>
      <c r="R141" s="113"/>
      <c r="S141" s="113"/>
      <c r="T141" s="14">
        <v>0</v>
      </c>
      <c r="U141" s="14">
        <v>0</v>
      </c>
      <c r="V141" s="14">
        <v>0</v>
      </c>
      <c r="W141" s="14">
        <v>0</v>
      </c>
      <c r="X141" s="10">
        <v>73</v>
      </c>
      <c r="AA141" t="s">
        <v>125</v>
      </c>
      <c r="AB141"/>
      <c r="AC141"/>
      <c r="AD141"/>
      <c r="AE141"/>
      <c r="AF141"/>
      <c r="AG141"/>
      <c r="AH141"/>
      <c r="AI141"/>
    </row>
    <row r="142" spans="1:35" ht="20.149999999999999" customHeight="1" thickBot="1">
      <c r="A142" s="113"/>
      <c r="B142" s="113"/>
      <c r="C142" s="113"/>
      <c r="D142" s="113"/>
      <c r="E142" s="113"/>
      <c r="F142" s="113"/>
      <c r="G142" s="113"/>
      <c r="H142" s="113"/>
      <c r="I142" s="113"/>
      <c r="J142" s="113"/>
      <c r="K142" s="113"/>
      <c r="L142" s="113"/>
      <c r="M142" s="113"/>
      <c r="N142" s="113"/>
      <c r="O142" s="113"/>
      <c r="P142" s="113"/>
      <c r="Q142" s="113"/>
      <c r="R142" s="113"/>
      <c r="S142" s="113"/>
      <c r="T142" s="14">
        <v>0</v>
      </c>
      <c r="U142" s="14">
        <v>0</v>
      </c>
      <c r="V142" s="14">
        <v>0</v>
      </c>
      <c r="W142" s="14">
        <v>0</v>
      </c>
      <c r="X142" s="10">
        <v>71</v>
      </c>
      <c r="AA142"/>
      <c r="AB142"/>
      <c r="AC142"/>
      <c r="AD142"/>
      <c r="AE142"/>
      <c r="AF142"/>
      <c r="AG142"/>
      <c r="AH142"/>
      <c r="AI142"/>
    </row>
    <row r="143" spans="1:35" ht="20.149999999999999" customHeight="1">
      <c r="A143" s="113"/>
      <c r="B143" s="113"/>
      <c r="C143" s="113"/>
      <c r="D143" s="113"/>
      <c r="E143" s="113"/>
      <c r="F143" s="113"/>
      <c r="G143" s="113"/>
      <c r="H143" s="113"/>
      <c r="I143" s="113"/>
      <c r="J143" s="113"/>
      <c r="K143" s="113"/>
      <c r="L143" s="113"/>
      <c r="M143" s="113"/>
      <c r="N143" s="113"/>
      <c r="O143" s="113"/>
      <c r="P143" s="113"/>
      <c r="Q143" s="113"/>
      <c r="R143" s="113"/>
      <c r="S143" s="113"/>
      <c r="T143" s="14">
        <v>0</v>
      </c>
      <c r="U143" s="14">
        <v>0</v>
      </c>
      <c r="V143" s="14">
        <v>1</v>
      </c>
      <c r="W143" s="14">
        <v>0</v>
      </c>
      <c r="X143" s="10">
        <v>55</v>
      </c>
      <c r="AA143" s="152" t="s">
        <v>126</v>
      </c>
      <c r="AB143" s="152"/>
      <c r="AC143"/>
      <c r="AD143"/>
      <c r="AE143"/>
      <c r="AF143"/>
      <c r="AG143"/>
      <c r="AH143"/>
      <c r="AI143"/>
    </row>
    <row r="144" spans="1:35" ht="20.149999999999999" customHeight="1">
      <c r="A144" s="113"/>
      <c r="B144" s="113"/>
      <c r="C144" s="113"/>
      <c r="D144" s="113"/>
      <c r="E144" s="113"/>
      <c r="F144" s="113"/>
      <c r="G144" s="113"/>
      <c r="H144" s="113"/>
      <c r="I144" s="113"/>
      <c r="J144" s="113"/>
      <c r="K144" s="113"/>
      <c r="L144" s="113"/>
      <c r="M144" s="113"/>
      <c r="N144" s="113"/>
      <c r="O144" s="113"/>
      <c r="P144" s="113"/>
      <c r="Q144" s="113"/>
      <c r="R144" s="113"/>
      <c r="S144" s="113"/>
      <c r="T144" s="14">
        <v>0</v>
      </c>
      <c r="U144" s="14">
        <v>1</v>
      </c>
      <c r="V144" s="14">
        <v>0</v>
      </c>
      <c r="W144" s="14">
        <v>0</v>
      </c>
      <c r="X144" s="10">
        <v>32</v>
      </c>
      <c r="AA144" s="79" t="s">
        <v>127</v>
      </c>
      <c r="AB144" s="79">
        <v>0.95630195353064995</v>
      </c>
      <c r="AC144" s="79"/>
      <c r="AD144" s="79"/>
      <c r="AE144" s="79"/>
      <c r="AF144" s="79"/>
      <c r="AG144" s="79"/>
      <c r="AH144" s="79"/>
      <c r="AI144" s="79"/>
    </row>
    <row r="145" spans="1:35" ht="20.149999999999999" customHeight="1">
      <c r="A145" s="113"/>
      <c r="B145" s="113"/>
      <c r="C145" s="113"/>
      <c r="D145" s="113"/>
      <c r="E145" s="113"/>
      <c r="F145" s="113"/>
      <c r="G145" s="113"/>
      <c r="H145" s="113"/>
      <c r="I145" s="113"/>
      <c r="J145" s="113"/>
      <c r="K145" s="113"/>
      <c r="L145" s="113"/>
      <c r="M145" s="113"/>
      <c r="N145" s="113"/>
      <c r="O145" s="113"/>
      <c r="P145" s="113"/>
      <c r="Q145" s="113"/>
      <c r="R145" s="113"/>
      <c r="S145" s="113"/>
      <c r="T145" s="14">
        <v>0</v>
      </c>
      <c r="U145" s="14">
        <v>0</v>
      </c>
      <c r="V145" s="14">
        <v>1</v>
      </c>
      <c r="W145" s="14">
        <v>0</v>
      </c>
      <c r="X145" s="10">
        <v>51</v>
      </c>
      <c r="AA145" s="79" t="s">
        <v>128</v>
      </c>
      <c r="AB145" s="79">
        <v>0.91451342632653743</v>
      </c>
      <c r="AC145" s="79"/>
      <c r="AD145" s="79"/>
      <c r="AE145" s="79"/>
      <c r="AF145" s="79"/>
      <c r="AG145" s="79"/>
      <c r="AH145" s="79"/>
      <c r="AI145" s="79"/>
    </row>
    <row r="146" spans="1:35" ht="20.149999999999999" customHeight="1">
      <c r="A146" s="113"/>
      <c r="B146" s="113"/>
      <c r="C146" s="113"/>
      <c r="D146" s="113"/>
      <c r="E146" s="113"/>
      <c r="F146" s="113"/>
      <c r="G146" s="113"/>
      <c r="H146" s="113"/>
      <c r="I146" s="113"/>
      <c r="J146" s="113"/>
      <c r="K146" s="113"/>
      <c r="L146" s="113"/>
      <c r="M146" s="113"/>
      <c r="N146" s="113"/>
      <c r="O146" s="113"/>
      <c r="P146" s="113"/>
      <c r="Q146" s="113"/>
      <c r="R146" s="113"/>
      <c r="S146" s="113"/>
      <c r="T146" s="14">
        <v>0</v>
      </c>
      <c r="U146" s="14">
        <v>1</v>
      </c>
      <c r="V146" s="14">
        <v>0</v>
      </c>
      <c r="W146" s="14">
        <v>0</v>
      </c>
      <c r="X146" s="10">
        <v>30</v>
      </c>
      <c r="AA146" s="79" t="s">
        <v>129</v>
      </c>
      <c r="AB146" s="79">
        <v>0.91308069045491513</v>
      </c>
      <c r="AC146" s="79"/>
      <c r="AD146" s="79"/>
      <c r="AE146" s="79"/>
      <c r="AF146" s="79"/>
      <c r="AG146" s="79"/>
      <c r="AH146" s="79"/>
      <c r="AI146" s="79"/>
    </row>
    <row r="147" spans="1:35" ht="20.149999999999999" customHeight="1">
      <c r="A147" s="113"/>
      <c r="B147" s="113"/>
      <c r="C147" s="113"/>
      <c r="D147" s="113"/>
      <c r="E147" s="113"/>
      <c r="F147" s="113"/>
      <c r="G147" s="113"/>
      <c r="H147" s="113"/>
      <c r="I147" s="113"/>
      <c r="J147" s="113"/>
      <c r="K147" s="113"/>
      <c r="L147" s="113"/>
      <c r="M147" s="113"/>
      <c r="N147" s="113"/>
      <c r="O147" s="113"/>
      <c r="P147" s="113"/>
      <c r="Q147" s="113"/>
      <c r="R147" s="113"/>
      <c r="S147" s="113"/>
      <c r="T147" s="14">
        <v>0</v>
      </c>
      <c r="U147" s="14">
        <v>0</v>
      </c>
      <c r="V147" s="14">
        <v>1</v>
      </c>
      <c r="W147" s="14">
        <v>0</v>
      </c>
      <c r="X147" s="10">
        <v>56</v>
      </c>
      <c r="AA147" s="79" t="s">
        <v>130</v>
      </c>
      <c r="AB147" s="79">
        <v>8.1368401625578102</v>
      </c>
      <c r="AC147" s="79"/>
      <c r="AD147" s="79"/>
      <c r="AE147" s="79"/>
      <c r="AF147" s="79"/>
      <c r="AG147" s="79"/>
      <c r="AH147" s="79"/>
      <c r="AI147" s="79"/>
    </row>
    <row r="148" spans="1:35" ht="20.149999999999999" customHeight="1" thickBot="1">
      <c r="A148" s="113"/>
      <c r="B148" s="113"/>
      <c r="C148" s="113"/>
      <c r="D148" s="113"/>
      <c r="E148" s="113"/>
      <c r="F148" s="113"/>
      <c r="G148" s="113"/>
      <c r="H148" s="113"/>
      <c r="I148" s="113"/>
      <c r="J148" s="113"/>
      <c r="K148" s="113"/>
      <c r="L148" s="113"/>
      <c r="M148" s="113"/>
      <c r="N148" s="113"/>
      <c r="O148" s="113"/>
      <c r="P148" s="113"/>
      <c r="Q148" s="113"/>
      <c r="R148" s="113"/>
      <c r="S148" s="113"/>
      <c r="T148" s="14">
        <v>0</v>
      </c>
      <c r="U148" s="14">
        <v>0</v>
      </c>
      <c r="V148" s="14">
        <v>1</v>
      </c>
      <c r="W148" s="14">
        <v>0</v>
      </c>
      <c r="X148" s="10">
        <v>61</v>
      </c>
      <c r="AA148" s="148" t="s">
        <v>131</v>
      </c>
      <c r="AB148" s="148">
        <v>365</v>
      </c>
      <c r="AC148" s="79"/>
      <c r="AD148" s="79"/>
      <c r="AE148" s="79"/>
      <c r="AF148" s="79"/>
      <c r="AG148" s="79"/>
      <c r="AH148" s="79"/>
      <c r="AI148" s="79"/>
    </row>
    <row r="149" spans="1:35" ht="20.149999999999999" customHeight="1">
      <c r="A149" s="113"/>
      <c r="B149" s="113"/>
      <c r="C149" s="113"/>
      <c r="D149" s="113"/>
      <c r="E149" s="113"/>
      <c r="F149" s="113"/>
      <c r="G149" s="113"/>
      <c r="H149" s="113"/>
      <c r="I149" s="113"/>
      <c r="J149" s="113"/>
      <c r="K149" s="113"/>
      <c r="L149" s="113"/>
      <c r="M149" s="113"/>
      <c r="N149" s="113"/>
      <c r="O149" s="113"/>
      <c r="P149" s="113"/>
      <c r="Q149" s="113"/>
      <c r="R149" s="113"/>
      <c r="S149" s="113"/>
      <c r="T149" s="14">
        <v>0</v>
      </c>
      <c r="U149" s="14">
        <v>0</v>
      </c>
      <c r="V149" s="14">
        <v>1</v>
      </c>
      <c r="W149" s="14">
        <v>0</v>
      </c>
      <c r="X149" s="10">
        <v>61</v>
      </c>
      <c r="AA149" s="79"/>
      <c r="AB149" s="79"/>
      <c r="AC149" s="79"/>
      <c r="AD149" s="79"/>
      <c r="AE149" s="79"/>
      <c r="AF149" s="79"/>
      <c r="AG149" s="79"/>
      <c r="AH149" s="79"/>
      <c r="AI149" s="79"/>
    </row>
    <row r="150" spans="1:35" ht="20.149999999999999" customHeight="1" thickBot="1">
      <c r="A150" s="113"/>
      <c r="B150" s="113"/>
      <c r="C150" s="113"/>
      <c r="D150" s="113"/>
      <c r="E150" s="113"/>
      <c r="F150" s="113"/>
      <c r="G150" s="113"/>
      <c r="H150" s="113"/>
      <c r="I150" s="113"/>
      <c r="J150" s="113"/>
      <c r="K150" s="113"/>
      <c r="L150" s="113"/>
      <c r="M150" s="113"/>
      <c r="N150" s="113"/>
      <c r="O150" s="113"/>
      <c r="P150" s="113"/>
      <c r="Q150" s="113"/>
      <c r="R150" s="113"/>
      <c r="S150" s="113"/>
      <c r="T150" s="14">
        <v>0</v>
      </c>
      <c r="U150" s="14">
        <v>0</v>
      </c>
      <c r="V150" s="14">
        <v>0</v>
      </c>
      <c r="W150" s="14">
        <v>0</v>
      </c>
      <c r="X150" s="10">
        <v>77</v>
      </c>
      <c r="AA150" s="79" t="s">
        <v>132</v>
      </c>
      <c r="AB150" s="79"/>
      <c r="AC150" s="79"/>
      <c r="AD150" s="79"/>
      <c r="AE150" s="79"/>
      <c r="AF150" s="79"/>
      <c r="AG150" s="79"/>
      <c r="AH150" s="79"/>
      <c r="AI150" s="79"/>
    </row>
    <row r="151" spans="1:35" ht="20.149999999999999" customHeight="1">
      <c r="A151" s="113"/>
      <c r="B151" s="113"/>
      <c r="C151" s="113"/>
      <c r="D151" s="113"/>
      <c r="E151" s="113"/>
      <c r="F151" s="113"/>
      <c r="G151" s="113"/>
      <c r="H151" s="113"/>
      <c r="I151" s="113"/>
      <c r="J151" s="113"/>
      <c r="K151" s="113"/>
      <c r="L151" s="113"/>
      <c r="M151" s="113"/>
      <c r="N151" s="113"/>
      <c r="O151" s="113"/>
      <c r="P151" s="113"/>
      <c r="Q151" s="113"/>
      <c r="R151" s="113"/>
      <c r="S151" s="113"/>
      <c r="T151" s="14">
        <v>1</v>
      </c>
      <c r="U151" s="14">
        <v>0</v>
      </c>
      <c r="V151" s="14">
        <v>1</v>
      </c>
      <c r="W151" s="14">
        <v>0</v>
      </c>
      <c r="X151" s="10">
        <v>58</v>
      </c>
      <c r="AA151" s="155"/>
      <c r="AB151" s="155" t="s">
        <v>137</v>
      </c>
      <c r="AC151" s="155" t="s">
        <v>138</v>
      </c>
      <c r="AD151" s="155" t="s">
        <v>139</v>
      </c>
      <c r="AE151" s="155" t="s">
        <v>140</v>
      </c>
      <c r="AF151" s="155" t="s">
        <v>141</v>
      </c>
      <c r="AG151" s="79"/>
      <c r="AH151" s="79"/>
      <c r="AI151" s="79"/>
    </row>
    <row r="152" spans="1:35" ht="20.149999999999999" customHeight="1">
      <c r="A152" s="113"/>
      <c r="B152" s="113"/>
      <c r="C152" s="113"/>
      <c r="D152" s="113"/>
      <c r="E152" s="113"/>
      <c r="F152" s="113"/>
      <c r="G152" s="113"/>
      <c r="H152" s="113"/>
      <c r="I152" s="113"/>
      <c r="J152" s="113"/>
      <c r="K152" s="113"/>
      <c r="L152" s="113"/>
      <c r="M152" s="113"/>
      <c r="N152" s="113"/>
      <c r="O152" s="113"/>
      <c r="P152" s="113"/>
      <c r="Q152" s="113"/>
      <c r="R152" s="113"/>
      <c r="S152" s="113"/>
      <c r="T152" s="14">
        <v>0</v>
      </c>
      <c r="U152" s="14">
        <v>0</v>
      </c>
      <c r="V152" s="14">
        <v>0</v>
      </c>
      <c r="W152" s="14">
        <v>0</v>
      </c>
      <c r="X152" s="10">
        <v>73</v>
      </c>
      <c r="AA152" s="79" t="s">
        <v>133</v>
      </c>
      <c r="AB152" s="79">
        <v>6</v>
      </c>
      <c r="AC152" s="79">
        <v>253563.5197521135</v>
      </c>
      <c r="AD152" s="79">
        <v>42260.586625352247</v>
      </c>
      <c r="AE152" s="79">
        <v>638.29868745523822</v>
      </c>
      <c r="AF152" s="79">
        <v>8.7999126368394633E-188</v>
      </c>
      <c r="AG152" s="79"/>
      <c r="AH152" s="79"/>
      <c r="AI152" s="79"/>
    </row>
    <row r="153" spans="1:35" ht="20.149999999999999" customHeight="1">
      <c r="A153" s="113"/>
      <c r="B153" s="113"/>
      <c r="C153" s="113"/>
      <c r="D153" s="113"/>
      <c r="E153" s="113"/>
      <c r="F153" s="113"/>
      <c r="G153" s="113"/>
      <c r="H153" s="113"/>
      <c r="I153" s="113"/>
      <c r="J153" s="113"/>
      <c r="K153" s="113"/>
      <c r="L153" s="113"/>
      <c r="M153" s="113"/>
      <c r="N153" s="113"/>
      <c r="O153" s="113"/>
      <c r="P153" s="113"/>
      <c r="Q153" s="113"/>
      <c r="R153" s="113"/>
      <c r="S153" s="113"/>
      <c r="T153" s="14">
        <v>0</v>
      </c>
      <c r="U153" s="14">
        <v>0</v>
      </c>
      <c r="V153" s="14">
        <v>0</v>
      </c>
      <c r="W153" s="14">
        <v>0</v>
      </c>
      <c r="X153" s="10">
        <v>75</v>
      </c>
      <c r="AA153" s="79" t="s">
        <v>134</v>
      </c>
      <c r="AB153" s="79">
        <v>358</v>
      </c>
      <c r="AC153" s="79">
        <v>23702.524083502951</v>
      </c>
      <c r="AD153" s="79">
        <v>66.208167831013824</v>
      </c>
      <c r="AE153" s="79"/>
      <c r="AF153" s="79"/>
      <c r="AG153" s="79"/>
      <c r="AH153" s="79"/>
      <c r="AI153" s="79"/>
    </row>
    <row r="154" spans="1:35" ht="20.149999999999999" customHeight="1" thickBot="1">
      <c r="A154" s="113"/>
      <c r="B154" s="113"/>
      <c r="C154" s="113"/>
      <c r="D154" s="113"/>
      <c r="E154" s="113"/>
      <c r="F154" s="113"/>
      <c r="G154" s="113"/>
      <c r="H154" s="113"/>
      <c r="I154" s="113"/>
      <c r="J154" s="113"/>
      <c r="K154" s="113"/>
      <c r="L154" s="113"/>
      <c r="M154" s="113"/>
      <c r="N154" s="113"/>
      <c r="O154" s="113"/>
      <c r="P154" s="113"/>
      <c r="Q154" s="113"/>
      <c r="R154" s="113"/>
      <c r="S154" s="113"/>
      <c r="T154" s="14">
        <v>0</v>
      </c>
      <c r="U154" s="14">
        <v>0</v>
      </c>
      <c r="V154" s="14">
        <v>0</v>
      </c>
      <c r="W154" s="14">
        <v>0</v>
      </c>
      <c r="X154" s="10">
        <v>78</v>
      </c>
      <c r="AA154" s="148" t="s">
        <v>135</v>
      </c>
      <c r="AB154" s="148">
        <v>364</v>
      </c>
      <c r="AC154" s="148">
        <v>277266.04383561644</v>
      </c>
      <c r="AD154" s="148"/>
      <c r="AE154" s="148"/>
      <c r="AF154" s="148"/>
      <c r="AG154" s="79"/>
      <c r="AH154" s="79"/>
      <c r="AI154" s="79"/>
    </row>
    <row r="155" spans="1:35" ht="20.149999999999999" customHeight="1" thickBot="1">
      <c r="A155" s="113"/>
      <c r="B155" s="113"/>
      <c r="C155" s="113"/>
      <c r="D155" s="113"/>
      <c r="E155" s="113"/>
      <c r="F155" s="113"/>
      <c r="G155" s="113"/>
      <c r="H155" s="113"/>
      <c r="I155" s="113"/>
      <c r="J155" s="113"/>
      <c r="K155" s="113"/>
      <c r="L155" s="113"/>
      <c r="M155" s="113"/>
      <c r="N155" s="113"/>
      <c r="O155" s="113"/>
      <c r="P155" s="113"/>
      <c r="Q155" s="113"/>
      <c r="R155" s="113"/>
      <c r="S155" s="113"/>
      <c r="T155" s="14">
        <v>0</v>
      </c>
      <c r="U155" s="14">
        <v>0</v>
      </c>
      <c r="V155" s="14">
        <v>0</v>
      </c>
      <c r="W155" s="14">
        <v>0</v>
      </c>
      <c r="X155" s="10">
        <v>72</v>
      </c>
      <c r="AA155" s="79"/>
      <c r="AB155" s="79"/>
      <c r="AC155" s="79"/>
      <c r="AD155" s="79"/>
      <c r="AE155" s="79"/>
      <c r="AF155" s="79"/>
      <c r="AG155" s="79"/>
      <c r="AH155" s="79"/>
      <c r="AI155" s="79"/>
    </row>
    <row r="156" spans="1:35" ht="20.149999999999999" customHeight="1">
      <c r="A156" s="113"/>
      <c r="B156" s="113"/>
      <c r="C156" s="113"/>
      <c r="D156" s="113"/>
      <c r="E156" s="113"/>
      <c r="F156" s="113"/>
      <c r="G156" s="113"/>
      <c r="H156" s="113"/>
      <c r="I156" s="113"/>
      <c r="J156" s="113"/>
      <c r="K156" s="113"/>
      <c r="L156" s="113"/>
      <c r="M156" s="113"/>
      <c r="N156" s="113"/>
      <c r="O156" s="113"/>
      <c r="P156" s="113"/>
      <c r="Q156" s="113"/>
      <c r="R156" s="113"/>
      <c r="S156" s="113"/>
      <c r="T156" s="14">
        <v>0</v>
      </c>
      <c r="U156" s="14">
        <v>0</v>
      </c>
      <c r="V156" s="14">
        <v>0</v>
      </c>
      <c r="W156" s="14">
        <v>0</v>
      </c>
      <c r="X156" s="10">
        <v>70</v>
      </c>
      <c r="AA156" s="155"/>
      <c r="AB156" s="155" t="s">
        <v>142</v>
      </c>
      <c r="AC156" s="155" t="s">
        <v>130</v>
      </c>
      <c r="AD156" s="155" t="s">
        <v>143</v>
      </c>
      <c r="AE156" s="155" t="s">
        <v>144</v>
      </c>
      <c r="AF156" s="155" t="s">
        <v>145</v>
      </c>
      <c r="AG156" s="155" t="s">
        <v>146</v>
      </c>
      <c r="AH156" s="155" t="s">
        <v>147</v>
      </c>
      <c r="AI156" s="155" t="s">
        <v>148</v>
      </c>
    </row>
    <row r="157" spans="1:35" ht="20.149999999999999" customHeight="1">
      <c r="A157" s="113"/>
      <c r="B157" s="113"/>
      <c r="C157" s="113"/>
      <c r="D157" s="113"/>
      <c r="E157" s="113"/>
      <c r="F157" s="113"/>
      <c r="G157" s="113"/>
      <c r="H157" s="113"/>
      <c r="I157" s="113"/>
      <c r="J157" s="113"/>
      <c r="K157" s="113"/>
      <c r="L157" s="113"/>
      <c r="M157" s="113"/>
      <c r="N157" s="113"/>
      <c r="O157" s="113"/>
      <c r="P157" s="113"/>
      <c r="Q157" s="113"/>
      <c r="R157" s="113"/>
      <c r="S157" s="113"/>
      <c r="T157" s="14">
        <v>0</v>
      </c>
      <c r="U157" s="14">
        <v>0</v>
      </c>
      <c r="V157" s="14">
        <v>0</v>
      </c>
      <c r="W157" s="14">
        <v>0</v>
      </c>
      <c r="X157" s="10">
        <v>77</v>
      </c>
      <c r="AA157" s="79" t="s">
        <v>136</v>
      </c>
      <c r="AB157" s="79">
        <v>85.200873055518855</v>
      </c>
      <c r="AC157" s="79">
        <v>0.72531389997598128</v>
      </c>
      <c r="AD157" s="79">
        <v>117.46758618349969</v>
      </c>
      <c r="AE157" s="79">
        <v>5.6682374987367318E-288</v>
      </c>
      <c r="AF157" s="79">
        <v>83.774461659733419</v>
      </c>
      <c r="AG157" s="79">
        <v>86.627284451304291</v>
      </c>
      <c r="AH157" s="79">
        <v>83.774461659733419</v>
      </c>
      <c r="AI157" s="79">
        <v>86.627284451304291</v>
      </c>
    </row>
    <row r="158" spans="1:35" ht="20.149999999999999" customHeight="1">
      <c r="A158" s="113"/>
      <c r="B158" s="113"/>
      <c r="C158" s="113"/>
      <c r="D158" s="113"/>
      <c r="E158" s="113"/>
      <c r="F158" s="113"/>
      <c r="G158" s="113"/>
      <c r="H158" s="113"/>
      <c r="I158" s="113"/>
      <c r="J158" s="113"/>
      <c r="K158" s="113"/>
      <c r="L158" s="113"/>
      <c r="M158" s="113"/>
      <c r="N158" s="113"/>
      <c r="O158" s="113"/>
      <c r="P158" s="113"/>
      <c r="Q158" s="113"/>
      <c r="R158" s="113"/>
      <c r="S158" s="113"/>
      <c r="T158" s="14">
        <v>0</v>
      </c>
      <c r="U158" s="14">
        <v>0</v>
      </c>
      <c r="V158" s="14">
        <v>1</v>
      </c>
      <c r="W158" s="14">
        <v>0</v>
      </c>
      <c r="X158" s="10">
        <v>52</v>
      </c>
      <c r="AA158" s="79" t="s">
        <v>111</v>
      </c>
      <c r="AB158" s="79">
        <v>5.3969341089031504</v>
      </c>
      <c r="AC158" s="79">
        <v>2.6147168591878946</v>
      </c>
      <c r="AD158" s="79">
        <v>2.0640606228314087</v>
      </c>
      <c r="AE158" s="79">
        <v>3.9732044971925458E-2</v>
      </c>
      <c r="AF158" s="79">
        <v>0.2547992003878079</v>
      </c>
      <c r="AG158" s="79">
        <v>10.539069017418493</v>
      </c>
      <c r="AH158" s="79">
        <v>0.2547992003878079</v>
      </c>
      <c r="AI158" s="79">
        <v>10.539069017418493</v>
      </c>
    </row>
    <row r="159" spans="1:35" ht="20.149999999999999" customHeight="1">
      <c r="A159" s="113"/>
      <c r="B159" s="113"/>
      <c r="C159" s="113"/>
      <c r="D159" s="113"/>
      <c r="E159" s="113"/>
      <c r="F159" s="113"/>
      <c r="G159" s="113"/>
      <c r="H159" s="113"/>
      <c r="I159" s="113"/>
      <c r="J159" s="113"/>
      <c r="K159" s="113"/>
      <c r="L159" s="113"/>
      <c r="M159" s="113"/>
      <c r="N159" s="113"/>
      <c r="O159" s="113"/>
      <c r="P159" s="113"/>
      <c r="Q159" s="113"/>
      <c r="R159" s="113"/>
      <c r="S159" s="113"/>
      <c r="T159" s="14">
        <v>0</v>
      </c>
      <c r="U159" s="14">
        <v>1</v>
      </c>
      <c r="V159" s="14">
        <v>0</v>
      </c>
      <c r="W159" s="14">
        <v>0</v>
      </c>
      <c r="X159" s="10">
        <v>14</v>
      </c>
      <c r="AA159" s="79" t="s">
        <v>113</v>
      </c>
      <c r="AB159" s="79">
        <v>1.5735558862262513</v>
      </c>
      <c r="AC159" s="79">
        <v>0.91533642775516666</v>
      </c>
      <c r="AD159" s="79">
        <v>1.7191011288443385</v>
      </c>
      <c r="AE159" s="79">
        <v>8.6460371375753048E-2</v>
      </c>
      <c r="AF159" s="79">
        <v>-0.2265561915523937</v>
      </c>
      <c r="AG159" s="79">
        <v>3.3736679640048965</v>
      </c>
      <c r="AH159" s="79">
        <v>-0.2265561915523937</v>
      </c>
      <c r="AI159" s="79">
        <v>3.3736679640048965</v>
      </c>
    </row>
    <row r="160" spans="1:35" ht="20.149999999999999" customHeight="1">
      <c r="A160" s="113"/>
      <c r="B160" s="113"/>
      <c r="C160" s="113"/>
      <c r="D160" s="113"/>
      <c r="E160" s="113"/>
      <c r="F160" s="113"/>
      <c r="G160" s="113"/>
      <c r="H160" s="113"/>
      <c r="I160" s="113"/>
      <c r="J160" s="113"/>
      <c r="K160" s="113"/>
      <c r="L160" s="113"/>
      <c r="M160" s="113"/>
      <c r="N160" s="113"/>
      <c r="O160" s="113"/>
      <c r="P160" s="113"/>
      <c r="Q160" s="113"/>
      <c r="R160" s="113"/>
      <c r="S160" s="113"/>
      <c r="T160" s="14">
        <v>0</v>
      </c>
      <c r="U160" s="14">
        <v>0</v>
      </c>
      <c r="V160" s="14">
        <v>1</v>
      </c>
      <c r="W160" s="14">
        <v>0</v>
      </c>
      <c r="X160" s="10">
        <v>66</v>
      </c>
      <c r="AA160" s="79" t="s">
        <v>114</v>
      </c>
      <c r="AB160" s="79">
        <v>-2.3030595138916072</v>
      </c>
      <c r="AC160" s="79">
        <v>2.1786173260210102</v>
      </c>
      <c r="AD160" s="79">
        <v>-1.0571198008866827</v>
      </c>
      <c r="AE160" s="159">
        <v>0.29116971699948246</v>
      </c>
      <c r="AF160" s="79">
        <v>-6.5875556210182697</v>
      </c>
      <c r="AG160" s="79">
        <v>1.9814365932350548</v>
      </c>
      <c r="AH160" s="79">
        <v>-6.5875556210182697</v>
      </c>
      <c r="AI160" s="79">
        <v>1.9814365932350548</v>
      </c>
    </row>
    <row r="161" spans="1:35" ht="20.149999999999999" customHeight="1">
      <c r="A161" s="113"/>
      <c r="B161" s="113"/>
      <c r="C161" s="113"/>
      <c r="D161" s="113"/>
      <c r="E161" s="113"/>
      <c r="F161" s="113"/>
      <c r="G161" s="113"/>
      <c r="H161" s="113"/>
      <c r="I161" s="113"/>
      <c r="J161" s="113"/>
      <c r="K161" s="113"/>
      <c r="L161" s="113"/>
      <c r="M161" s="113"/>
      <c r="N161" s="113"/>
      <c r="O161" s="113"/>
      <c r="P161" s="113"/>
      <c r="Q161" s="113"/>
      <c r="R161" s="113"/>
      <c r="S161" s="113"/>
      <c r="T161" s="14">
        <v>0</v>
      </c>
      <c r="U161" s="14">
        <v>0</v>
      </c>
      <c r="V161" s="14">
        <v>0</v>
      </c>
      <c r="W161" s="14">
        <v>0</v>
      </c>
      <c r="X161" s="10">
        <v>72</v>
      </c>
      <c r="AA161" s="79" t="s">
        <v>117</v>
      </c>
      <c r="AB161" s="79">
        <v>-57.978778340528308</v>
      </c>
      <c r="AC161" s="79">
        <v>1.1128336193011477</v>
      </c>
      <c r="AD161" s="79">
        <v>-52.100131892976606</v>
      </c>
      <c r="AE161" s="79">
        <v>3.4465188053615752E-169</v>
      </c>
      <c r="AF161" s="79">
        <v>-60.167290867638108</v>
      </c>
      <c r="AG161" s="79">
        <v>-55.790265813418507</v>
      </c>
      <c r="AH161" s="79">
        <v>-60.167290867638108</v>
      </c>
      <c r="AI161" s="79">
        <v>-55.790265813418507</v>
      </c>
    </row>
    <row r="162" spans="1:35" ht="20.149999999999999" customHeight="1">
      <c r="A162" s="113"/>
      <c r="B162" s="113"/>
      <c r="C162" s="113"/>
      <c r="D162" s="113"/>
      <c r="E162" s="113"/>
      <c r="F162" s="113"/>
      <c r="G162" s="113"/>
      <c r="H162" s="113"/>
      <c r="I162" s="113"/>
      <c r="J162" s="113"/>
      <c r="K162" s="113"/>
      <c r="L162" s="113"/>
      <c r="M162" s="113"/>
      <c r="N162" s="113"/>
      <c r="O162" s="113"/>
      <c r="P162" s="113"/>
      <c r="Q162" s="113"/>
      <c r="R162" s="113"/>
      <c r="S162" s="113"/>
      <c r="T162" s="14">
        <v>0</v>
      </c>
      <c r="U162" s="14">
        <v>0</v>
      </c>
      <c r="V162" s="14">
        <v>1</v>
      </c>
      <c r="W162" s="14">
        <v>0</v>
      </c>
      <c r="X162" s="10">
        <v>64</v>
      </c>
      <c r="AA162" s="79" t="s">
        <v>118</v>
      </c>
      <c r="AB162" s="79">
        <v>-31.962461318749927</v>
      </c>
      <c r="AC162" s="79">
        <v>1.1067564453202099</v>
      </c>
      <c r="AD162" s="79">
        <v>-28.879399305872088</v>
      </c>
      <c r="AE162" s="79">
        <v>1.556178938739089E-95</v>
      </c>
      <c r="AF162" s="79">
        <v>-34.139022399429614</v>
      </c>
      <c r="AG162" s="79">
        <v>-29.785900238070241</v>
      </c>
      <c r="AH162" s="79">
        <v>-34.139022399429614</v>
      </c>
      <c r="AI162" s="79">
        <v>-29.785900238070241</v>
      </c>
    </row>
    <row r="163" spans="1:35" ht="20.149999999999999" customHeight="1" thickBot="1">
      <c r="A163" s="113"/>
      <c r="B163" s="113"/>
      <c r="C163" s="113"/>
      <c r="D163" s="113"/>
      <c r="E163" s="113"/>
      <c r="F163" s="113"/>
      <c r="G163" s="113"/>
      <c r="H163" s="113"/>
      <c r="I163" s="113"/>
      <c r="J163" s="113"/>
      <c r="K163" s="113"/>
      <c r="L163" s="113"/>
      <c r="M163" s="113"/>
      <c r="N163" s="113"/>
      <c r="O163" s="113"/>
      <c r="P163" s="113"/>
      <c r="Q163" s="113"/>
      <c r="R163" s="113"/>
      <c r="S163" s="113"/>
      <c r="T163" s="14">
        <v>0</v>
      </c>
      <c r="U163" s="14">
        <v>0</v>
      </c>
      <c r="V163" s="14">
        <v>1</v>
      </c>
      <c r="W163" s="14">
        <v>0</v>
      </c>
      <c r="X163" s="10">
        <v>55</v>
      </c>
      <c r="AA163" s="148" t="s">
        <v>116</v>
      </c>
      <c r="AB163" s="148">
        <v>19.805092064715922</v>
      </c>
      <c r="AC163" s="148">
        <v>1.4521352029306263</v>
      </c>
      <c r="AD163" s="148">
        <v>13.638600610154123</v>
      </c>
      <c r="AE163" s="148">
        <v>2.1216003304771525E-34</v>
      </c>
      <c r="AF163" s="148">
        <v>16.949304795576278</v>
      </c>
      <c r="AG163" s="148">
        <v>22.660879333855565</v>
      </c>
      <c r="AH163" s="148">
        <v>16.949304795576278</v>
      </c>
      <c r="AI163" s="148">
        <v>22.660879333855565</v>
      </c>
    </row>
    <row r="164" spans="1:35" ht="20.149999999999999" customHeight="1">
      <c r="A164" s="113"/>
      <c r="B164" s="113"/>
      <c r="C164" s="113"/>
      <c r="D164" s="113"/>
      <c r="E164" s="113"/>
      <c r="F164" s="113"/>
      <c r="G164" s="113"/>
      <c r="H164" s="113"/>
      <c r="I164" s="113"/>
      <c r="J164" s="113"/>
      <c r="K164" s="113"/>
      <c r="L164" s="113"/>
      <c r="M164" s="113"/>
      <c r="N164" s="113"/>
      <c r="O164" s="113"/>
      <c r="P164" s="113"/>
      <c r="Q164" s="113"/>
      <c r="R164" s="113"/>
      <c r="S164" s="113"/>
      <c r="T164" s="14">
        <v>0</v>
      </c>
      <c r="U164" s="14">
        <v>0</v>
      </c>
      <c r="V164" s="14">
        <v>1</v>
      </c>
      <c r="W164" s="14">
        <v>0</v>
      </c>
      <c r="X164" s="10">
        <v>66</v>
      </c>
      <c r="AA164" s="79"/>
      <c r="AB164" s="79"/>
      <c r="AC164" s="79"/>
      <c r="AD164" s="79"/>
      <c r="AE164" s="79">
        <f>MAX(AE157:AE163)</f>
        <v>0.29116971699948246</v>
      </c>
      <c r="AF164" s="79"/>
      <c r="AG164" s="79"/>
      <c r="AH164" s="79"/>
      <c r="AI164" s="79"/>
    </row>
    <row r="165" spans="1:35" ht="20.149999999999999" customHeight="1">
      <c r="A165" s="113"/>
      <c r="B165" s="113"/>
      <c r="C165" s="113"/>
      <c r="D165" s="113"/>
      <c r="E165" s="113"/>
      <c r="F165" s="113"/>
      <c r="G165" s="113"/>
      <c r="H165" s="113"/>
      <c r="I165" s="113"/>
      <c r="J165" s="113"/>
      <c r="K165" s="113"/>
      <c r="L165" s="113"/>
      <c r="M165" s="113"/>
      <c r="N165" s="113"/>
      <c r="O165" s="113"/>
      <c r="P165" s="113"/>
      <c r="Q165" s="113"/>
      <c r="R165" s="113"/>
      <c r="S165" s="113"/>
      <c r="T165" s="14">
        <v>0</v>
      </c>
      <c r="U165" s="14">
        <v>0</v>
      </c>
      <c r="V165" s="14">
        <v>0</v>
      </c>
      <c r="W165" s="14">
        <v>0</v>
      </c>
      <c r="X165" s="10">
        <v>70</v>
      </c>
      <c r="AA165"/>
      <c r="AB165"/>
      <c r="AC165"/>
      <c r="AD165"/>
      <c r="AE165"/>
      <c r="AF165"/>
      <c r="AG165"/>
      <c r="AH165"/>
      <c r="AI165"/>
    </row>
    <row r="166" spans="1:35" ht="20.149999999999999" customHeight="1">
      <c r="A166" s="113"/>
      <c r="B166" s="113"/>
      <c r="C166" s="113"/>
      <c r="D166" s="113"/>
      <c r="E166" s="113"/>
      <c r="F166" s="113"/>
      <c r="G166" s="113"/>
      <c r="H166" s="113"/>
      <c r="I166" s="113"/>
      <c r="J166" s="113"/>
      <c r="K166" s="113"/>
      <c r="L166" s="113"/>
      <c r="M166" s="113"/>
      <c r="N166" s="113"/>
      <c r="O166" s="113"/>
      <c r="P166" s="113"/>
      <c r="Q166" s="113"/>
      <c r="R166" s="113"/>
      <c r="S166" s="113"/>
      <c r="T166" s="14">
        <v>0</v>
      </c>
      <c r="U166" s="14">
        <v>0</v>
      </c>
      <c r="V166" s="14">
        <v>0</v>
      </c>
      <c r="W166" s="14">
        <v>0</v>
      </c>
      <c r="X166" s="10">
        <v>75</v>
      </c>
      <c r="AA166"/>
      <c r="AB166"/>
      <c r="AC166"/>
      <c r="AD166"/>
      <c r="AE166"/>
      <c r="AF166"/>
      <c r="AG166"/>
      <c r="AH166"/>
      <c r="AI166"/>
    </row>
    <row r="167" spans="1:35" ht="20.149999999999999" customHeight="1">
      <c r="A167" s="113"/>
      <c r="B167" s="113"/>
      <c r="C167" s="113"/>
      <c r="D167" s="113"/>
      <c r="E167" s="113"/>
      <c r="F167" s="113"/>
      <c r="G167" s="113"/>
      <c r="H167" s="113"/>
      <c r="I167" s="113"/>
      <c r="J167" s="113"/>
      <c r="K167" s="113"/>
      <c r="L167" s="113"/>
      <c r="M167" s="113"/>
      <c r="N167" s="113"/>
      <c r="O167" s="113"/>
      <c r="P167" s="113"/>
      <c r="Q167" s="113"/>
      <c r="R167" s="113"/>
      <c r="S167" s="113"/>
      <c r="T167" s="14">
        <v>0</v>
      </c>
      <c r="U167" s="14">
        <v>0</v>
      </c>
      <c r="V167" s="14">
        <v>0</v>
      </c>
      <c r="W167" s="14">
        <v>0</v>
      </c>
      <c r="X167" s="10">
        <v>75</v>
      </c>
      <c r="AA167" s="79"/>
      <c r="AB167" s="79"/>
      <c r="AC167" s="79"/>
      <c r="AD167" s="79"/>
      <c r="AE167" s="79"/>
      <c r="AF167" s="79"/>
      <c r="AG167" s="79"/>
      <c r="AH167" s="79"/>
      <c r="AI167" s="79"/>
    </row>
    <row r="168" spans="1:35" ht="20.149999999999999" customHeight="1">
      <c r="A168" s="113"/>
      <c r="B168" s="113"/>
      <c r="C168" s="113"/>
      <c r="D168" s="113"/>
      <c r="E168" s="113"/>
      <c r="F168" s="113"/>
      <c r="G168" s="113"/>
      <c r="H168" s="113"/>
      <c r="I168" s="113"/>
      <c r="J168" s="113"/>
      <c r="K168" s="113"/>
      <c r="L168" s="113"/>
      <c r="M168" s="113"/>
      <c r="N168" s="113"/>
      <c r="O168" s="113"/>
      <c r="P168" s="113"/>
      <c r="Q168" s="113"/>
      <c r="R168" s="113"/>
      <c r="S168" s="113"/>
      <c r="T168" s="14">
        <v>0</v>
      </c>
      <c r="U168" s="14">
        <v>0</v>
      </c>
      <c r="V168" s="14">
        <v>0</v>
      </c>
      <c r="W168" s="14">
        <v>0</v>
      </c>
      <c r="X168" s="10">
        <v>72</v>
      </c>
      <c r="AA168" s="79"/>
      <c r="AB168" s="79"/>
      <c r="AC168" s="79"/>
      <c r="AD168" s="79"/>
      <c r="AE168" s="79"/>
      <c r="AF168" s="79"/>
      <c r="AG168" s="79"/>
      <c r="AH168" s="79"/>
      <c r="AI168" s="79"/>
    </row>
    <row r="169" spans="1:35" ht="20.149999999999999" customHeight="1">
      <c r="A169" s="113"/>
      <c r="B169" s="113"/>
      <c r="C169" s="113"/>
      <c r="D169" s="113"/>
      <c r="E169" s="113"/>
      <c r="F169" s="113"/>
      <c r="G169" s="113"/>
      <c r="H169" s="113"/>
      <c r="I169" s="113"/>
      <c r="J169" s="113"/>
      <c r="K169" s="113"/>
      <c r="L169" s="113"/>
      <c r="M169" s="113"/>
      <c r="N169" s="113"/>
      <c r="O169" s="113"/>
      <c r="P169" s="113"/>
      <c r="Q169" s="113"/>
      <c r="R169" s="113"/>
      <c r="S169" s="113"/>
      <c r="T169" s="14">
        <v>0</v>
      </c>
      <c r="U169" s="14">
        <v>0</v>
      </c>
      <c r="V169" s="14">
        <v>1</v>
      </c>
      <c r="W169" s="14">
        <v>0</v>
      </c>
      <c r="X169" s="10">
        <v>55</v>
      </c>
      <c r="AA169" s="79"/>
      <c r="AB169" s="79"/>
      <c r="AC169" s="79"/>
      <c r="AD169" s="79"/>
      <c r="AE169" s="79"/>
      <c r="AF169" s="79"/>
      <c r="AG169" s="79"/>
      <c r="AH169" s="79"/>
      <c r="AI169" s="79"/>
    </row>
    <row r="170" spans="1:35" ht="20.149999999999999" customHeight="1">
      <c r="A170" s="113"/>
      <c r="B170" s="113"/>
      <c r="C170" s="113"/>
      <c r="D170" s="113"/>
      <c r="E170" s="113"/>
      <c r="F170" s="113"/>
      <c r="G170" s="113"/>
      <c r="H170" s="113"/>
      <c r="I170" s="113"/>
      <c r="J170" s="113"/>
      <c r="K170" s="113"/>
      <c r="L170" s="113"/>
      <c r="M170" s="113"/>
      <c r="N170" s="113"/>
      <c r="O170" s="113"/>
      <c r="P170" s="113"/>
      <c r="Q170" s="113"/>
      <c r="R170" s="113"/>
      <c r="S170" s="113"/>
      <c r="T170" s="14">
        <v>0</v>
      </c>
      <c r="U170" s="14">
        <v>0</v>
      </c>
      <c r="V170" s="14">
        <v>1</v>
      </c>
      <c r="W170" s="14">
        <v>0</v>
      </c>
      <c r="X170" s="10">
        <v>48</v>
      </c>
      <c r="AA170" s="79" t="s">
        <v>125</v>
      </c>
      <c r="AB170" s="79"/>
      <c r="AC170" s="79"/>
      <c r="AD170" s="79"/>
      <c r="AE170" s="79"/>
      <c r="AF170" s="79"/>
      <c r="AG170" s="79"/>
      <c r="AH170" s="79"/>
      <c r="AI170" s="79"/>
    </row>
    <row r="171" spans="1:35" ht="20.149999999999999" customHeight="1" thickBot="1">
      <c r="A171" s="113"/>
      <c r="B171" s="113"/>
      <c r="C171" s="113"/>
      <c r="D171" s="113"/>
      <c r="E171" s="113"/>
      <c r="F171" s="113"/>
      <c r="G171" s="113"/>
      <c r="H171" s="113"/>
      <c r="I171" s="113"/>
      <c r="J171" s="113"/>
      <c r="K171" s="113"/>
      <c r="L171" s="113"/>
      <c r="M171" s="113"/>
      <c r="N171" s="113"/>
      <c r="O171" s="113"/>
      <c r="P171" s="113"/>
      <c r="Q171" s="113"/>
      <c r="R171" s="113"/>
      <c r="S171" s="113"/>
      <c r="T171" s="14">
        <v>0</v>
      </c>
      <c r="U171" s="14">
        <v>0</v>
      </c>
      <c r="V171" s="14">
        <v>1</v>
      </c>
      <c r="W171" s="14">
        <v>0</v>
      </c>
      <c r="X171" s="10">
        <v>68</v>
      </c>
      <c r="AA171" s="79"/>
      <c r="AB171" s="79"/>
      <c r="AC171" s="79"/>
      <c r="AD171" s="79"/>
      <c r="AE171" s="79"/>
      <c r="AF171" s="79"/>
      <c r="AG171" s="79"/>
      <c r="AH171" s="79"/>
      <c r="AI171" s="79"/>
    </row>
    <row r="172" spans="1:35" ht="20.149999999999999" customHeight="1">
      <c r="A172" s="113"/>
      <c r="B172" s="113"/>
      <c r="C172" s="113"/>
      <c r="D172" s="113"/>
      <c r="E172" s="113"/>
      <c r="F172" s="113"/>
      <c r="G172" s="113"/>
      <c r="H172" s="113"/>
      <c r="I172" s="113"/>
      <c r="J172" s="113"/>
      <c r="K172" s="113"/>
      <c r="L172" s="113"/>
      <c r="M172" s="113"/>
      <c r="N172" s="113"/>
      <c r="O172" s="113"/>
      <c r="P172" s="113"/>
      <c r="Q172" s="113"/>
      <c r="R172" s="113"/>
      <c r="S172" s="113"/>
      <c r="T172" s="14">
        <v>0</v>
      </c>
      <c r="U172" s="14">
        <v>0</v>
      </c>
      <c r="V172" s="14">
        <v>0</v>
      </c>
      <c r="W172" s="14">
        <v>0</v>
      </c>
      <c r="X172" s="10">
        <v>75</v>
      </c>
      <c r="AA172" s="154" t="s">
        <v>126</v>
      </c>
      <c r="AB172" s="154"/>
      <c r="AC172" s="79"/>
      <c r="AD172" s="79"/>
      <c r="AE172" s="79"/>
      <c r="AF172" s="79"/>
      <c r="AG172" s="79"/>
      <c r="AH172" s="79"/>
      <c r="AI172" s="79"/>
    </row>
    <row r="173" spans="1:35" ht="20.149999999999999" customHeight="1">
      <c r="A173" s="113"/>
      <c r="B173" s="113"/>
      <c r="C173" s="113"/>
      <c r="D173" s="113"/>
      <c r="E173" s="113"/>
      <c r="F173" s="113"/>
      <c r="G173" s="113"/>
      <c r="H173" s="113"/>
      <c r="I173" s="113"/>
      <c r="J173" s="113"/>
      <c r="K173" s="113"/>
      <c r="L173" s="113"/>
      <c r="M173" s="113"/>
      <c r="N173" s="113"/>
      <c r="O173" s="113"/>
      <c r="P173" s="113"/>
      <c r="Q173" s="113"/>
      <c r="R173" s="113"/>
      <c r="S173" s="113"/>
      <c r="T173" s="14">
        <v>0</v>
      </c>
      <c r="U173" s="14">
        <v>0</v>
      </c>
      <c r="V173" s="14">
        <v>1</v>
      </c>
      <c r="W173" s="14">
        <v>0</v>
      </c>
      <c r="X173" s="10">
        <v>53</v>
      </c>
      <c r="AA173" s="79" t="s">
        <v>127</v>
      </c>
      <c r="AB173" s="79">
        <v>0.95616242277532415</v>
      </c>
      <c r="AC173" s="79"/>
      <c r="AD173" s="79"/>
      <c r="AE173" s="79"/>
      <c r="AF173" s="79"/>
      <c r="AG173" s="79"/>
      <c r="AH173" s="79"/>
      <c r="AI173" s="79"/>
    </row>
    <row r="174" spans="1:35" ht="20.149999999999999" customHeight="1">
      <c r="A174" s="113"/>
      <c r="B174" s="113"/>
      <c r="C174" s="113"/>
      <c r="D174" s="113"/>
      <c r="E174" s="113"/>
      <c r="F174" s="113"/>
      <c r="G174" s="113"/>
      <c r="H174" s="113"/>
      <c r="I174" s="113"/>
      <c r="J174" s="113"/>
      <c r="K174" s="113"/>
      <c r="L174" s="113"/>
      <c r="M174" s="113"/>
      <c r="N174" s="113"/>
      <c r="O174" s="113"/>
      <c r="P174" s="113"/>
      <c r="Q174" s="113"/>
      <c r="R174" s="113"/>
      <c r="S174" s="113"/>
      <c r="T174" s="14">
        <v>0</v>
      </c>
      <c r="U174" s="14">
        <v>0</v>
      </c>
      <c r="V174" s="14">
        <v>1</v>
      </c>
      <c r="W174" s="14">
        <v>0</v>
      </c>
      <c r="X174" s="10">
        <v>62</v>
      </c>
      <c r="AA174" s="79" t="s">
        <v>128</v>
      </c>
      <c r="AB174" s="79">
        <v>0.91424657872757764</v>
      </c>
      <c r="AC174" s="79"/>
      <c r="AD174" s="79"/>
      <c r="AE174" s="79"/>
      <c r="AF174" s="79"/>
      <c r="AG174" s="79"/>
      <c r="AH174" s="79"/>
      <c r="AI174" s="79"/>
    </row>
    <row r="175" spans="1:35" ht="20.149999999999999" customHeight="1">
      <c r="A175" s="113"/>
      <c r="B175" s="113"/>
      <c r="C175" s="113"/>
      <c r="D175" s="113"/>
      <c r="E175" s="113"/>
      <c r="F175" s="113"/>
      <c r="G175" s="113"/>
      <c r="H175" s="113"/>
      <c r="I175" s="113"/>
      <c r="J175" s="113"/>
      <c r="K175" s="113"/>
      <c r="L175" s="113"/>
      <c r="M175" s="113"/>
      <c r="N175" s="113"/>
      <c r="O175" s="113"/>
      <c r="P175" s="113"/>
      <c r="Q175" s="113"/>
      <c r="R175" s="113"/>
      <c r="S175" s="113"/>
      <c r="T175" s="14">
        <v>0</v>
      </c>
      <c r="U175" s="14">
        <v>0</v>
      </c>
      <c r="V175" s="14">
        <v>1</v>
      </c>
      <c r="W175" s="14">
        <v>0</v>
      </c>
      <c r="X175" s="10">
        <v>44</v>
      </c>
      <c r="AA175" s="79" t="s">
        <v>129</v>
      </c>
      <c r="AB175" s="79">
        <v>0.91305224138395058</v>
      </c>
      <c r="AC175" s="79"/>
      <c r="AD175" s="79"/>
      <c r="AE175" s="79"/>
      <c r="AF175" s="79"/>
      <c r="AG175" s="79"/>
      <c r="AH175" s="79"/>
      <c r="AI175" s="79"/>
    </row>
    <row r="176" spans="1:35" ht="20.149999999999999" customHeight="1">
      <c r="A176" s="113"/>
      <c r="B176" s="113"/>
      <c r="C176" s="113"/>
      <c r="D176" s="113"/>
      <c r="E176" s="113"/>
      <c r="F176" s="113"/>
      <c r="G176" s="113"/>
      <c r="H176" s="113"/>
      <c r="I176" s="113"/>
      <c r="J176" s="113"/>
      <c r="K176" s="113"/>
      <c r="L176" s="113"/>
      <c r="M176" s="113"/>
      <c r="N176" s="113"/>
      <c r="O176" s="113"/>
      <c r="P176" s="113"/>
      <c r="Q176" s="113"/>
      <c r="R176" s="113"/>
      <c r="S176" s="113"/>
      <c r="T176" s="14">
        <v>0</v>
      </c>
      <c r="U176" s="14">
        <v>1</v>
      </c>
      <c r="V176" s="14">
        <v>0</v>
      </c>
      <c r="W176" s="14">
        <v>0</v>
      </c>
      <c r="X176" s="10">
        <v>20</v>
      </c>
      <c r="AA176" s="79" t="s">
        <v>130</v>
      </c>
      <c r="AB176" s="79">
        <v>8.1381716653387457</v>
      </c>
      <c r="AC176" s="79"/>
      <c r="AD176" s="79"/>
      <c r="AE176" s="79"/>
      <c r="AF176" s="79"/>
      <c r="AG176" s="79"/>
      <c r="AH176" s="79"/>
      <c r="AI176" s="79"/>
    </row>
    <row r="177" spans="1:35" ht="20.149999999999999" customHeight="1" thickBot="1">
      <c r="A177" s="113"/>
      <c r="B177" s="113"/>
      <c r="C177" s="113"/>
      <c r="D177" s="113"/>
      <c r="E177" s="113"/>
      <c r="F177" s="113"/>
      <c r="G177" s="113"/>
      <c r="H177" s="113"/>
      <c r="I177" s="113"/>
      <c r="J177" s="113"/>
      <c r="K177" s="113"/>
      <c r="L177" s="113"/>
      <c r="M177" s="113"/>
      <c r="N177" s="113"/>
      <c r="O177" s="113"/>
      <c r="P177" s="113"/>
      <c r="Q177" s="113"/>
      <c r="R177" s="113"/>
      <c r="S177" s="113"/>
      <c r="T177" s="14">
        <v>0</v>
      </c>
      <c r="U177" s="14">
        <v>1</v>
      </c>
      <c r="V177" s="14">
        <v>0</v>
      </c>
      <c r="W177" s="14">
        <v>0</v>
      </c>
      <c r="X177" s="10">
        <v>15</v>
      </c>
      <c r="AA177" s="148" t="s">
        <v>131</v>
      </c>
      <c r="AB177" s="148">
        <v>365</v>
      </c>
      <c r="AC177" s="79"/>
      <c r="AD177" s="79"/>
      <c r="AE177" s="79"/>
      <c r="AF177" s="79"/>
      <c r="AG177" s="79"/>
      <c r="AH177" s="79"/>
      <c r="AI177" s="79"/>
    </row>
    <row r="178" spans="1:35" ht="20.149999999999999" customHeight="1">
      <c r="A178" s="113"/>
      <c r="B178" s="113"/>
      <c r="C178" s="113"/>
      <c r="D178" s="113"/>
      <c r="E178" s="113"/>
      <c r="F178" s="113"/>
      <c r="G178" s="113"/>
      <c r="H178" s="113"/>
      <c r="I178" s="113"/>
      <c r="J178" s="113"/>
      <c r="K178" s="113"/>
      <c r="L178" s="113"/>
      <c r="M178" s="113"/>
      <c r="N178" s="113"/>
      <c r="O178" s="113"/>
      <c r="P178" s="113"/>
      <c r="Q178" s="113"/>
      <c r="R178" s="113"/>
      <c r="S178" s="113"/>
      <c r="T178" s="14">
        <v>0</v>
      </c>
      <c r="U178" s="14">
        <v>1</v>
      </c>
      <c r="V178" s="14">
        <v>0</v>
      </c>
      <c r="W178" s="14">
        <v>0</v>
      </c>
      <c r="X178" s="10">
        <v>27</v>
      </c>
      <c r="AA178" s="79"/>
      <c r="AB178" s="79"/>
      <c r="AC178" s="79"/>
      <c r="AD178" s="79"/>
      <c r="AE178" s="79"/>
      <c r="AF178" s="79"/>
      <c r="AG178" s="79"/>
      <c r="AH178" s="79"/>
      <c r="AI178" s="79"/>
    </row>
    <row r="179" spans="1:35" ht="20.149999999999999" customHeight="1" thickBot="1">
      <c r="A179" s="113"/>
      <c r="B179" s="113"/>
      <c r="C179" s="113"/>
      <c r="D179" s="113"/>
      <c r="E179" s="113"/>
      <c r="F179" s="113"/>
      <c r="G179" s="113"/>
      <c r="H179" s="113"/>
      <c r="I179" s="113"/>
      <c r="J179" s="113"/>
      <c r="K179" s="113"/>
      <c r="L179" s="113"/>
      <c r="M179" s="113"/>
      <c r="N179" s="113"/>
      <c r="O179" s="113"/>
      <c r="P179" s="113"/>
      <c r="Q179" s="113"/>
      <c r="R179" s="113"/>
      <c r="S179" s="113"/>
      <c r="T179" s="14">
        <v>0</v>
      </c>
      <c r="U179" s="14">
        <v>1</v>
      </c>
      <c r="V179" s="14">
        <v>0</v>
      </c>
      <c r="W179" s="14">
        <v>0</v>
      </c>
      <c r="X179" s="10">
        <v>23</v>
      </c>
      <c r="AA179" s="79" t="s">
        <v>132</v>
      </c>
      <c r="AB179" s="79"/>
      <c r="AC179" s="79"/>
      <c r="AD179" s="79"/>
      <c r="AE179" s="79"/>
      <c r="AF179" s="79"/>
      <c r="AG179" s="79"/>
      <c r="AH179" s="79"/>
      <c r="AI179" s="79"/>
    </row>
    <row r="180" spans="1:35" ht="20.149999999999999" customHeight="1">
      <c r="A180" s="113"/>
      <c r="B180" s="113"/>
      <c r="C180" s="113"/>
      <c r="D180" s="113"/>
      <c r="E180" s="113"/>
      <c r="F180" s="113"/>
      <c r="G180" s="113"/>
      <c r="H180" s="113"/>
      <c r="I180" s="113"/>
      <c r="J180" s="113"/>
      <c r="K180" s="113"/>
      <c r="L180" s="113"/>
      <c r="M180" s="113"/>
      <c r="N180" s="113"/>
      <c r="O180" s="113"/>
      <c r="P180" s="113"/>
      <c r="Q180" s="113"/>
      <c r="R180" s="113"/>
      <c r="S180" s="113"/>
      <c r="T180" s="14">
        <v>0</v>
      </c>
      <c r="U180" s="14">
        <v>0</v>
      </c>
      <c r="V180" s="14">
        <v>1</v>
      </c>
      <c r="W180" s="14">
        <v>0</v>
      </c>
      <c r="X180" s="10">
        <v>46</v>
      </c>
      <c r="AA180" s="155"/>
      <c r="AB180" s="155" t="s">
        <v>137</v>
      </c>
      <c r="AC180" s="155" t="s">
        <v>138</v>
      </c>
      <c r="AD180" s="155" t="s">
        <v>139</v>
      </c>
      <c r="AE180" s="155" t="s">
        <v>140</v>
      </c>
      <c r="AF180" s="155" t="s">
        <v>141</v>
      </c>
      <c r="AG180" s="79"/>
      <c r="AH180" s="79"/>
      <c r="AI180" s="79"/>
    </row>
    <row r="181" spans="1:35" ht="20.149999999999999" customHeight="1">
      <c r="A181" s="113"/>
      <c r="B181" s="113"/>
      <c r="C181" s="113"/>
      <c r="D181" s="113"/>
      <c r="E181" s="113"/>
      <c r="F181" s="113"/>
      <c r="G181" s="113"/>
      <c r="H181" s="113"/>
      <c r="I181" s="113"/>
      <c r="J181" s="113"/>
      <c r="K181" s="113"/>
      <c r="L181" s="113"/>
      <c r="M181" s="113"/>
      <c r="N181" s="113"/>
      <c r="O181" s="113"/>
      <c r="P181" s="113"/>
      <c r="Q181" s="113"/>
      <c r="R181" s="113"/>
      <c r="S181" s="113"/>
      <c r="T181" s="14">
        <v>0</v>
      </c>
      <c r="U181" s="14">
        <v>0</v>
      </c>
      <c r="V181" s="14">
        <v>1</v>
      </c>
      <c r="W181" s="14">
        <v>0</v>
      </c>
      <c r="X181" s="10">
        <v>48</v>
      </c>
      <c r="AA181" s="79" t="s">
        <v>133</v>
      </c>
      <c r="AB181" s="79">
        <v>5</v>
      </c>
      <c r="AC181" s="79">
        <v>253489.53197404288</v>
      </c>
      <c r="AD181" s="79">
        <v>50697.906394808575</v>
      </c>
      <c r="AE181" s="79">
        <v>765.48437809967959</v>
      </c>
      <c r="AF181" s="79">
        <v>5.2789804776520143E-189</v>
      </c>
      <c r="AG181" s="79"/>
      <c r="AH181" s="79"/>
      <c r="AI181" s="79"/>
    </row>
    <row r="182" spans="1:35" ht="20.149999999999999" customHeight="1">
      <c r="A182" s="113"/>
      <c r="B182" s="113"/>
      <c r="C182" s="113"/>
      <c r="D182" s="113"/>
      <c r="E182" s="113"/>
      <c r="F182" s="113"/>
      <c r="G182" s="113"/>
      <c r="H182" s="113"/>
      <c r="I182" s="113"/>
      <c r="J182" s="113"/>
      <c r="K182" s="113"/>
      <c r="L182" s="113"/>
      <c r="M182" s="113"/>
      <c r="N182" s="113"/>
      <c r="O182" s="113"/>
      <c r="P182" s="113"/>
      <c r="Q182" s="113"/>
      <c r="R182" s="113"/>
      <c r="S182" s="113"/>
      <c r="T182" s="14">
        <v>0</v>
      </c>
      <c r="U182" s="14">
        <v>0</v>
      </c>
      <c r="V182" s="14">
        <v>1</v>
      </c>
      <c r="W182" s="14">
        <v>0</v>
      </c>
      <c r="X182" s="10">
        <v>60</v>
      </c>
      <c r="AA182" s="79" t="s">
        <v>134</v>
      </c>
      <c r="AB182" s="79">
        <v>359</v>
      </c>
      <c r="AC182" s="79">
        <v>23776.511861573541</v>
      </c>
      <c r="AD182" s="79">
        <v>66.229838054522403</v>
      </c>
      <c r="AE182" s="79"/>
      <c r="AF182" s="79"/>
      <c r="AG182" s="79"/>
      <c r="AH182" s="79"/>
      <c r="AI182" s="79"/>
    </row>
    <row r="183" spans="1:35" ht="20.149999999999999" customHeight="1" thickBot="1">
      <c r="A183" s="113"/>
      <c r="B183" s="113"/>
      <c r="C183" s="113"/>
      <c r="D183" s="113"/>
      <c r="E183" s="113"/>
      <c r="F183" s="113"/>
      <c r="G183" s="113"/>
      <c r="H183" s="113"/>
      <c r="I183" s="113"/>
      <c r="J183" s="113"/>
      <c r="K183" s="113"/>
      <c r="L183" s="113"/>
      <c r="M183" s="113"/>
      <c r="N183" s="113"/>
      <c r="O183" s="113"/>
      <c r="P183" s="113"/>
      <c r="Q183" s="113"/>
      <c r="R183" s="113"/>
      <c r="S183" s="113"/>
      <c r="T183" s="14">
        <v>0</v>
      </c>
      <c r="U183" s="14">
        <v>0</v>
      </c>
      <c r="V183" s="14">
        <v>1</v>
      </c>
      <c r="W183" s="14">
        <v>0</v>
      </c>
      <c r="X183" s="10">
        <v>49</v>
      </c>
      <c r="AA183" s="148" t="s">
        <v>135</v>
      </c>
      <c r="AB183" s="148">
        <v>364</v>
      </c>
      <c r="AC183" s="148">
        <v>277266.04383561644</v>
      </c>
      <c r="AD183" s="148"/>
      <c r="AE183" s="148"/>
      <c r="AF183" s="148"/>
      <c r="AG183" s="79"/>
      <c r="AH183" s="79"/>
      <c r="AI183" s="79"/>
    </row>
    <row r="184" spans="1:35" ht="20.149999999999999" customHeight="1" thickBot="1">
      <c r="A184" s="113"/>
      <c r="B184" s="113"/>
      <c r="C184" s="113"/>
      <c r="D184" s="113"/>
      <c r="E184" s="113"/>
      <c r="F184" s="113"/>
      <c r="G184" s="113"/>
      <c r="H184" s="113"/>
      <c r="I184" s="113"/>
      <c r="J184" s="113"/>
      <c r="K184" s="113"/>
      <c r="L184" s="113"/>
      <c r="M184" s="113"/>
      <c r="N184" s="113"/>
      <c r="O184" s="113"/>
      <c r="P184" s="113"/>
      <c r="Q184" s="113"/>
      <c r="R184" s="113"/>
      <c r="S184" s="113"/>
      <c r="T184" s="14">
        <v>0</v>
      </c>
      <c r="U184" s="14">
        <v>1</v>
      </c>
      <c r="V184" s="14">
        <v>0</v>
      </c>
      <c r="W184" s="14">
        <v>0</v>
      </c>
      <c r="X184" s="10">
        <v>20</v>
      </c>
      <c r="AA184" s="79"/>
      <c r="AB184" s="79"/>
      <c r="AC184" s="79"/>
      <c r="AD184" s="79"/>
      <c r="AE184" s="79"/>
      <c r="AF184" s="79"/>
      <c r="AG184" s="79"/>
      <c r="AH184" s="79"/>
      <c r="AI184" s="79"/>
    </row>
    <row r="185" spans="1:35" ht="20.149999999999999" customHeight="1">
      <c r="A185" s="113"/>
      <c r="B185" s="113"/>
      <c r="C185" s="113"/>
      <c r="D185" s="113"/>
      <c r="E185" s="113"/>
      <c r="F185" s="113"/>
      <c r="G185" s="113"/>
      <c r="H185" s="113"/>
      <c r="I185" s="113"/>
      <c r="J185" s="113"/>
      <c r="K185" s="113"/>
      <c r="L185" s="113"/>
      <c r="M185" s="113"/>
      <c r="N185" s="113"/>
      <c r="O185" s="113"/>
      <c r="P185" s="113"/>
      <c r="Q185" s="113"/>
      <c r="R185" s="113"/>
      <c r="S185" s="113"/>
      <c r="T185" s="14">
        <v>0</v>
      </c>
      <c r="U185" s="14">
        <v>1</v>
      </c>
      <c r="V185" s="14">
        <v>0</v>
      </c>
      <c r="W185" s="14">
        <v>0</v>
      </c>
      <c r="X185" s="10">
        <v>16</v>
      </c>
      <c r="AA185" s="155"/>
      <c r="AB185" s="155" t="s">
        <v>142</v>
      </c>
      <c r="AC185" s="155" t="s">
        <v>130</v>
      </c>
      <c r="AD185" s="155" t="s">
        <v>143</v>
      </c>
      <c r="AE185" s="155" t="s">
        <v>144</v>
      </c>
      <c r="AF185" s="155" t="s">
        <v>145</v>
      </c>
      <c r="AG185" s="155" t="s">
        <v>146</v>
      </c>
      <c r="AH185" s="155" t="s">
        <v>147</v>
      </c>
      <c r="AI185" s="155" t="s">
        <v>148</v>
      </c>
    </row>
    <row r="186" spans="1:35" ht="20.149999999999999" customHeight="1">
      <c r="A186" s="113"/>
      <c r="B186" s="113"/>
      <c r="C186" s="113"/>
      <c r="D186" s="113"/>
      <c r="E186" s="113"/>
      <c r="F186" s="113"/>
      <c r="G186" s="113"/>
      <c r="H186" s="113"/>
      <c r="I186" s="113"/>
      <c r="J186" s="113"/>
      <c r="K186" s="113"/>
      <c r="L186" s="113"/>
      <c r="M186" s="113"/>
      <c r="N186" s="113"/>
      <c r="O186" s="113"/>
      <c r="P186" s="113"/>
      <c r="Q186" s="113"/>
      <c r="R186" s="113"/>
      <c r="S186" s="113"/>
      <c r="T186" s="14">
        <v>1</v>
      </c>
      <c r="U186" s="14">
        <v>1</v>
      </c>
      <c r="V186" s="14">
        <v>0</v>
      </c>
      <c r="W186" s="14">
        <v>0</v>
      </c>
      <c r="X186" s="10">
        <v>27</v>
      </c>
      <c r="AA186" s="79" t="s">
        <v>136</v>
      </c>
      <c r="AB186" s="79">
        <v>85.037411199929963</v>
      </c>
      <c r="AC186" s="79">
        <v>0.70875549273826521</v>
      </c>
      <c r="AD186" s="79">
        <v>119.98130818202102</v>
      </c>
      <c r="AE186" s="79">
        <v>8.8478959624381197E-292</v>
      </c>
      <c r="AF186" s="79">
        <v>83.643576944550958</v>
      </c>
      <c r="AG186" s="79">
        <v>86.431245455308968</v>
      </c>
      <c r="AH186" s="79">
        <v>83.643576944550958</v>
      </c>
      <c r="AI186" s="79">
        <v>86.431245455308968</v>
      </c>
    </row>
    <row r="187" spans="1:35" ht="20.149999999999999" customHeight="1">
      <c r="A187" s="113"/>
      <c r="B187" s="113"/>
      <c r="C187" s="113"/>
      <c r="D187" s="113"/>
      <c r="E187" s="113"/>
      <c r="F187" s="113"/>
      <c r="G187" s="113"/>
      <c r="H187" s="113"/>
      <c r="I187" s="113"/>
      <c r="J187" s="113"/>
      <c r="K187" s="113"/>
      <c r="L187" s="113"/>
      <c r="M187" s="113"/>
      <c r="N187" s="113"/>
      <c r="O187" s="113"/>
      <c r="P187" s="113"/>
      <c r="Q187" s="113"/>
      <c r="R187" s="113"/>
      <c r="S187" s="113"/>
      <c r="T187" s="14">
        <v>0</v>
      </c>
      <c r="U187" s="14">
        <v>1</v>
      </c>
      <c r="V187" s="14">
        <v>0</v>
      </c>
      <c r="W187" s="14">
        <v>0</v>
      </c>
      <c r="X187" s="10">
        <v>31</v>
      </c>
      <c r="AA187" s="79" t="s">
        <v>111</v>
      </c>
      <c r="AB187" s="79">
        <v>5.4936739517881428</v>
      </c>
      <c r="AC187" s="79">
        <v>2.6135425465178685</v>
      </c>
      <c r="AD187" s="79">
        <v>2.1020028769409524</v>
      </c>
      <c r="AE187" s="79">
        <v>3.6249230617625854E-2</v>
      </c>
      <c r="AF187" s="79">
        <v>0.35389702370676979</v>
      </c>
      <c r="AG187" s="79">
        <v>10.633450879869516</v>
      </c>
      <c r="AH187" s="79">
        <v>0.35389702370676979</v>
      </c>
      <c r="AI187" s="79">
        <v>10.633450879869516</v>
      </c>
    </row>
    <row r="188" spans="1:35" ht="20.149999999999999" customHeight="1">
      <c r="A188" s="113"/>
      <c r="B188" s="113"/>
      <c r="C188" s="113"/>
      <c r="D188" s="113"/>
      <c r="E188" s="113"/>
      <c r="F188" s="113"/>
      <c r="G188" s="113"/>
      <c r="H188" s="113"/>
      <c r="I188" s="113"/>
      <c r="J188" s="113"/>
      <c r="K188" s="113"/>
      <c r="L188" s="113"/>
      <c r="M188" s="113"/>
      <c r="N188" s="113"/>
      <c r="O188" s="113"/>
      <c r="P188" s="113"/>
      <c r="Q188" s="113"/>
      <c r="R188" s="113"/>
      <c r="S188" s="113"/>
      <c r="T188" s="14">
        <v>0</v>
      </c>
      <c r="U188" s="14">
        <v>1</v>
      </c>
      <c r="V188" s="14">
        <v>0</v>
      </c>
      <c r="W188" s="14">
        <v>0</v>
      </c>
      <c r="X188" s="10">
        <v>32</v>
      </c>
      <c r="AA188" s="79" t="s">
        <v>113</v>
      </c>
      <c r="AB188" s="79">
        <v>1.7167097579717161</v>
      </c>
      <c r="AC188" s="79">
        <v>0.90541192685009664</v>
      </c>
      <c r="AD188" s="79">
        <v>1.8960538370022388</v>
      </c>
      <c r="AE188" s="159">
        <v>5.8755670473236092E-2</v>
      </c>
      <c r="AF188" s="79">
        <v>-6.386784855473282E-2</v>
      </c>
      <c r="AG188" s="79">
        <v>3.497287364498165</v>
      </c>
      <c r="AH188" s="79">
        <v>-6.386784855473282E-2</v>
      </c>
      <c r="AI188" s="79">
        <v>3.497287364498165</v>
      </c>
    </row>
    <row r="189" spans="1:35" ht="20.149999999999999" customHeight="1">
      <c r="A189" s="113"/>
      <c r="B189" s="113"/>
      <c r="C189" s="113"/>
      <c r="D189" s="113"/>
      <c r="E189" s="113"/>
      <c r="F189" s="113"/>
      <c r="G189" s="113"/>
      <c r="H189" s="113"/>
      <c r="I189" s="113"/>
      <c r="J189" s="113"/>
      <c r="K189" s="113"/>
      <c r="L189" s="113"/>
      <c r="M189" s="113"/>
      <c r="N189" s="113"/>
      <c r="O189" s="113"/>
      <c r="P189" s="113"/>
      <c r="Q189" s="113"/>
      <c r="R189" s="113"/>
      <c r="S189" s="113"/>
      <c r="T189" s="14">
        <v>0</v>
      </c>
      <c r="U189" s="14">
        <v>1</v>
      </c>
      <c r="V189" s="14">
        <v>0</v>
      </c>
      <c r="W189" s="14">
        <v>0</v>
      </c>
      <c r="X189" s="10">
        <v>32</v>
      </c>
      <c r="AA189" s="79" t="s">
        <v>117</v>
      </c>
      <c r="AB189" s="79">
        <v>-57.912889360192032</v>
      </c>
      <c r="AC189" s="79">
        <v>1.1112685769197586</v>
      </c>
      <c r="AD189" s="79">
        <v>-52.114214837889499</v>
      </c>
      <c r="AE189" s="79">
        <v>1.6784105394306124E-169</v>
      </c>
      <c r="AF189" s="79">
        <v>-60.098303406794756</v>
      </c>
      <c r="AG189" s="79">
        <v>-55.727475313589309</v>
      </c>
      <c r="AH189" s="79">
        <v>-60.098303406794756</v>
      </c>
      <c r="AI189" s="79">
        <v>-55.727475313589309</v>
      </c>
    </row>
    <row r="190" spans="1:35" ht="20.149999999999999" customHeight="1">
      <c r="A190" s="113"/>
      <c r="B190" s="113"/>
      <c r="C190" s="113"/>
      <c r="D190" s="113"/>
      <c r="E190" s="113"/>
      <c r="F190" s="113"/>
      <c r="G190" s="113"/>
      <c r="H190" s="113"/>
      <c r="I190" s="113"/>
      <c r="J190" s="113"/>
      <c r="K190" s="113"/>
      <c r="L190" s="113"/>
      <c r="M190" s="113"/>
      <c r="N190" s="113"/>
      <c r="O190" s="113"/>
      <c r="P190" s="113"/>
      <c r="Q190" s="113"/>
      <c r="R190" s="113"/>
      <c r="S190" s="113"/>
      <c r="T190" s="14">
        <v>0</v>
      </c>
      <c r="U190" s="14">
        <v>1</v>
      </c>
      <c r="V190" s="14">
        <v>0</v>
      </c>
      <c r="W190" s="14">
        <v>0</v>
      </c>
      <c r="X190" s="10">
        <v>30</v>
      </c>
      <c r="AA190" s="79" t="s">
        <v>118</v>
      </c>
      <c r="AB190" s="79">
        <v>-31.918343047764743</v>
      </c>
      <c r="AC190" s="79">
        <v>1.1061502685284479</v>
      </c>
      <c r="AD190" s="79">
        <v>-28.8553408663245</v>
      </c>
      <c r="AE190" s="79">
        <v>1.4908688340000733E-95</v>
      </c>
      <c r="AF190" s="79">
        <v>-34.093691460113483</v>
      </c>
      <c r="AG190" s="79">
        <v>-29.742994635416004</v>
      </c>
      <c r="AH190" s="79">
        <v>-34.093691460113483</v>
      </c>
      <c r="AI190" s="79">
        <v>-29.742994635416004</v>
      </c>
    </row>
    <row r="191" spans="1:35" ht="20.149999999999999" customHeight="1" thickBot="1">
      <c r="A191" s="113"/>
      <c r="B191" s="113"/>
      <c r="C191" s="113"/>
      <c r="D191" s="113"/>
      <c r="E191" s="113"/>
      <c r="F191" s="113"/>
      <c r="G191" s="113"/>
      <c r="H191" s="113"/>
      <c r="I191" s="113"/>
      <c r="J191" s="113"/>
      <c r="K191" s="113"/>
      <c r="L191" s="113"/>
      <c r="M191" s="113"/>
      <c r="N191" s="113"/>
      <c r="O191" s="113"/>
      <c r="P191" s="113"/>
      <c r="Q191" s="113"/>
      <c r="R191" s="113"/>
      <c r="S191" s="113"/>
      <c r="T191" s="14">
        <v>0</v>
      </c>
      <c r="U191" s="14">
        <v>1</v>
      </c>
      <c r="V191" s="14">
        <v>0</v>
      </c>
      <c r="W191" s="14">
        <v>0</v>
      </c>
      <c r="X191" s="10">
        <v>19</v>
      </c>
      <c r="AA191" s="148" t="s">
        <v>116</v>
      </c>
      <c r="AB191" s="148">
        <v>19.742387133422987</v>
      </c>
      <c r="AC191" s="148">
        <v>1.4511606398045322</v>
      </c>
      <c r="AD191" s="148">
        <v>13.604549759620161</v>
      </c>
      <c r="AE191" s="148">
        <v>2.7757669671726328E-34</v>
      </c>
      <c r="AF191" s="148">
        <v>16.888543416455533</v>
      </c>
      <c r="AG191" s="148">
        <v>22.596230850390441</v>
      </c>
      <c r="AH191" s="148">
        <v>16.888543416455533</v>
      </c>
      <c r="AI191" s="148">
        <v>22.596230850390441</v>
      </c>
    </row>
    <row r="192" spans="1:35" ht="20.149999999999999" customHeight="1">
      <c r="A192" s="113"/>
      <c r="B192" s="113"/>
      <c r="C192" s="113"/>
      <c r="D192" s="113"/>
      <c r="E192" s="113"/>
      <c r="F192" s="113"/>
      <c r="G192" s="113"/>
      <c r="H192" s="113"/>
      <c r="I192" s="113"/>
      <c r="J192" s="113"/>
      <c r="K192" s="113"/>
      <c r="L192" s="113"/>
      <c r="M192" s="113"/>
      <c r="N192" s="113"/>
      <c r="O192" s="113"/>
      <c r="P192" s="113"/>
      <c r="Q192" s="113"/>
      <c r="R192" s="113"/>
      <c r="S192" s="113"/>
      <c r="T192" s="14">
        <v>0</v>
      </c>
      <c r="U192" s="14">
        <v>1</v>
      </c>
      <c r="V192" s="14">
        <v>0</v>
      </c>
      <c r="W192" s="14">
        <v>0</v>
      </c>
      <c r="X192" s="10">
        <v>16</v>
      </c>
      <c r="AA192" s="79"/>
      <c r="AB192" s="79"/>
      <c r="AC192" s="79"/>
      <c r="AD192" s="79"/>
      <c r="AE192" s="79"/>
      <c r="AF192" s="79"/>
      <c r="AG192" s="79"/>
      <c r="AH192" s="79"/>
      <c r="AI192" s="79"/>
    </row>
    <row r="193" spans="1:35" ht="20.149999999999999" customHeight="1">
      <c r="A193" s="113"/>
      <c r="B193" s="113"/>
      <c r="C193" s="113"/>
      <c r="D193" s="113"/>
      <c r="E193" s="113"/>
      <c r="F193" s="113"/>
      <c r="G193" s="113"/>
      <c r="H193" s="113"/>
      <c r="I193" s="113"/>
      <c r="J193" s="113"/>
      <c r="K193" s="113"/>
      <c r="L193" s="113"/>
      <c r="M193" s="113"/>
      <c r="N193" s="113"/>
      <c r="O193" s="113"/>
      <c r="P193" s="113"/>
      <c r="Q193" s="113"/>
      <c r="R193" s="113"/>
      <c r="S193" s="113"/>
      <c r="T193" s="14">
        <v>0</v>
      </c>
      <c r="U193" s="14">
        <v>1</v>
      </c>
      <c r="V193" s="14">
        <v>0</v>
      </c>
      <c r="W193" s="14">
        <v>0</v>
      </c>
      <c r="X193" s="10">
        <v>27</v>
      </c>
      <c r="AA193" s="79"/>
      <c r="AB193" s="79"/>
      <c r="AC193" s="79"/>
      <c r="AD193" s="79"/>
      <c r="AE193" s="79"/>
      <c r="AF193" s="79"/>
      <c r="AG193" s="79"/>
      <c r="AH193" s="79"/>
      <c r="AI193" s="79"/>
    </row>
    <row r="194" spans="1:35" ht="20.149999999999999" customHeight="1">
      <c r="A194" s="113"/>
      <c r="B194" s="113"/>
      <c r="C194" s="113"/>
      <c r="D194" s="113"/>
      <c r="E194" s="113"/>
      <c r="F194" s="113"/>
      <c r="G194" s="113"/>
      <c r="H194" s="113"/>
      <c r="I194" s="113"/>
      <c r="J194" s="113"/>
      <c r="K194" s="113"/>
      <c r="L194" s="113"/>
      <c r="M194" s="113"/>
      <c r="N194" s="113"/>
      <c r="O194" s="113"/>
      <c r="P194" s="113"/>
      <c r="Q194" s="113"/>
      <c r="R194" s="113"/>
      <c r="S194" s="113"/>
      <c r="T194" s="14">
        <v>0</v>
      </c>
      <c r="U194" s="14">
        <v>1</v>
      </c>
      <c r="V194" s="14">
        <v>0</v>
      </c>
      <c r="W194" s="14">
        <v>0</v>
      </c>
      <c r="X194" s="10">
        <v>25</v>
      </c>
      <c r="AA194" s="79"/>
      <c r="AB194" s="79"/>
      <c r="AC194" s="79"/>
      <c r="AD194" s="79"/>
      <c r="AE194" s="79"/>
      <c r="AF194" s="79"/>
      <c r="AG194" s="79"/>
      <c r="AH194" s="79"/>
      <c r="AI194" s="79"/>
    </row>
    <row r="195" spans="1:35" ht="20.149999999999999" customHeight="1">
      <c r="A195" s="113"/>
      <c r="B195" s="113"/>
      <c r="C195" s="113"/>
      <c r="D195" s="113"/>
      <c r="E195" s="113"/>
      <c r="F195" s="113"/>
      <c r="G195" s="113"/>
      <c r="H195" s="113"/>
      <c r="I195" s="113"/>
      <c r="J195" s="113"/>
      <c r="K195" s="113"/>
      <c r="L195" s="113"/>
      <c r="M195" s="113"/>
      <c r="N195" s="113"/>
      <c r="O195" s="113"/>
      <c r="P195" s="113"/>
      <c r="Q195" s="113"/>
      <c r="R195" s="113"/>
      <c r="S195" s="113"/>
      <c r="T195" s="14">
        <v>0</v>
      </c>
      <c r="U195" s="14">
        <v>1</v>
      </c>
      <c r="V195" s="14">
        <v>0</v>
      </c>
      <c r="W195" s="14">
        <v>0</v>
      </c>
      <c r="X195" s="10">
        <v>24</v>
      </c>
    </row>
    <row r="196" spans="1:35" ht="20.149999999999999" customHeight="1">
      <c r="A196" s="113"/>
      <c r="B196" s="113"/>
      <c r="C196" s="113"/>
      <c r="D196" s="113"/>
      <c r="E196" s="113"/>
      <c r="F196" s="113"/>
      <c r="G196" s="113"/>
      <c r="H196" s="113"/>
      <c r="I196" s="113"/>
      <c r="J196" s="113"/>
      <c r="K196" s="113"/>
      <c r="L196" s="113"/>
      <c r="M196" s="113"/>
      <c r="N196" s="113"/>
      <c r="O196" s="113"/>
      <c r="P196" s="113"/>
      <c r="Q196" s="113"/>
      <c r="R196" s="113"/>
      <c r="S196" s="113"/>
      <c r="T196" s="14">
        <v>0</v>
      </c>
      <c r="U196" s="14">
        <v>1</v>
      </c>
      <c r="V196" s="14">
        <v>0</v>
      </c>
      <c r="W196" s="14">
        <v>0</v>
      </c>
      <c r="X196" s="10">
        <v>28</v>
      </c>
      <c r="AA196" s="79" t="s">
        <v>125</v>
      </c>
      <c r="AB196" s="79"/>
      <c r="AC196" s="79"/>
      <c r="AD196" s="79"/>
      <c r="AE196" s="79"/>
      <c r="AF196" s="79"/>
      <c r="AG196" s="79"/>
      <c r="AH196" s="79"/>
      <c r="AI196" s="79"/>
    </row>
    <row r="197" spans="1:35" ht="20.149999999999999" customHeight="1" thickBot="1">
      <c r="A197" s="113"/>
      <c r="B197" s="113"/>
      <c r="C197" s="113"/>
      <c r="D197" s="113"/>
      <c r="E197" s="113"/>
      <c r="F197" s="113"/>
      <c r="G197" s="113"/>
      <c r="H197" s="113"/>
      <c r="I197" s="113"/>
      <c r="J197" s="113"/>
      <c r="K197" s="113"/>
      <c r="L197" s="113"/>
      <c r="M197" s="113"/>
      <c r="N197" s="113"/>
      <c r="O197" s="113"/>
      <c r="P197" s="113"/>
      <c r="Q197" s="113"/>
      <c r="R197" s="113"/>
      <c r="S197" s="113"/>
      <c r="T197" s="14">
        <v>0</v>
      </c>
      <c r="U197" s="14">
        <v>1</v>
      </c>
      <c r="V197" s="14">
        <v>0</v>
      </c>
      <c r="W197" s="14">
        <v>0</v>
      </c>
      <c r="X197" s="10">
        <v>28</v>
      </c>
      <c r="AA197" s="79"/>
      <c r="AB197" s="79"/>
      <c r="AC197" s="79"/>
      <c r="AD197" s="79"/>
      <c r="AE197" s="79"/>
      <c r="AF197" s="79"/>
      <c r="AG197" s="79"/>
      <c r="AH197" s="79"/>
      <c r="AI197" s="79"/>
    </row>
    <row r="198" spans="1:35" ht="20.149999999999999" customHeight="1">
      <c r="A198" s="113"/>
      <c r="B198" s="113"/>
      <c r="C198" s="113"/>
      <c r="D198" s="113"/>
      <c r="E198" s="113"/>
      <c r="F198" s="113"/>
      <c r="G198" s="113"/>
      <c r="H198" s="113"/>
      <c r="I198" s="113"/>
      <c r="J198" s="113"/>
      <c r="K198" s="113"/>
      <c r="L198" s="113"/>
      <c r="M198" s="113"/>
      <c r="N198" s="113"/>
      <c r="O198" s="113"/>
      <c r="P198" s="113"/>
      <c r="Q198" s="113"/>
      <c r="R198" s="113"/>
      <c r="S198" s="113"/>
      <c r="T198" s="14">
        <v>0</v>
      </c>
      <c r="U198" s="14">
        <v>1</v>
      </c>
      <c r="V198" s="14">
        <v>0</v>
      </c>
      <c r="W198" s="14">
        <v>0</v>
      </c>
      <c r="X198" s="10">
        <v>25</v>
      </c>
      <c r="AA198" s="154" t="s">
        <v>126</v>
      </c>
      <c r="AB198" s="154"/>
      <c r="AC198" s="79"/>
      <c r="AD198" s="79"/>
      <c r="AE198" s="79"/>
      <c r="AF198" s="79"/>
      <c r="AG198" s="79"/>
      <c r="AH198" s="79"/>
      <c r="AI198" s="79"/>
    </row>
    <row r="199" spans="1:35" ht="20.149999999999999" customHeight="1">
      <c r="A199" s="113"/>
      <c r="B199" s="113"/>
      <c r="C199" s="113"/>
      <c r="D199" s="113"/>
      <c r="E199" s="113"/>
      <c r="F199" s="113"/>
      <c r="G199" s="113"/>
      <c r="H199" s="113"/>
      <c r="I199" s="113"/>
      <c r="J199" s="113"/>
      <c r="K199" s="113"/>
      <c r="L199" s="113"/>
      <c r="M199" s="113"/>
      <c r="N199" s="113"/>
      <c r="O199" s="113"/>
      <c r="P199" s="113"/>
      <c r="Q199" s="113"/>
      <c r="R199" s="113"/>
      <c r="S199" s="113"/>
      <c r="T199" s="14">
        <v>0</v>
      </c>
      <c r="U199" s="14">
        <v>1</v>
      </c>
      <c r="V199" s="14">
        <v>0</v>
      </c>
      <c r="W199" s="14">
        <v>0</v>
      </c>
      <c r="X199" s="10">
        <v>24</v>
      </c>
      <c r="AA199" s="79" t="s">
        <v>127</v>
      </c>
      <c r="AB199" s="79">
        <v>0.95571326524416256</v>
      </c>
      <c r="AC199" s="79"/>
      <c r="AD199" s="79"/>
      <c r="AE199" s="79"/>
      <c r="AF199" s="79"/>
      <c r="AG199" s="79"/>
      <c r="AH199" s="79"/>
      <c r="AI199" s="79"/>
    </row>
    <row r="200" spans="1:35" ht="20.149999999999999" customHeight="1">
      <c r="A200" s="113"/>
      <c r="B200" s="113"/>
      <c r="C200" s="113"/>
      <c r="D200" s="113"/>
      <c r="E200" s="113"/>
      <c r="F200" s="113"/>
      <c r="G200" s="113"/>
      <c r="H200" s="113"/>
      <c r="I200" s="113"/>
      <c r="J200" s="113"/>
      <c r="K200" s="113"/>
      <c r="L200" s="113"/>
      <c r="M200" s="113"/>
      <c r="N200" s="113"/>
      <c r="O200" s="113"/>
      <c r="P200" s="113"/>
      <c r="Q200" s="113"/>
      <c r="R200" s="113"/>
      <c r="S200" s="113"/>
      <c r="T200" s="14">
        <v>0</v>
      </c>
      <c r="U200" s="14">
        <v>1</v>
      </c>
      <c r="V200" s="14">
        <v>0</v>
      </c>
      <c r="W200" s="14">
        <v>0</v>
      </c>
      <c r="X200" s="10">
        <v>20</v>
      </c>
      <c r="AA200" s="79" t="s">
        <v>128</v>
      </c>
      <c r="AB200" s="79">
        <v>0.91338784536365902</v>
      </c>
      <c r="AC200" s="79"/>
      <c r="AD200" s="79"/>
      <c r="AE200" s="79"/>
      <c r="AF200" s="79"/>
      <c r="AG200" s="79"/>
      <c r="AH200" s="79"/>
      <c r="AI200" s="79"/>
    </row>
    <row r="201" spans="1:35" ht="20.149999999999999" customHeight="1">
      <c r="A201" s="113"/>
      <c r="B201" s="113"/>
      <c r="C201" s="113"/>
      <c r="D201" s="113"/>
      <c r="E201" s="113"/>
      <c r="F201" s="113"/>
      <c r="G201" s="113"/>
      <c r="H201" s="113"/>
      <c r="I201" s="113"/>
      <c r="J201" s="113"/>
      <c r="K201" s="113"/>
      <c r="L201" s="113"/>
      <c r="M201" s="113"/>
      <c r="N201" s="113"/>
      <c r="O201" s="113"/>
      <c r="P201" s="113"/>
      <c r="Q201" s="113"/>
      <c r="R201" s="113"/>
      <c r="S201" s="113"/>
      <c r="T201" s="14">
        <v>0</v>
      </c>
      <c r="U201" s="14">
        <v>1</v>
      </c>
      <c r="V201" s="14">
        <v>0</v>
      </c>
      <c r="W201" s="14">
        <v>0</v>
      </c>
      <c r="X201" s="10">
        <v>13</v>
      </c>
      <c r="AA201" s="79" t="s">
        <v>129</v>
      </c>
      <c r="AB201" s="79">
        <v>0.91242548808992185</v>
      </c>
      <c r="AC201" s="79"/>
      <c r="AD201" s="79"/>
      <c r="AE201" s="79"/>
      <c r="AF201" s="79"/>
      <c r="AG201" s="79"/>
      <c r="AH201" s="79"/>
      <c r="AI201" s="79"/>
    </row>
    <row r="202" spans="1:35" ht="20.149999999999999" customHeight="1">
      <c r="A202" s="113"/>
      <c r="B202" s="113"/>
      <c r="C202" s="113"/>
      <c r="D202" s="113"/>
      <c r="E202" s="113"/>
      <c r="F202" s="113"/>
      <c r="G202" s="113"/>
      <c r="H202" s="113"/>
      <c r="I202" s="113"/>
      <c r="J202" s="113"/>
      <c r="K202" s="113"/>
      <c r="L202" s="113"/>
      <c r="M202" s="113"/>
      <c r="N202" s="113"/>
      <c r="O202" s="113"/>
      <c r="P202" s="113"/>
      <c r="Q202" s="113"/>
      <c r="R202" s="113"/>
      <c r="S202" s="113"/>
      <c r="T202" s="14">
        <v>0</v>
      </c>
      <c r="U202" s="14">
        <v>1</v>
      </c>
      <c r="V202" s="14">
        <v>0</v>
      </c>
      <c r="W202" s="14">
        <v>0</v>
      </c>
      <c r="X202" s="10">
        <v>33</v>
      </c>
      <c r="AA202" s="79" t="s">
        <v>130</v>
      </c>
      <c r="AB202" s="79">
        <v>8.1674505515111786</v>
      </c>
      <c r="AC202" s="79"/>
      <c r="AD202" s="79"/>
      <c r="AE202" s="79"/>
      <c r="AF202" s="79"/>
      <c r="AG202" s="79"/>
      <c r="AH202" s="79"/>
      <c r="AI202" s="79"/>
    </row>
    <row r="203" spans="1:35" ht="20.149999999999999" customHeight="1" thickBot="1">
      <c r="A203" s="113"/>
      <c r="B203" s="113"/>
      <c r="C203" s="113"/>
      <c r="D203" s="113"/>
      <c r="E203" s="113"/>
      <c r="F203" s="113"/>
      <c r="G203" s="113"/>
      <c r="H203" s="113"/>
      <c r="I203" s="113"/>
      <c r="J203" s="113"/>
      <c r="K203" s="113"/>
      <c r="L203" s="113"/>
      <c r="M203" s="113"/>
      <c r="N203" s="113"/>
      <c r="O203" s="113"/>
      <c r="P203" s="113"/>
      <c r="Q203" s="113"/>
      <c r="R203" s="113"/>
      <c r="S203" s="113"/>
      <c r="T203" s="14">
        <v>0</v>
      </c>
      <c r="U203" s="14">
        <v>1</v>
      </c>
      <c r="V203" s="14">
        <v>0</v>
      </c>
      <c r="W203" s="14">
        <v>0</v>
      </c>
      <c r="X203" s="10">
        <v>39</v>
      </c>
      <c r="AA203" s="148" t="s">
        <v>131</v>
      </c>
      <c r="AB203" s="148">
        <v>365</v>
      </c>
      <c r="AC203" s="79"/>
      <c r="AD203" s="79"/>
      <c r="AE203" s="79"/>
      <c r="AF203" s="79"/>
      <c r="AG203" s="79"/>
      <c r="AH203" s="79"/>
      <c r="AI203" s="79"/>
    </row>
    <row r="204" spans="1:35" ht="20.149999999999999" customHeight="1">
      <c r="A204" s="113"/>
      <c r="B204" s="113"/>
      <c r="C204" s="113"/>
      <c r="D204" s="113"/>
      <c r="E204" s="113"/>
      <c r="F204" s="113"/>
      <c r="G204" s="113"/>
      <c r="H204" s="113"/>
      <c r="I204" s="113"/>
      <c r="J204" s="113"/>
      <c r="K204" s="113"/>
      <c r="L204" s="113"/>
      <c r="M204" s="113"/>
      <c r="N204" s="113"/>
      <c r="O204" s="113"/>
      <c r="P204" s="113"/>
      <c r="Q204" s="113"/>
      <c r="R204" s="113"/>
      <c r="S204" s="113"/>
      <c r="T204" s="14">
        <v>0</v>
      </c>
      <c r="U204" s="14">
        <v>1</v>
      </c>
      <c r="V204" s="14">
        <v>0</v>
      </c>
      <c r="W204" s="14">
        <v>0</v>
      </c>
      <c r="X204" s="10">
        <v>31</v>
      </c>
      <c r="AA204" s="79"/>
      <c r="AB204" s="79"/>
      <c r="AC204" s="79"/>
      <c r="AD204" s="79"/>
      <c r="AE204" s="79"/>
      <c r="AF204" s="79"/>
      <c r="AG204" s="79"/>
      <c r="AH204" s="79"/>
      <c r="AI204" s="79"/>
    </row>
    <row r="205" spans="1:35" ht="20.149999999999999" customHeight="1" thickBot="1">
      <c r="A205" s="113"/>
      <c r="B205" s="113"/>
      <c r="C205" s="113"/>
      <c r="D205" s="113"/>
      <c r="E205" s="113"/>
      <c r="F205" s="113"/>
      <c r="G205" s="113"/>
      <c r="H205" s="113"/>
      <c r="I205" s="113"/>
      <c r="J205" s="113"/>
      <c r="K205" s="113"/>
      <c r="L205" s="113"/>
      <c r="M205" s="113"/>
      <c r="N205" s="113"/>
      <c r="O205" s="113"/>
      <c r="P205" s="113"/>
      <c r="Q205" s="113"/>
      <c r="R205" s="113"/>
      <c r="S205" s="113"/>
      <c r="T205" s="14">
        <v>0</v>
      </c>
      <c r="U205" s="14">
        <v>1</v>
      </c>
      <c r="V205" s="14">
        <v>0</v>
      </c>
      <c r="W205" s="14">
        <v>0</v>
      </c>
      <c r="X205" s="10">
        <v>20</v>
      </c>
      <c r="AA205" s="79" t="s">
        <v>132</v>
      </c>
      <c r="AB205" s="79"/>
      <c r="AC205" s="79"/>
      <c r="AD205" s="79"/>
      <c r="AE205" s="79"/>
      <c r="AF205" s="79"/>
      <c r="AG205" s="79"/>
      <c r="AH205" s="79"/>
      <c r="AI205" s="79"/>
    </row>
    <row r="206" spans="1:35" ht="20.149999999999999" customHeight="1">
      <c r="A206" s="113"/>
      <c r="B206" s="113"/>
      <c r="C206" s="113"/>
      <c r="D206" s="113"/>
      <c r="E206" s="113"/>
      <c r="F206" s="113"/>
      <c r="G206" s="113"/>
      <c r="H206" s="113"/>
      <c r="I206" s="113"/>
      <c r="J206" s="113"/>
      <c r="K206" s="113"/>
      <c r="L206" s="113"/>
      <c r="M206" s="113"/>
      <c r="N206" s="113"/>
      <c r="O206" s="113"/>
      <c r="P206" s="113"/>
      <c r="Q206" s="113"/>
      <c r="R206" s="113"/>
      <c r="S206" s="113"/>
      <c r="T206" s="14">
        <v>0</v>
      </c>
      <c r="U206" s="14">
        <v>1</v>
      </c>
      <c r="V206" s="14">
        <v>0</v>
      </c>
      <c r="W206" s="14">
        <v>0</v>
      </c>
      <c r="X206" s="10">
        <v>20</v>
      </c>
      <c r="AA206" s="155"/>
      <c r="AB206" s="155" t="s">
        <v>137</v>
      </c>
      <c r="AC206" s="155" t="s">
        <v>138</v>
      </c>
      <c r="AD206" s="155" t="s">
        <v>139</v>
      </c>
      <c r="AE206" s="155" t="s">
        <v>140</v>
      </c>
      <c r="AF206" s="155" t="s">
        <v>141</v>
      </c>
      <c r="AG206" s="79"/>
      <c r="AH206" s="79"/>
      <c r="AI206" s="79"/>
    </row>
    <row r="207" spans="1:35" ht="20.149999999999999" customHeight="1">
      <c r="A207" s="113"/>
      <c r="B207" s="113"/>
      <c r="C207" s="113"/>
      <c r="D207" s="113"/>
      <c r="E207" s="113"/>
      <c r="F207" s="113"/>
      <c r="G207" s="113"/>
      <c r="H207" s="113"/>
      <c r="I207" s="113"/>
      <c r="J207" s="113"/>
      <c r="K207" s="113"/>
      <c r="L207" s="113"/>
      <c r="M207" s="113"/>
      <c r="N207" s="113"/>
      <c r="O207" s="113"/>
      <c r="P207" s="113"/>
      <c r="Q207" s="113"/>
      <c r="R207" s="113"/>
      <c r="S207" s="113"/>
      <c r="T207" s="14">
        <v>0</v>
      </c>
      <c r="U207" s="14">
        <v>1</v>
      </c>
      <c r="V207" s="14">
        <v>0</v>
      </c>
      <c r="W207" s="14">
        <v>0</v>
      </c>
      <c r="X207" s="10">
        <v>29</v>
      </c>
      <c r="AA207" s="79" t="s">
        <v>133</v>
      </c>
      <c r="AB207" s="79">
        <v>4</v>
      </c>
      <c r="AC207" s="79">
        <v>253251.43437151954</v>
      </c>
      <c r="AD207" s="79">
        <v>63312.858592879886</v>
      </c>
      <c r="AE207" s="79">
        <v>949.11512625316459</v>
      </c>
      <c r="AF207" s="79">
        <v>9.6106539024289629E-190</v>
      </c>
      <c r="AG207" s="79"/>
      <c r="AH207" s="79"/>
      <c r="AI207" s="79"/>
    </row>
    <row r="208" spans="1:35" ht="20.149999999999999" customHeight="1">
      <c r="A208" s="113"/>
      <c r="B208" s="113"/>
      <c r="C208" s="113"/>
      <c r="D208" s="113"/>
      <c r="E208" s="113"/>
      <c r="F208" s="113"/>
      <c r="G208" s="113"/>
      <c r="H208" s="113"/>
      <c r="I208" s="113"/>
      <c r="J208" s="113"/>
      <c r="K208" s="113"/>
      <c r="L208" s="113"/>
      <c r="M208" s="113"/>
      <c r="N208" s="113"/>
      <c r="O208" s="113"/>
      <c r="P208" s="113"/>
      <c r="Q208" s="113"/>
      <c r="R208" s="113"/>
      <c r="S208" s="113"/>
      <c r="T208" s="14">
        <v>0</v>
      </c>
      <c r="U208" s="14">
        <v>0</v>
      </c>
      <c r="V208" s="14">
        <v>1</v>
      </c>
      <c r="W208" s="14">
        <v>0</v>
      </c>
      <c r="X208" s="10">
        <v>40</v>
      </c>
      <c r="AA208" s="79" t="s">
        <v>134</v>
      </c>
      <c r="AB208" s="79">
        <v>360</v>
      </c>
      <c r="AC208" s="79">
        <v>24014.609464096888</v>
      </c>
      <c r="AD208" s="79">
        <v>66.707248511380243</v>
      </c>
      <c r="AE208" s="79"/>
      <c r="AF208" s="79"/>
      <c r="AG208" s="79"/>
      <c r="AH208" s="79"/>
      <c r="AI208" s="79"/>
    </row>
    <row r="209" spans="1:35" ht="20.149999999999999" customHeight="1" thickBot="1">
      <c r="A209" s="113"/>
      <c r="B209" s="113"/>
      <c r="C209" s="113"/>
      <c r="D209" s="113"/>
      <c r="E209" s="113"/>
      <c r="F209" s="113"/>
      <c r="G209" s="113"/>
      <c r="H209" s="113"/>
      <c r="I209" s="113"/>
      <c r="J209" s="113"/>
      <c r="K209" s="113"/>
      <c r="L209" s="113"/>
      <c r="M209" s="113"/>
      <c r="N209" s="113"/>
      <c r="O209" s="113"/>
      <c r="P209" s="113"/>
      <c r="Q209" s="113"/>
      <c r="R209" s="113"/>
      <c r="S209" s="113"/>
      <c r="T209" s="14">
        <v>0</v>
      </c>
      <c r="U209" s="14">
        <v>1</v>
      </c>
      <c r="V209" s="14">
        <v>0</v>
      </c>
      <c r="W209" s="14">
        <v>0</v>
      </c>
      <c r="X209" s="10">
        <v>10</v>
      </c>
      <c r="AA209" s="148" t="s">
        <v>135</v>
      </c>
      <c r="AB209" s="148">
        <v>364</v>
      </c>
      <c r="AC209" s="148">
        <v>277266.04383561644</v>
      </c>
      <c r="AD209" s="148"/>
      <c r="AE209" s="148"/>
      <c r="AF209" s="148"/>
      <c r="AG209" s="79"/>
      <c r="AH209" s="79"/>
      <c r="AI209" s="79"/>
    </row>
    <row r="210" spans="1:35" ht="20.149999999999999" customHeight="1" thickBot="1">
      <c r="A210" s="113"/>
      <c r="B210" s="113"/>
      <c r="C210" s="113"/>
      <c r="D210" s="113"/>
      <c r="E210" s="113"/>
      <c r="F210" s="113"/>
      <c r="G210" s="113"/>
      <c r="H210" s="113"/>
      <c r="I210" s="113"/>
      <c r="J210" s="113"/>
      <c r="K210" s="113"/>
      <c r="L210" s="113"/>
      <c r="M210" s="113"/>
      <c r="N210" s="113"/>
      <c r="O210" s="113"/>
      <c r="P210" s="113"/>
      <c r="Q210" s="113"/>
      <c r="R210" s="113"/>
      <c r="S210" s="113"/>
      <c r="T210" s="14">
        <v>0</v>
      </c>
      <c r="U210" s="14">
        <v>1</v>
      </c>
      <c r="V210" s="14">
        <v>0</v>
      </c>
      <c r="W210" s="14">
        <v>0</v>
      </c>
      <c r="X210" s="10">
        <v>8</v>
      </c>
      <c r="AA210" s="79"/>
      <c r="AB210" s="79"/>
      <c r="AC210" s="79"/>
      <c r="AD210" s="79"/>
      <c r="AE210" s="79"/>
      <c r="AF210" s="79"/>
      <c r="AG210" s="79"/>
      <c r="AH210" s="79"/>
      <c r="AI210" s="79"/>
    </row>
    <row r="211" spans="1:35" ht="20.149999999999999" customHeight="1">
      <c r="A211" s="113"/>
      <c r="B211" s="113"/>
      <c r="C211" s="113"/>
      <c r="D211" s="113"/>
      <c r="E211" s="113"/>
      <c r="F211" s="113"/>
      <c r="G211" s="113"/>
      <c r="H211" s="113"/>
      <c r="I211" s="113"/>
      <c r="J211" s="113"/>
      <c r="K211" s="113"/>
      <c r="L211" s="113"/>
      <c r="M211" s="113"/>
      <c r="N211" s="113"/>
      <c r="O211" s="113"/>
      <c r="P211" s="113"/>
      <c r="Q211" s="113"/>
      <c r="R211" s="113"/>
      <c r="S211" s="113"/>
      <c r="T211" s="14">
        <v>0</v>
      </c>
      <c r="U211" s="14">
        <v>1</v>
      </c>
      <c r="V211" s="14">
        <v>0</v>
      </c>
      <c r="W211" s="14">
        <v>0</v>
      </c>
      <c r="X211" s="10">
        <v>24</v>
      </c>
      <c r="AA211" s="155"/>
      <c r="AB211" s="155" t="s">
        <v>142</v>
      </c>
      <c r="AC211" s="155" t="s">
        <v>130</v>
      </c>
      <c r="AD211" s="155" t="s">
        <v>143</v>
      </c>
      <c r="AE211" s="155" t="s">
        <v>144</v>
      </c>
      <c r="AF211" s="155" t="s">
        <v>145</v>
      </c>
      <c r="AG211" s="155" t="s">
        <v>146</v>
      </c>
      <c r="AH211" s="155" t="s">
        <v>147</v>
      </c>
      <c r="AI211" s="155" t="s">
        <v>148</v>
      </c>
    </row>
    <row r="212" spans="1:35" ht="20.149999999999999" customHeight="1">
      <c r="A212" s="113"/>
      <c r="B212" s="113"/>
      <c r="C212" s="113"/>
      <c r="D212" s="113"/>
      <c r="E212" s="113"/>
      <c r="F212" s="113"/>
      <c r="G212" s="113"/>
      <c r="H212" s="113"/>
      <c r="I212" s="113"/>
      <c r="J212" s="113"/>
      <c r="K212" s="113"/>
      <c r="L212" s="113"/>
      <c r="M212" s="113"/>
      <c r="N212" s="113"/>
      <c r="O212" s="113"/>
      <c r="P212" s="113"/>
      <c r="Q212" s="113"/>
      <c r="R212" s="113"/>
      <c r="S212" s="113"/>
      <c r="T212" s="14">
        <v>0</v>
      </c>
      <c r="U212" s="14">
        <v>1</v>
      </c>
      <c r="V212" s="14">
        <v>0</v>
      </c>
      <c r="W212" s="14">
        <v>0</v>
      </c>
      <c r="X212" s="10">
        <v>22</v>
      </c>
      <c r="AA212" s="79" t="s">
        <v>136</v>
      </c>
      <c r="AB212" s="79">
        <v>85.627718149603822</v>
      </c>
      <c r="AC212" s="79">
        <v>0.63900508899879949</v>
      </c>
      <c r="AD212" s="79">
        <v>134.00162162051998</v>
      </c>
      <c r="AE212" s="79">
        <v>0</v>
      </c>
      <c r="AF212" s="79">
        <v>84.371066422597124</v>
      </c>
      <c r="AG212" s="79">
        <v>86.884369876610521</v>
      </c>
      <c r="AH212" s="79">
        <v>84.371066422597124</v>
      </c>
      <c r="AI212" s="79">
        <v>86.884369876610521</v>
      </c>
    </row>
    <row r="213" spans="1:35" ht="20.149999999999999" customHeight="1">
      <c r="A213" s="113"/>
      <c r="B213" s="113"/>
      <c r="C213" s="113"/>
      <c r="D213" s="113"/>
      <c r="E213" s="113"/>
      <c r="F213" s="113"/>
      <c r="G213" s="113"/>
      <c r="H213" s="113"/>
      <c r="I213" s="113"/>
      <c r="J213" s="113"/>
      <c r="K213" s="113"/>
      <c r="L213" s="113"/>
      <c r="M213" s="113"/>
      <c r="N213" s="113"/>
      <c r="O213" s="113"/>
      <c r="P213" s="113"/>
      <c r="Q213" s="113"/>
      <c r="R213" s="113"/>
      <c r="S213" s="113"/>
      <c r="T213" s="14">
        <v>0</v>
      </c>
      <c r="U213" s="14">
        <v>1</v>
      </c>
      <c r="V213" s="14">
        <v>0</v>
      </c>
      <c r="W213" s="14">
        <v>0</v>
      </c>
      <c r="X213" s="10">
        <v>22</v>
      </c>
      <c r="AA213" s="79" t="s">
        <v>111</v>
      </c>
      <c r="AB213" s="79">
        <v>5.6066263288410827</v>
      </c>
      <c r="AC213" s="79">
        <v>2.6222638795222091</v>
      </c>
      <c r="AD213" s="79">
        <v>2.1380862439605588</v>
      </c>
      <c r="AE213" s="79">
        <v>3.3182598918740931E-2</v>
      </c>
      <c r="AF213" s="79">
        <v>0.4497465330448529</v>
      </c>
      <c r="AG213" s="79">
        <v>10.763506124637313</v>
      </c>
      <c r="AH213" s="79">
        <v>0.4497465330448529</v>
      </c>
      <c r="AI213" s="79">
        <v>10.763506124637313</v>
      </c>
    </row>
    <row r="214" spans="1:35" ht="20.149999999999999" customHeight="1">
      <c r="A214" s="113"/>
      <c r="B214" s="113"/>
      <c r="C214" s="113"/>
      <c r="D214" s="113"/>
      <c r="E214" s="113"/>
      <c r="F214" s="113"/>
      <c r="G214" s="113"/>
      <c r="H214" s="113"/>
      <c r="I214" s="113"/>
      <c r="J214" s="113"/>
      <c r="K214" s="113"/>
      <c r="L214" s="113"/>
      <c r="M214" s="113"/>
      <c r="N214" s="113"/>
      <c r="O214" s="113"/>
      <c r="P214" s="113"/>
      <c r="Q214" s="113"/>
      <c r="R214" s="113"/>
      <c r="S214" s="113"/>
      <c r="T214" s="14">
        <v>0</v>
      </c>
      <c r="U214" s="14">
        <v>1</v>
      </c>
      <c r="V214" s="14">
        <v>0</v>
      </c>
      <c r="W214" s="14">
        <v>0</v>
      </c>
      <c r="X214" s="10">
        <v>30</v>
      </c>
      <c r="AA214" s="79" t="s">
        <v>117</v>
      </c>
      <c r="AB214" s="79">
        <v>-58.055383807824853</v>
      </c>
      <c r="AC214" s="79">
        <v>1.1127133087374279</v>
      </c>
      <c r="AD214" s="79">
        <v>-52.174610793232141</v>
      </c>
      <c r="AE214" s="79">
        <v>6.1667418352973457E-170</v>
      </c>
      <c r="AF214" s="79">
        <v>-60.243618495093294</v>
      </c>
      <c r="AG214" s="79">
        <v>-55.867149120556412</v>
      </c>
      <c r="AH214" s="79">
        <v>-60.243618495093294</v>
      </c>
      <c r="AI214" s="79">
        <v>-55.867149120556412</v>
      </c>
    </row>
    <row r="215" spans="1:35" ht="20.149999999999999" customHeight="1">
      <c r="A215" s="113"/>
      <c r="B215" s="113"/>
      <c r="C215" s="113"/>
      <c r="D215" s="113"/>
      <c r="E215" s="113"/>
      <c r="F215" s="113"/>
      <c r="G215" s="113"/>
      <c r="H215" s="113"/>
      <c r="I215" s="113"/>
      <c r="J215" s="113"/>
      <c r="K215" s="113"/>
      <c r="L215" s="113"/>
      <c r="M215" s="113"/>
      <c r="N215" s="113"/>
      <c r="O215" s="113"/>
      <c r="P215" s="113"/>
      <c r="Q215" s="113"/>
      <c r="R215" s="113"/>
      <c r="S215" s="113"/>
      <c r="T215" s="14">
        <v>0</v>
      </c>
      <c r="U215" s="14">
        <v>1</v>
      </c>
      <c r="V215" s="14">
        <v>0</v>
      </c>
      <c r="W215" s="14">
        <v>0</v>
      </c>
      <c r="X215" s="10">
        <v>27</v>
      </c>
      <c r="AA215" s="79" t="s">
        <v>118</v>
      </c>
      <c r="AB215" s="79">
        <v>-31.790844725624424</v>
      </c>
      <c r="AC215" s="79">
        <v>1.1080767204423683</v>
      </c>
      <c r="AD215" s="79">
        <v>-28.69011155918232</v>
      </c>
      <c r="AE215" s="79">
        <v>4.9073643298066871E-95</v>
      </c>
      <c r="AF215" s="79">
        <v>-33.969961212132475</v>
      </c>
      <c r="AG215" s="79">
        <v>-29.611728239116378</v>
      </c>
      <c r="AH215" s="79">
        <v>-33.969961212132475</v>
      </c>
      <c r="AI215" s="79">
        <v>-29.611728239116378</v>
      </c>
    </row>
    <row r="216" spans="1:35" ht="20.149999999999999" customHeight="1" thickBot="1">
      <c r="A216" s="113"/>
      <c r="B216" s="113"/>
      <c r="C216" s="113"/>
      <c r="D216" s="113"/>
      <c r="E216" s="113"/>
      <c r="F216" s="113"/>
      <c r="G216" s="113"/>
      <c r="H216" s="113"/>
      <c r="I216" s="113"/>
      <c r="J216" s="113"/>
      <c r="K216" s="113"/>
      <c r="L216" s="113"/>
      <c r="M216" s="113"/>
      <c r="N216" s="113"/>
      <c r="O216" s="113"/>
      <c r="P216" s="113"/>
      <c r="Q216" s="113"/>
      <c r="R216" s="113"/>
      <c r="S216" s="113"/>
      <c r="T216" s="14">
        <v>0</v>
      </c>
      <c r="U216" s="14">
        <v>1</v>
      </c>
      <c r="V216" s="14">
        <v>0</v>
      </c>
      <c r="W216" s="14">
        <v>0</v>
      </c>
      <c r="X216" s="10">
        <v>30</v>
      </c>
      <c r="AA216" s="148" t="s">
        <v>116</v>
      </c>
      <c r="AB216" s="148">
        <v>19.674506141224658</v>
      </c>
      <c r="AC216" s="148">
        <v>1.4559382364824924</v>
      </c>
      <c r="AD216" s="148">
        <v>13.51328349529286</v>
      </c>
      <c r="AE216" s="148">
        <v>6.0876766480465085E-34</v>
      </c>
      <c r="AF216" s="148">
        <v>16.811293733703042</v>
      </c>
      <c r="AG216" s="148">
        <v>22.537718548746273</v>
      </c>
      <c r="AH216" s="148">
        <v>16.811293733703042</v>
      </c>
      <c r="AI216" s="148">
        <v>22.537718548746273</v>
      </c>
    </row>
    <row r="217" spans="1:35" ht="20.149999999999999" customHeight="1">
      <c r="A217" s="113"/>
      <c r="B217" s="113"/>
      <c r="C217" s="113"/>
      <c r="D217" s="113"/>
      <c r="E217" s="113"/>
      <c r="F217" s="113"/>
      <c r="G217" s="113"/>
      <c r="H217" s="113"/>
      <c r="I217" s="113"/>
      <c r="J217" s="113"/>
      <c r="K217" s="113"/>
      <c r="L217" s="113"/>
      <c r="M217" s="113"/>
      <c r="N217" s="113"/>
      <c r="O217" s="113"/>
      <c r="P217" s="113"/>
      <c r="Q217" s="113"/>
      <c r="R217" s="113"/>
      <c r="S217" s="113"/>
      <c r="T217" s="14">
        <v>0</v>
      </c>
      <c r="U217" s="14">
        <v>1</v>
      </c>
      <c r="V217" s="14">
        <v>0</v>
      </c>
      <c r="W217" s="14">
        <v>0</v>
      </c>
      <c r="X217" s="10">
        <v>31</v>
      </c>
      <c r="AA217" s="79"/>
      <c r="AB217" s="79"/>
      <c r="AC217" s="79"/>
      <c r="AD217" s="79"/>
      <c r="AE217" s="79"/>
      <c r="AF217" s="79"/>
      <c r="AG217" s="79"/>
      <c r="AH217" s="79"/>
      <c r="AI217" s="79"/>
    </row>
    <row r="218" spans="1:35" ht="20.149999999999999" customHeight="1">
      <c r="A218" s="113"/>
      <c r="B218" s="113"/>
      <c r="C218" s="113"/>
      <c r="D218" s="113"/>
      <c r="E218" s="113"/>
      <c r="F218" s="113"/>
      <c r="G218" s="113"/>
      <c r="H218" s="113"/>
      <c r="I218" s="113"/>
      <c r="J218" s="113"/>
      <c r="K218" s="113"/>
      <c r="L218" s="113"/>
      <c r="M218" s="113"/>
      <c r="N218" s="113"/>
      <c r="O218" s="113"/>
      <c r="P218" s="113"/>
      <c r="Q218" s="113"/>
      <c r="R218" s="113"/>
      <c r="S218" s="113"/>
      <c r="T218" s="14">
        <v>0</v>
      </c>
      <c r="U218" s="14">
        <v>1</v>
      </c>
      <c r="V218" s="14">
        <v>0</v>
      </c>
      <c r="W218" s="14">
        <v>0</v>
      </c>
      <c r="X218" s="10">
        <v>34</v>
      </c>
      <c r="AA218" s="79"/>
      <c r="AB218" s="79"/>
      <c r="AC218" s="79"/>
      <c r="AD218" s="79"/>
      <c r="AE218" s="79"/>
      <c r="AF218" s="79"/>
      <c r="AG218" s="79"/>
      <c r="AH218" s="79"/>
      <c r="AI218" s="79"/>
    </row>
    <row r="219" spans="1:35" ht="20.149999999999999" customHeight="1">
      <c r="A219" s="113"/>
      <c r="B219" s="113"/>
      <c r="C219" s="113"/>
      <c r="D219" s="113"/>
      <c r="E219" s="113"/>
      <c r="F219" s="113"/>
      <c r="G219" s="113"/>
      <c r="H219" s="113"/>
      <c r="I219" s="113"/>
      <c r="J219" s="113"/>
      <c r="K219" s="113"/>
      <c r="L219" s="113"/>
      <c r="M219" s="113"/>
      <c r="N219" s="113"/>
      <c r="O219" s="113"/>
      <c r="P219" s="113"/>
      <c r="Q219" s="113"/>
      <c r="R219" s="113"/>
      <c r="S219" s="113"/>
      <c r="T219" s="14">
        <v>0</v>
      </c>
      <c r="U219" s="14">
        <v>1</v>
      </c>
      <c r="V219" s="14">
        <v>0</v>
      </c>
      <c r="W219" s="14">
        <v>0</v>
      </c>
      <c r="X219" s="10">
        <v>20</v>
      </c>
      <c r="AA219" s="79"/>
      <c r="AB219" s="79"/>
      <c r="AC219" s="79"/>
      <c r="AD219" s="79"/>
      <c r="AE219" s="79"/>
      <c r="AF219" s="79"/>
      <c r="AG219" s="79"/>
      <c r="AH219" s="79"/>
      <c r="AI219" s="79"/>
    </row>
    <row r="220" spans="1:35" ht="20.149999999999999" customHeight="1">
      <c r="A220" s="113"/>
      <c r="B220" s="113"/>
      <c r="C220" s="113"/>
      <c r="D220" s="113"/>
      <c r="E220" s="113"/>
      <c r="F220" s="113"/>
      <c r="G220" s="113"/>
      <c r="H220" s="113"/>
      <c r="I220" s="113"/>
      <c r="J220" s="113"/>
      <c r="K220" s="113"/>
      <c r="L220" s="113"/>
      <c r="M220" s="113"/>
      <c r="N220" s="113"/>
      <c r="O220" s="113"/>
      <c r="P220" s="113"/>
      <c r="Q220" s="113"/>
      <c r="R220" s="113"/>
      <c r="S220" s="113"/>
      <c r="T220" s="14">
        <v>0</v>
      </c>
      <c r="U220" s="14">
        <v>1</v>
      </c>
      <c r="V220" s="14">
        <v>0</v>
      </c>
      <c r="W220" s="14">
        <v>0</v>
      </c>
      <c r="X220" s="10">
        <v>32</v>
      </c>
    </row>
    <row r="221" spans="1:35" ht="20.149999999999999" customHeight="1">
      <c r="A221" s="113"/>
      <c r="B221" s="113"/>
      <c r="C221" s="113"/>
      <c r="D221" s="113"/>
      <c r="E221" s="113"/>
      <c r="F221" s="113"/>
      <c r="G221" s="113"/>
      <c r="H221" s="113"/>
      <c r="I221" s="113"/>
      <c r="J221" s="113"/>
      <c r="K221" s="113"/>
      <c r="L221" s="113"/>
      <c r="M221" s="113"/>
      <c r="N221" s="113"/>
      <c r="O221" s="113"/>
      <c r="P221" s="113"/>
      <c r="Q221" s="113"/>
      <c r="R221" s="113"/>
      <c r="S221" s="113"/>
      <c r="T221" s="14">
        <v>0</v>
      </c>
      <c r="U221" s="14">
        <v>1</v>
      </c>
      <c r="V221" s="14">
        <v>0</v>
      </c>
      <c r="W221" s="14">
        <v>0</v>
      </c>
      <c r="X221" s="10">
        <v>34</v>
      </c>
    </row>
    <row r="222" spans="1:35" ht="20.149999999999999" customHeight="1">
      <c r="A222" s="113"/>
      <c r="B222" s="113"/>
      <c r="C222" s="113"/>
      <c r="D222" s="113"/>
      <c r="E222" s="113"/>
      <c r="F222" s="113"/>
      <c r="G222" s="113"/>
      <c r="H222" s="113"/>
      <c r="I222" s="113"/>
      <c r="J222" s="113"/>
      <c r="K222" s="113"/>
      <c r="L222" s="113"/>
      <c r="M222" s="113"/>
      <c r="N222" s="113"/>
      <c r="O222" s="113"/>
      <c r="P222" s="113"/>
      <c r="Q222" s="113"/>
      <c r="R222" s="113"/>
      <c r="S222" s="113"/>
      <c r="T222" s="14">
        <v>0</v>
      </c>
      <c r="U222" s="14">
        <v>1</v>
      </c>
      <c r="V222" s="14">
        <v>0</v>
      </c>
      <c r="W222" s="14">
        <v>0</v>
      </c>
      <c r="X222" s="10">
        <v>30</v>
      </c>
    </row>
    <row r="223" spans="1:35" ht="20.149999999999999" customHeight="1">
      <c r="A223" s="113"/>
      <c r="B223" s="113"/>
      <c r="C223" s="113"/>
      <c r="D223" s="113"/>
      <c r="E223" s="113"/>
      <c r="F223" s="113"/>
      <c r="G223" s="113"/>
      <c r="H223" s="113"/>
      <c r="I223" s="113"/>
      <c r="J223" s="113"/>
      <c r="K223" s="113"/>
      <c r="L223" s="113"/>
      <c r="M223" s="113"/>
      <c r="N223" s="113"/>
      <c r="O223" s="113"/>
      <c r="P223" s="113"/>
      <c r="Q223" s="113"/>
      <c r="R223" s="113"/>
      <c r="S223" s="113"/>
      <c r="T223" s="14">
        <v>0</v>
      </c>
      <c r="U223" s="14">
        <v>1</v>
      </c>
      <c r="V223" s="14">
        <v>0</v>
      </c>
      <c r="W223" s="14">
        <v>0</v>
      </c>
      <c r="X223" s="10">
        <v>32</v>
      </c>
    </row>
    <row r="224" spans="1:35" ht="20.149999999999999" customHeight="1">
      <c r="A224" s="113"/>
      <c r="B224" s="113"/>
      <c r="C224" s="113"/>
      <c r="D224" s="113"/>
      <c r="E224" s="113"/>
      <c r="F224" s="113"/>
      <c r="G224" s="113"/>
      <c r="H224" s="113"/>
      <c r="I224" s="113"/>
      <c r="J224" s="113"/>
      <c r="K224" s="113"/>
      <c r="L224" s="113"/>
      <c r="M224" s="113"/>
      <c r="N224" s="113"/>
      <c r="O224" s="113"/>
      <c r="P224" s="113"/>
      <c r="Q224" s="113"/>
      <c r="R224" s="113"/>
      <c r="S224" s="113"/>
      <c r="T224" s="14">
        <v>0</v>
      </c>
      <c r="U224" s="14">
        <v>1</v>
      </c>
      <c r="V224" s="14">
        <v>0</v>
      </c>
      <c r="W224" s="14">
        <v>0</v>
      </c>
      <c r="X224" s="10">
        <v>31</v>
      </c>
    </row>
    <row r="225" spans="1:36" ht="20.149999999999999" customHeight="1">
      <c r="A225" s="113"/>
      <c r="B225" s="113"/>
      <c r="C225" s="113"/>
      <c r="D225" s="113"/>
      <c r="E225" s="113"/>
      <c r="F225" s="113"/>
      <c r="G225" s="113"/>
      <c r="H225" s="113"/>
      <c r="I225" s="113"/>
      <c r="J225" s="113"/>
      <c r="K225" s="113"/>
      <c r="L225" s="113"/>
      <c r="M225" s="113"/>
      <c r="N225" s="113"/>
      <c r="O225" s="113"/>
      <c r="P225" s="113"/>
      <c r="Q225" s="113"/>
      <c r="R225" s="113"/>
      <c r="S225" s="113"/>
      <c r="T225" s="14">
        <v>0</v>
      </c>
      <c r="U225" s="14">
        <v>1</v>
      </c>
      <c r="V225" s="14">
        <v>0</v>
      </c>
      <c r="W225" s="14">
        <v>0</v>
      </c>
      <c r="X225" s="10">
        <v>35</v>
      </c>
    </row>
    <row r="226" spans="1:36" ht="20.149999999999999" customHeight="1">
      <c r="A226" s="113"/>
      <c r="B226" s="113"/>
      <c r="C226" s="113"/>
      <c r="D226" s="113"/>
      <c r="E226" s="113"/>
      <c r="F226" s="113"/>
      <c r="G226" s="113"/>
      <c r="H226" s="113"/>
      <c r="I226" s="113"/>
      <c r="J226" s="113"/>
      <c r="K226" s="113"/>
      <c r="L226" s="113"/>
      <c r="M226" s="113"/>
      <c r="N226" s="113"/>
      <c r="O226" s="113"/>
      <c r="P226" s="113"/>
      <c r="Q226" s="113"/>
      <c r="R226" s="113"/>
      <c r="S226" s="113"/>
      <c r="T226" s="14">
        <v>0</v>
      </c>
      <c r="U226" s="14">
        <v>1</v>
      </c>
      <c r="V226" s="14">
        <v>0</v>
      </c>
      <c r="W226" s="14">
        <v>0</v>
      </c>
      <c r="X226" s="10">
        <v>30</v>
      </c>
    </row>
    <row r="227" spans="1:36" ht="20.149999999999999" customHeight="1">
      <c r="A227" s="113"/>
      <c r="B227" s="113"/>
      <c r="C227" s="113"/>
      <c r="D227" s="113"/>
      <c r="E227" s="113"/>
      <c r="F227" s="113"/>
      <c r="G227" s="113"/>
      <c r="H227" s="113"/>
      <c r="I227" s="113"/>
      <c r="J227" s="113"/>
      <c r="K227" s="113"/>
      <c r="L227" s="113"/>
      <c r="M227" s="113"/>
      <c r="N227" s="113"/>
      <c r="O227" s="113"/>
      <c r="P227" s="113"/>
      <c r="Q227" s="113"/>
      <c r="R227" s="113"/>
      <c r="S227" s="113"/>
      <c r="T227" s="14">
        <v>0</v>
      </c>
      <c r="U227" s="14">
        <v>1</v>
      </c>
      <c r="V227" s="14">
        <v>0</v>
      </c>
      <c r="W227" s="14">
        <v>0</v>
      </c>
      <c r="X227" s="10">
        <v>32</v>
      </c>
      <c r="AB227" t="s">
        <v>125</v>
      </c>
      <c r="AC227"/>
      <c r="AD227"/>
      <c r="AE227"/>
      <c r="AF227"/>
      <c r="AG227"/>
      <c r="AH227"/>
      <c r="AI227"/>
      <c r="AJ227"/>
    </row>
    <row r="228" spans="1:36" ht="20.149999999999999" customHeight="1" thickBot="1">
      <c r="A228" s="113"/>
      <c r="B228" s="113"/>
      <c r="C228" s="113"/>
      <c r="D228" s="113"/>
      <c r="E228" s="113"/>
      <c r="F228" s="113"/>
      <c r="G228" s="113"/>
      <c r="H228" s="113"/>
      <c r="I228" s="113"/>
      <c r="J228" s="113"/>
      <c r="K228" s="113"/>
      <c r="L228" s="113"/>
      <c r="M228" s="113"/>
      <c r="N228" s="113"/>
      <c r="O228" s="113"/>
      <c r="P228" s="113"/>
      <c r="Q228" s="113"/>
      <c r="R228" s="113"/>
      <c r="S228" s="113"/>
      <c r="T228" s="14">
        <v>0</v>
      </c>
      <c r="U228" s="14">
        <v>1</v>
      </c>
      <c r="V228" s="14">
        <v>0</v>
      </c>
      <c r="W228" s="14">
        <v>0</v>
      </c>
      <c r="X228" s="10">
        <v>38</v>
      </c>
      <c r="AB228"/>
      <c r="AC228"/>
      <c r="AD228"/>
      <c r="AE228"/>
      <c r="AF228"/>
      <c r="AG228"/>
      <c r="AH228"/>
      <c r="AI228"/>
      <c r="AJ228"/>
    </row>
    <row r="229" spans="1:36" ht="20.149999999999999" customHeight="1">
      <c r="A229" s="113"/>
      <c r="B229" s="113"/>
      <c r="C229" s="113"/>
      <c r="D229" s="113"/>
      <c r="E229" s="113"/>
      <c r="F229" s="113"/>
      <c r="G229" s="113"/>
      <c r="H229" s="113"/>
      <c r="I229" s="113"/>
      <c r="J229" s="113"/>
      <c r="K229" s="113"/>
      <c r="L229" s="113"/>
      <c r="M229" s="113"/>
      <c r="N229" s="113"/>
      <c r="O229" s="113"/>
      <c r="P229" s="113"/>
      <c r="Q229" s="113"/>
      <c r="R229" s="113"/>
      <c r="S229" s="113"/>
      <c r="T229" s="14">
        <v>0</v>
      </c>
      <c r="U229" s="14">
        <v>1</v>
      </c>
      <c r="V229" s="14">
        <v>0</v>
      </c>
      <c r="W229" s="14">
        <v>0</v>
      </c>
      <c r="X229" s="10">
        <v>37</v>
      </c>
      <c r="AB229" s="152" t="s">
        <v>126</v>
      </c>
      <c r="AC229" s="152"/>
      <c r="AD229"/>
      <c r="AE229"/>
      <c r="AF229"/>
      <c r="AG229"/>
      <c r="AH229"/>
      <c r="AI229"/>
      <c r="AJ229"/>
    </row>
    <row r="230" spans="1:36" ht="20.149999999999999" customHeight="1">
      <c r="A230" s="113"/>
      <c r="B230" s="113"/>
      <c r="C230" s="113"/>
      <c r="D230" s="113"/>
      <c r="E230" s="113"/>
      <c r="F230" s="113"/>
      <c r="G230" s="113"/>
      <c r="H230" s="113"/>
      <c r="I230" s="113"/>
      <c r="J230" s="113"/>
      <c r="K230" s="113"/>
      <c r="L230" s="113"/>
      <c r="M230" s="113"/>
      <c r="N230" s="113"/>
      <c r="O230" s="113"/>
      <c r="P230" s="113"/>
      <c r="Q230" s="113"/>
      <c r="R230" s="113"/>
      <c r="S230" s="113"/>
      <c r="T230" s="14">
        <v>0</v>
      </c>
      <c r="U230" s="14">
        <v>0</v>
      </c>
      <c r="V230" s="14">
        <v>1</v>
      </c>
      <c r="W230" s="14">
        <v>0</v>
      </c>
      <c r="X230" s="10">
        <v>42</v>
      </c>
      <c r="AB230" t="s">
        <v>127</v>
      </c>
      <c r="AC230">
        <v>0.95101518378647631</v>
      </c>
      <c r="AD230"/>
      <c r="AE230"/>
      <c r="AF230"/>
      <c r="AG230"/>
      <c r="AH230"/>
      <c r="AI230"/>
      <c r="AJ230"/>
    </row>
    <row r="231" spans="1:36" ht="20.149999999999999" customHeight="1">
      <c r="A231" s="113"/>
      <c r="B231" s="113"/>
      <c r="C231" s="113"/>
      <c r="D231" s="113"/>
      <c r="E231" s="113"/>
      <c r="F231" s="113"/>
      <c r="G231" s="113"/>
      <c r="H231" s="113"/>
      <c r="I231" s="113"/>
      <c r="J231" s="113"/>
      <c r="K231" s="113"/>
      <c r="L231" s="113"/>
      <c r="M231" s="113"/>
      <c r="N231" s="113"/>
      <c r="O231" s="113"/>
      <c r="P231" s="113"/>
      <c r="Q231" s="113"/>
      <c r="R231" s="113"/>
      <c r="S231" s="113"/>
      <c r="T231" s="14">
        <v>0</v>
      </c>
      <c r="U231" s="14">
        <v>0</v>
      </c>
      <c r="V231" s="14">
        <v>1</v>
      </c>
      <c r="W231" s="14">
        <v>0</v>
      </c>
      <c r="X231" s="10">
        <v>49</v>
      </c>
      <c r="AB231" t="s">
        <v>128</v>
      </c>
      <c r="AC231">
        <v>0.90442987979242528</v>
      </c>
      <c r="AD231"/>
      <c r="AE231"/>
      <c r="AF231"/>
      <c r="AG231"/>
      <c r="AH231"/>
      <c r="AI231"/>
      <c r="AJ231"/>
    </row>
    <row r="232" spans="1:36" ht="20.149999999999999" customHeight="1">
      <c r="A232" s="113"/>
      <c r="B232" s="113"/>
      <c r="C232" s="113"/>
      <c r="D232" s="113"/>
      <c r="E232" s="113"/>
      <c r="F232" s="113"/>
      <c r="G232" s="113"/>
      <c r="H232" s="113"/>
      <c r="I232" s="113"/>
      <c r="J232" s="113"/>
      <c r="K232" s="113"/>
      <c r="L232" s="113"/>
      <c r="M232" s="113"/>
      <c r="N232" s="113"/>
      <c r="O232" s="113"/>
      <c r="P232" s="113"/>
      <c r="Q232" s="113"/>
      <c r="R232" s="113"/>
      <c r="S232" s="113"/>
      <c r="T232" s="14">
        <v>0</v>
      </c>
      <c r="U232" s="14">
        <v>0</v>
      </c>
      <c r="V232" s="14">
        <v>1</v>
      </c>
      <c r="W232" s="14">
        <v>0</v>
      </c>
      <c r="X232" s="10">
        <v>59</v>
      </c>
      <c r="AB232" t="s">
        <v>129</v>
      </c>
      <c r="AC232">
        <v>0.90336798956789677</v>
      </c>
      <c r="AD232"/>
      <c r="AE232"/>
      <c r="AF232"/>
      <c r="AG232"/>
      <c r="AH232"/>
      <c r="AI232"/>
      <c r="AJ232"/>
    </row>
    <row r="233" spans="1:36" ht="20.149999999999999" customHeight="1">
      <c r="A233" s="113"/>
      <c r="B233" s="113"/>
      <c r="C233" s="113"/>
      <c r="D233" s="113"/>
      <c r="E233" s="113"/>
      <c r="F233" s="113"/>
      <c r="G233" s="113"/>
      <c r="H233" s="113"/>
      <c r="I233" s="113"/>
      <c r="J233" s="113"/>
      <c r="K233" s="113"/>
      <c r="L233" s="113"/>
      <c r="M233" s="113"/>
      <c r="N233" s="113"/>
      <c r="O233" s="113"/>
      <c r="P233" s="113"/>
      <c r="Q233" s="113"/>
      <c r="R233" s="113"/>
      <c r="S233" s="113"/>
      <c r="T233" s="14">
        <v>0</v>
      </c>
      <c r="U233" s="14">
        <v>1</v>
      </c>
      <c r="V233" s="14">
        <v>0</v>
      </c>
      <c r="W233" s="14">
        <v>0</v>
      </c>
      <c r="X233" s="10">
        <v>33</v>
      </c>
      <c r="AB233" t="s">
        <v>130</v>
      </c>
      <c r="AC233">
        <v>8.5794245369774309</v>
      </c>
      <c r="AD233"/>
      <c r="AE233"/>
      <c r="AF233"/>
      <c r="AG233"/>
      <c r="AH233"/>
      <c r="AI233"/>
      <c r="AJ233"/>
    </row>
    <row r="234" spans="1:36" ht="20.149999999999999" customHeight="1" thickBot="1">
      <c r="A234" s="113"/>
      <c r="B234" s="113"/>
      <c r="C234" s="113"/>
      <c r="D234" s="113"/>
      <c r="E234" s="113"/>
      <c r="F234" s="113"/>
      <c r="G234" s="113"/>
      <c r="H234" s="113"/>
      <c r="I234" s="113"/>
      <c r="J234" s="113"/>
      <c r="K234" s="113"/>
      <c r="L234" s="113"/>
      <c r="M234" s="113"/>
      <c r="N234" s="113"/>
      <c r="O234" s="113"/>
      <c r="P234" s="113"/>
      <c r="Q234" s="113"/>
      <c r="R234" s="113"/>
      <c r="S234" s="113"/>
      <c r="T234" s="14">
        <v>0</v>
      </c>
      <c r="U234" s="14">
        <v>1</v>
      </c>
      <c r="V234" s="14">
        <v>0</v>
      </c>
      <c r="W234" s="14">
        <v>0</v>
      </c>
      <c r="X234" s="10">
        <v>36</v>
      </c>
      <c r="AB234" s="146" t="s">
        <v>131</v>
      </c>
      <c r="AC234" s="146">
        <v>365</v>
      </c>
      <c r="AD234"/>
      <c r="AE234"/>
      <c r="AF234"/>
      <c r="AG234"/>
      <c r="AH234"/>
      <c r="AI234"/>
      <c r="AJ234"/>
    </row>
    <row r="235" spans="1:36" ht="20.149999999999999" customHeight="1">
      <c r="A235" s="113"/>
      <c r="B235" s="113"/>
      <c r="C235" s="113"/>
      <c r="D235" s="113"/>
      <c r="E235" s="113"/>
      <c r="F235" s="113"/>
      <c r="G235" s="113"/>
      <c r="H235" s="113"/>
      <c r="I235" s="113"/>
      <c r="J235" s="113"/>
      <c r="K235" s="113"/>
      <c r="L235" s="113"/>
      <c r="M235" s="113"/>
      <c r="N235" s="113"/>
      <c r="O235" s="113"/>
      <c r="P235" s="113"/>
      <c r="Q235" s="113"/>
      <c r="R235" s="113"/>
      <c r="S235" s="113"/>
      <c r="T235" s="14">
        <v>0</v>
      </c>
      <c r="U235" s="14">
        <v>1</v>
      </c>
      <c r="V235" s="14">
        <v>0</v>
      </c>
      <c r="W235" s="14">
        <v>0</v>
      </c>
      <c r="X235" s="10">
        <v>22</v>
      </c>
      <c r="AB235"/>
      <c r="AC235"/>
      <c r="AD235"/>
      <c r="AE235"/>
      <c r="AF235"/>
      <c r="AG235"/>
      <c r="AH235"/>
      <c r="AI235"/>
      <c r="AJ235"/>
    </row>
    <row r="236" spans="1:36" ht="20.149999999999999" customHeight="1" thickBot="1">
      <c r="A236" s="113"/>
      <c r="B236" s="113"/>
      <c r="C236" s="113"/>
      <c r="D236" s="113"/>
      <c r="E236" s="113"/>
      <c r="F236" s="113"/>
      <c r="G236" s="113"/>
      <c r="H236" s="113"/>
      <c r="I236" s="113"/>
      <c r="J236" s="113"/>
      <c r="K236" s="113"/>
      <c r="L236" s="113"/>
      <c r="M236" s="113"/>
      <c r="N236" s="113"/>
      <c r="O236" s="113"/>
      <c r="P236" s="113"/>
      <c r="Q236" s="113"/>
      <c r="R236" s="113"/>
      <c r="S236" s="113"/>
      <c r="T236" s="14">
        <v>0</v>
      </c>
      <c r="U236" s="14">
        <v>1</v>
      </c>
      <c r="V236" s="14">
        <v>0</v>
      </c>
      <c r="W236" s="14">
        <v>0</v>
      </c>
      <c r="X236" s="10">
        <v>29</v>
      </c>
      <c r="AB236" t="s">
        <v>132</v>
      </c>
      <c r="AC236"/>
      <c r="AD236"/>
      <c r="AE236"/>
      <c r="AF236"/>
      <c r="AG236"/>
      <c r="AH236"/>
      <c r="AI236"/>
      <c r="AJ236"/>
    </row>
    <row r="237" spans="1:36" ht="20.149999999999999" customHeight="1">
      <c r="A237" s="113"/>
      <c r="B237" s="113"/>
      <c r="C237" s="113"/>
      <c r="D237" s="113"/>
      <c r="E237" s="113"/>
      <c r="F237" s="113"/>
      <c r="G237" s="113"/>
      <c r="H237" s="113"/>
      <c r="I237" s="113"/>
      <c r="J237" s="113"/>
      <c r="K237" s="113"/>
      <c r="L237" s="113"/>
      <c r="M237" s="113"/>
      <c r="N237" s="113"/>
      <c r="O237" s="113"/>
      <c r="P237" s="113"/>
      <c r="Q237" s="113"/>
      <c r="R237" s="113"/>
      <c r="S237" s="113"/>
      <c r="T237" s="14">
        <v>0</v>
      </c>
      <c r="U237" s="14">
        <v>1</v>
      </c>
      <c r="V237" s="14">
        <v>0</v>
      </c>
      <c r="W237" s="14">
        <v>0</v>
      </c>
      <c r="X237" s="10">
        <v>39</v>
      </c>
      <c r="AB237" s="147"/>
      <c r="AC237" s="147" t="s">
        <v>137</v>
      </c>
      <c r="AD237" s="147" t="s">
        <v>138</v>
      </c>
      <c r="AE237" s="147" t="s">
        <v>139</v>
      </c>
      <c r="AF237" s="147" t="s">
        <v>140</v>
      </c>
      <c r="AG237" s="147" t="s">
        <v>141</v>
      </c>
      <c r="AH237"/>
      <c r="AI237"/>
      <c r="AJ237"/>
    </row>
    <row r="238" spans="1:36" ht="20.149999999999999" customHeight="1">
      <c r="A238" s="113"/>
      <c r="B238" s="113"/>
      <c r="C238" s="113"/>
      <c r="D238" s="113"/>
      <c r="E238" s="113"/>
      <c r="F238" s="113"/>
      <c r="G238" s="113"/>
      <c r="H238" s="113"/>
      <c r="I238" s="113"/>
      <c r="J238" s="113"/>
      <c r="K238" s="113"/>
      <c r="L238" s="113"/>
      <c r="M238" s="113"/>
      <c r="N238" s="113"/>
      <c r="O238" s="113"/>
      <c r="P238" s="113"/>
      <c r="Q238" s="113"/>
      <c r="R238" s="113"/>
      <c r="S238" s="113"/>
      <c r="T238" s="14">
        <v>0</v>
      </c>
      <c r="U238" s="14">
        <v>1</v>
      </c>
      <c r="V238" s="14">
        <v>0</v>
      </c>
      <c r="W238" s="14">
        <v>0</v>
      </c>
      <c r="X238" s="10">
        <v>36</v>
      </c>
      <c r="AB238" t="s">
        <v>133</v>
      </c>
      <c r="AC238">
        <v>4</v>
      </c>
      <c r="AD238">
        <v>250767.6946967679</v>
      </c>
      <c r="AE238">
        <v>62691.923674191974</v>
      </c>
      <c r="AF238">
        <v>851.71692789046801</v>
      </c>
      <c r="AG238">
        <v>4.7020880100700927E-182</v>
      </c>
      <c r="AH238"/>
      <c r="AI238"/>
      <c r="AJ238"/>
    </row>
    <row r="239" spans="1:36" ht="20.149999999999999" customHeight="1">
      <c r="A239" s="113"/>
      <c r="B239" s="113"/>
      <c r="C239" s="113"/>
      <c r="D239" s="113"/>
      <c r="E239" s="113"/>
      <c r="F239" s="113"/>
      <c r="G239" s="113"/>
      <c r="H239" s="113"/>
      <c r="I239" s="113"/>
      <c r="J239" s="113"/>
      <c r="K239" s="113"/>
      <c r="L239" s="113"/>
      <c r="M239" s="113"/>
      <c r="N239" s="113"/>
      <c r="O239" s="113"/>
      <c r="P239" s="113"/>
      <c r="Q239" s="113"/>
      <c r="R239" s="113"/>
      <c r="S239" s="113"/>
      <c r="T239" s="14">
        <v>0</v>
      </c>
      <c r="U239" s="14">
        <v>1</v>
      </c>
      <c r="V239" s="14">
        <v>0</v>
      </c>
      <c r="W239" s="14">
        <v>0</v>
      </c>
      <c r="X239" s="10">
        <v>29</v>
      </c>
      <c r="AB239" t="s">
        <v>134</v>
      </c>
      <c r="AC239">
        <v>360</v>
      </c>
      <c r="AD239">
        <v>26498.349138848545</v>
      </c>
      <c r="AE239">
        <v>73.606525385690404</v>
      </c>
      <c r="AF239"/>
      <c r="AG239"/>
      <c r="AH239"/>
      <c r="AI239"/>
      <c r="AJ239"/>
    </row>
    <row r="240" spans="1:36" ht="20.149999999999999" customHeight="1" thickBot="1">
      <c r="A240" s="113"/>
      <c r="B240" s="113"/>
      <c r="C240" s="113"/>
      <c r="D240" s="113"/>
      <c r="E240" s="113"/>
      <c r="F240" s="113"/>
      <c r="G240" s="113"/>
      <c r="H240" s="113"/>
      <c r="I240" s="113"/>
      <c r="J240" s="113"/>
      <c r="K240" s="113"/>
      <c r="L240" s="113"/>
      <c r="M240" s="113"/>
      <c r="N240" s="113"/>
      <c r="O240" s="113"/>
      <c r="P240" s="113"/>
      <c r="Q240" s="113"/>
      <c r="R240" s="113"/>
      <c r="S240" s="113"/>
      <c r="T240" s="14">
        <v>0</v>
      </c>
      <c r="U240" s="14">
        <v>1</v>
      </c>
      <c r="V240" s="14">
        <v>0</v>
      </c>
      <c r="W240" s="14">
        <v>0</v>
      </c>
      <c r="X240" s="10">
        <v>39</v>
      </c>
      <c r="AB240" s="146" t="s">
        <v>135</v>
      </c>
      <c r="AC240" s="146">
        <v>364</v>
      </c>
      <c r="AD240" s="146">
        <v>277266.04383561644</v>
      </c>
      <c r="AE240" s="146"/>
      <c r="AF240" s="146"/>
      <c r="AG240" s="146"/>
      <c r="AH240"/>
      <c r="AI240"/>
      <c r="AJ240"/>
    </row>
    <row r="241" spans="1:36" ht="20.149999999999999" customHeight="1" thickBot="1">
      <c r="A241" s="113"/>
      <c r="B241" s="113"/>
      <c r="C241" s="113"/>
      <c r="D241" s="113"/>
      <c r="E241" s="113"/>
      <c r="F241" s="113"/>
      <c r="G241" s="113"/>
      <c r="H241" s="113"/>
      <c r="I241" s="113"/>
      <c r="J241" s="113"/>
      <c r="K241" s="113"/>
      <c r="L241" s="113"/>
      <c r="M241" s="113"/>
      <c r="N241" s="113"/>
      <c r="O241" s="113"/>
      <c r="P241" s="113"/>
      <c r="Q241" s="113"/>
      <c r="R241" s="113"/>
      <c r="S241" s="113"/>
      <c r="T241" s="14">
        <v>0</v>
      </c>
      <c r="U241" s="14">
        <v>0</v>
      </c>
      <c r="V241" s="14">
        <v>1</v>
      </c>
      <c r="W241" s="14">
        <v>0</v>
      </c>
      <c r="X241" s="10">
        <v>48</v>
      </c>
      <c r="AB241"/>
      <c r="AC241"/>
      <c r="AD241"/>
      <c r="AE241"/>
      <c r="AF241"/>
      <c r="AG241"/>
      <c r="AH241"/>
      <c r="AI241"/>
      <c r="AJ241"/>
    </row>
    <row r="242" spans="1:36" ht="20.149999999999999" customHeight="1">
      <c r="A242" s="113"/>
      <c r="B242" s="113"/>
      <c r="C242" s="113"/>
      <c r="D242" s="113"/>
      <c r="E242" s="113"/>
      <c r="F242" s="113"/>
      <c r="G242" s="113"/>
      <c r="H242" s="113"/>
      <c r="I242" s="113"/>
      <c r="J242" s="113"/>
      <c r="K242" s="113"/>
      <c r="L242" s="113"/>
      <c r="M242" s="113"/>
      <c r="N242" s="113"/>
      <c r="O242" s="113"/>
      <c r="P242" s="113"/>
      <c r="Q242" s="113"/>
      <c r="R242" s="113"/>
      <c r="S242" s="113"/>
      <c r="T242" s="14">
        <v>0</v>
      </c>
      <c r="U242" s="14">
        <v>1</v>
      </c>
      <c r="V242" s="14">
        <v>0</v>
      </c>
      <c r="W242" s="14">
        <v>0</v>
      </c>
      <c r="X242" s="10">
        <v>29</v>
      </c>
      <c r="AB242" s="147"/>
      <c r="AC242" s="147" t="s">
        <v>142</v>
      </c>
      <c r="AD242" s="147" t="s">
        <v>130</v>
      </c>
      <c r="AE242" s="147" t="s">
        <v>143</v>
      </c>
      <c r="AF242" s="147" t="s">
        <v>144</v>
      </c>
      <c r="AG242" s="147" t="s">
        <v>145</v>
      </c>
      <c r="AH242" s="147" t="s">
        <v>146</v>
      </c>
      <c r="AI242" s="147" t="s">
        <v>147</v>
      </c>
      <c r="AJ242" s="147" t="s">
        <v>148</v>
      </c>
    </row>
    <row r="243" spans="1:36" ht="20.149999999999999" customHeight="1">
      <c r="A243" s="113"/>
      <c r="B243" s="113"/>
      <c r="C243" s="113"/>
      <c r="D243" s="113"/>
      <c r="E243" s="113"/>
      <c r="F243" s="113"/>
      <c r="G243" s="113"/>
      <c r="H243" s="113"/>
      <c r="I243" s="113"/>
      <c r="J243" s="113"/>
      <c r="K243" s="113"/>
      <c r="L243" s="113"/>
      <c r="M243" s="113"/>
      <c r="N243" s="113"/>
      <c r="O243" s="113"/>
      <c r="P243" s="113"/>
      <c r="Q243" s="113"/>
      <c r="R243" s="113"/>
      <c r="S243" s="113"/>
      <c r="T243" s="14">
        <v>0</v>
      </c>
      <c r="U243" s="14">
        <v>1</v>
      </c>
      <c r="V243" s="14">
        <v>0</v>
      </c>
      <c r="W243" s="14">
        <v>0</v>
      </c>
      <c r="X243" s="10">
        <v>37</v>
      </c>
      <c r="AB243" t="s">
        <v>136</v>
      </c>
      <c r="AC243">
        <v>85.630947550423372</v>
      </c>
      <c r="AD243">
        <v>0.67123783244102764</v>
      </c>
      <c r="AE243">
        <v>127.57169428161899</v>
      </c>
      <c r="AF243">
        <v>9.5660330840630922E-302</v>
      </c>
      <c r="AG243">
        <v>84.310907701146306</v>
      </c>
      <c r="AH243">
        <v>86.950987399700438</v>
      </c>
      <c r="AI243">
        <v>84.310907701146306</v>
      </c>
      <c r="AJ243">
        <v>86.950987399700438</v>
      </c>
    </row>
    <row r="244" spans="1:36" ht="20.149999999999999" customHeight="1">
      <c r="A244" s="113"/>
      <c r="B244" s="113"/>
      <c r="C244" s="113"/>
      <c r="D244" s="113"/>
      <c r="E244" s="113"/>
      <c r="F244" s="113"/>
      <c r="G244" s="113"/>
      <c r="H244" s="113"/>
      <c r="I244" s="113"/>
      <c r="J244" s="113"/>
      <c r="K244" s="113"/>
      <c r="L244" s="113"/>
      <c r="M244" s="113"/>
      <c r="N244" s="113"/>
      <c r="O244" s="113"/>
      <c r="P244" s="113"/>
      <c r="Q244" s="113"/>
      <c r="R244" s="113"/>
      <c r="S244" s="113"/>
      <c r="T244" s="14">
        <v>0</v>
      </c>
      <c r="U244" s="14">
        <v>0</v>
      </c>
      <c r="V244" s="14">
        <v>1</v>
      </c>
      <c r="W244" s="14">
        <v>0</v>
      </c>
      <c r="X244" s="10">
        <v>43</v>
      </c>
      <c r="AB244" t="s">
        <v>111</v>
      </c>
      <c r="AC244">
        <v>5.4734135450404544</v>
      </c>
      <c r="AD244">
        <v>2.7548311030024002</v>
      </c>
      <c r="AE244">
        <v>1.9868417846288871</v>
      </c>
      <c r="AF244">
        <v>4.7697571948429093E-2</v>
      </c>
      <c r="AG244">
        <v>5.5830300713193282E-2</v>
      </c>
      <c r="AH244">
        <v>10.890996789367716</v>
      </c>
      <c r="AI244">
        <v>5.5830300713193282E-2</v>
      </c>
      <c r="AJ244">
        <v>10.890996789367716</v>
      </c>
    </row>
    <row r="245" spans="1:36" ht="20.149999999999999" customHeight="1">
      <c r="A245" s="113"/>
      <c r="B245" s="113"/>
      <c r="C245" s="113"/>
      <c r="D245" s="113"/>
      <c r="E245" s="113"/>
      <c r="F245" s="113"/>
      <c r="G245" s="113"/>
      <c r="H245" s="113"/>
      <c r="I245" s="113"/>
      <c r="J245" s="113"/>
      <c r="K245" s="113"/>
      <c r="L245" s="113"/>
      <c r="M245" s="113"/>
      <c r="N245" s="113"/>
      <c r="O245" s="113"/>
      <c r="P245" s="113"/>
      <c r="Q245" s="113"/>
      <c r="R245" s="113"/>
      <c r="S245" s="113"/>
      <c r="T245" s="14">
        <v>0</v>
      </c>
      <c r="U245" s="14">
        <v>1</v>
      </c>
      <c r="V245" s="14">
        <v>0</v>
      </c>
      <c r="W245" s="14">
        <v>0</v>
      </c>
      <c r="X245" s="10">
        <v>33</v>
      </c>
      <c r="AB245" t="s">
        <v>117</v>
      </c>
      <c r="AC245">
        <v>-58.055282889049437</v>
      </c>
      <c r="AD245">
        <v>1.1688396283129125</v>
      </c>
      <c r="AE245">
        <v>-49.669160321716376</v>
      </c>
      <c r="AF245">
        <v>3.5317520616088907E-163</v>
      </c>
      <c r="AG245">
        <v>-60.353894219069772</v>
      </c>
      <c r="AH245">
        <v>-55.756671559029101</v>
      </c>
      <c r="AI245">
        <v>-60.353894219069772</v>
      </c>
      <c r="AJ245">
        <v>-55.756671559029101</v>
      </c>
    </row>
    <row r="246" spans="1:36" ht="20.149999999999999" customHeight="1">
      <c r="A246" s="113"/>
      <c r="B246" s="113"/>
      <c r="C246" s="113"/>
      <c r="D246" s="113"/>
      <c r="E246" s="113"/>
      <c r="F246" s="113"/>
      <c r="G246" s="113"/>
      <c r="H246" s="113"/>
      <c r="I246" s="113"/>
      <c r="J246" s="113"/>
      <c r="K246" s="113"/>
      <c r="L246" s="113"/>
      <c r="M246" s="113"/>
      <c r="N246" s="113"/>
      <c r="O246" s="113"/>
      <c r="P246" s="113"/>
      <c r="Q246" s="113"/>
      <c r="R246" s="113"/>
      <c r="S246" s="113"/>
      <c r="T246" s="14">
        <v>0</v>
      </c>
      <c r="U246" s="14">
        <v>1</v>
      </c>
      <c r="V246" s="14">
        <v>0</v>
      </c>
      <c r="W246" s="14">
        <v>0</v>
      </c>
      <c r="X246" s="10">
        <v>39</v>
      </c>
      <c r="AB246" t="s">
        <v>118</v>
      </c>
      <c r="AC246">
        <v>-31.17907958810736</v>
      </c>
      <c r="AD246">
        <v>1.1591983752418582</v>
      </c>
      <c r="AE246">
        <v>-26.897104286919031</v>
      </c>
      <c r="AF246">
        <v>3.794376583407168E-88</v>
      </c>
      <c r="AG246">
        <v>-33.458730666431997</v>
      </c>
      <c r="AH246">
        <v>-28.899428509782719</v>
      </c>
      <c r="AI246">
        <v>-33.458730666431997</v>
      </c>
      <c r="AJ246">
        <v>-28.899428509782719</v>
      </c>
    </row>
    <row r="247" spans="1:36" ht="20.149999999999999" customHeight="1" thickBot="1">
      <c r="A247" s="113"/>
      <c r="B247" s="113"/>
      <c r="C247" s="113"/>
      <c r="D247" s="113"/>
      <c r="E247" s="113"/>
      <c r="F247" s="113"/>
      <c r="G247" s="113"/>
      <c r="H247" s="113"/>
      <c r="I247" s="113"/>
      <c r="J247" s="113"/>
      <c r="K247" s="113"/>
      <c r="L247" s="113"/>
      <c r="M247" s="113"/>
      <c r="N247" s="113"/>
      <c r="O247" s="113"/>
      <c r="P247" s="113"/>
      <c r="Q247" s="113"/>
      <c r="R247" s="113"/>
      <c r="S247" s="113"/>
      <c r="T247" s="14">
        <v>0</v>
      </c>
      <c r="U247" s="14">
        <v>0</v>
      </c>
      <c r="V247" s="14">
        <v>1</v>
      </c>
      <c r="W247" s="14">
        <v>0</v>
      </c>
      <c r="X247" s="10">
        <v>42</v>
      </c>
      <c r="AB247" s="146" t="s">
        <v>116</v>
      </c>
      <c r="AC247" s="146">
        <v>19.712556999837609</v>
      </c>
      <c r="AD247" s="146">
        <v>1.5457135458064923</v>
      </c>
      <c r="AE247" s="146">
        <v>12.753046677579819</v>
      </c>
      <c r="AF247" s="146">
        <v>5.3988651395631756E-31</v>
      </c>
      <c r="AG247" s="146">
        <v>16.672794672062107</v>
      </c>
      <c r="AH247" s="146">
        <v>22.752319327613112</v>
      </c>
      <c r="AI247" s="146">
        <v>16.672794672062107</v>
      </c>
      <c r="AJ247" s="146">
        <v>22.752319327613112</v>
      </c>
    </row>
    <row r="248" spans="1:36" ht="20.149999999999999" customHeight="1">
      <c r="A248" s="113"/>
      <c r="B248" s="113"/>
      <c r="C248" s="113"/>
      <c r="D248" s="113"/>
      <c r="E248" s="113"/>
      <c r="F248" s="113"/>
      <c r="G248" s="113"/>
      <c r="H248" s="113"/>
      <c r="I248" s="113"/>
      <c r="J248" s="113"/>
      <c r="K248" s="113"/>
      <c r="L248" s="113"/>
      <c r="M248" s="113"/>
      <c r="N248" s="113"/>
      <c r="O248" s="113"/>
      <c r="P248" s="113"/>
      <c r="Q248" s="113"/>
      <c r="R248" s="113"/>
      <c r="S248" s="113"/>
      <c r="T248" s="14">
        <v>0</v>
      </c>
      <c r="U248" s="14">
        <v>1</v>
      </c>
      <c r="V248" s="14">
        <v>0</v>
      </c>
      <c r="W248" s="14">
        <v>0</v>
      </c>
      <c r="X248" s="10">
        <v>12</v>
      </c>
      <c r="AB248"/>
      <c r="AC248"/>
      <c r="AD248"/>
      <c r="AE248"/>
      <c r="AF248"/>
      <c r="AG248"/>
      <c r="AH248"/>
      <c r="AI248"/>
      <c r="AJ248"/>
    </row>
    <row r="249" spans="1:36" ht="20.149999999999999" customHeight="1">
      <c r="A249" s="113"/>
      <c r="B249" s="113"/>
      <c r="C249" s="113"/>
      <c r="D249" s="113"/>
      <c r="E249" s="113"/>
      <c r="F249" s="113"/>
      <c r="G249" s="113"/>
      <c r="H249" s="113"/>
      <c r="I249" s="113"/>
      <c r="J249" s="113"/>
      <c r="K249" s="113"/>
      <c r="L249" s="113"/>
      <c r="M249" s="113"/>
      <c r="N249" s="113"/>
      <c r="O249" s="113"/>
      <c r="P249" s="113"/>
      <c r="Q249" s="113"/>
      <c r="R249" s="113"/>
      <c r="S249" s="113"/>
      <c r="T249" s="14">
        <v>1</v>
      </c>
      <c r="U249" s="14">
        <v>1</v>
      </c>
      <c r="V249" s="14">
        <v>0</v>
      </c>
      <c r="W249" s="14">
        <v>0</v>
      </c>
      <c r="X249" s="10">
        <v>38</v>
      </c>
      <c r="AB249"/>
      <c r="AC249"/>
      <c r="AD249"/>
      <c r="AE249"/>
      <c r="AF249"/>
      <c r="AG249"/>
      <c r="AH249"/>
      <c r="AI249"/>
      <c r="AJ249"/>
    </row>
    <row r="250" spans="1:36" ht="20.149999999999999" customHeight="1">
      <c r="A250" s="113"/>
      <c r="B250" s="113"/>
      <c r="C250" s="113"/>
      <c r="D250" s="113"/>
      <c r="E250" s="113"/>
      <c r="F250" s="113"/>
      <c r="G250" s="113"/>
      <c r="H250" s="113"/>
      <c r="I250" s="113"/>
      <c r="J250" s="113"/>
      <c r="K250" s="113"/>
      <c r="L250" s="113"/>
      <c r="M250" s="113"/>
      <c r="N250" s="113"/>
      <c r="O250" s="113"/>
      <c r="P250" s="113"/>
      <c r="Q250" s="113"/>
      <c r="R250" s="113"/>
      <c r="S250" s="113"/>
      <c r="T250" s="14">
        <v>0</v>
      </c>
      <c r="U250" s="14">
        <v>0</v>
      </c>
      <c r="V250" s="14">
        <v>1</v>
      </c>
      <c r="W250" s="14">
        <v>0</v>
      </c>
      <c r="X250" s="10">
        <v>42</v>
      </c>
      <c r="AB250"/>
      <c r="AC250"/>
      <c r="AD250"/>
      <c r="AE250"/>
      <c r="AF250"/>
      <c r="AG250"/>
      <c r="AH250"/>
      <c r="AI250"/>
      <c r="AJ250"/>
    </row>
    <row r="251" spans="1:36" ht="20.149999999999999" customHeight="1">
      <c r="A251" s="113"/>
      <c r="B251" s="113"/>
      <c r="C251" s="113"/>
      <c r="D251" s="113"/>
      <c r="E251" s="113"/>
      <c r="F251" s="113"/>
      <c r="G251" s="113"/>
      <c r="H251" s="113"/>
      <c r="I251" s="113"/>
      <c r="J251" s="113"/>
      <c r="K251" s="113"/>
      <c r="L251" s="113"/>
      <c r="M251" s="113"/>
      <c r="N251" s="113"/>
      <c r="O251" s="113"/>
      <c r="P251" s="113"/>
      <c r="Q251" s="113"/>
      <c r="R251" s="113"/>
      <c r="S251" s="113"/>
      <c r="T251" s="14">
        <v>0</v>
      </c>
      <c r="U251" s="14">
        <v>1</v>
      </c>
      <c r="V251" s="14">
        <v>0</v>
      </c>
      <c r="W251" s="14">
        <v>0</v>
      </c>
      <c r="X251" s="10">
        <v>38</v>
      </c>
    </row>
    <row r="252" spans="1:36" ht="20.149999999999999" customHeight="1">
      <c r="A252" s="113"/>
      <c r="B252" s="113"/>
      <c r="C252" s="113"/>
      <c r="D252" s="113"/>
      <c r="E252" s="113"/>
      <c r="F252" s="113"/>
      <c r="G252" s="113"/>
      <c r="H252" s="113"/>
      <c r="I252" s="113"/>
      <c r="J252" s="113"/>
      <c r="K252" s="113"/>
      <c r="L252" s="113"/>
      <c r="M252" s="113"/>
      <c r="N252" s="113"/>
      <c r="O252" s="113"/>
      <c r="P252" s="113"/>
      <c r="Q252" s="113"/>
      <c r="R252" s="113"/>
      <c r="S252" s="113"/>
      <c r="T252" s="14">
        <v>0</v>
      </c>
      <c r="U252" s="14">
        <v>1</v>
      </c>
      <c r="V252" s="14">
        <v>0</v>
      </c>
      <c r="W252" s="14">
        <v>0</v>
      </c>
      <c r="X252" s="10">
        <v>13</v>
      </c>
    </row>
    <row r="253" spans="1:36" ht="20.149999999999999" customHeight="1">
      <c r="A253" s="113"/>
      <c r="B253" s="113"/>
      <c r="C253" s="113"/>
      <c r="D253" s="113"/>
      <c r="E253" s="113"/>
      <c r="F253" s="113"/>
      <c r="G253" s="113"/>
      <c r="H253" s="113"/>
      <c r="I253" s="113"/>
      <c r="J253" s="113"/>
      <c r="K253" s="113"/>
      <c r="L253" s="113"/>
      <c r="M253" s="113"/>
      <c r="N253" s="113"/>
      <c r="O253" s="113"/>
      <c r="P253" s="113"/>
      <c r="Q253" s="113"/>
      <c r="R253" s="113"/>
      <c r="S253" s="113"/>
      <c r="T253" s="14">
        <v>0</v>
      </c>
      <c r="U253" s="14">
        <v>0</v>
      </c>
      <c r="V253" s="14">
        <v>1</v>
      </c>
      <c r="W253" s="14">
        <v>0</v>
      </c>
      <c r="X253" s="10">
        <v>40</v>
      </c>
    </row>
    <row r="254" spans="1:36" ht="20.149999999999999" customHeight="1">
      <c r="A254" s="113"/>
      <c r="B254" s="113"/>
      <c r="C254" s="113"/>
      <c r="D254" s="113"/>
      <c r="E254" s="113"/>
      <c r="F254" s="113"/>
      <c r="G254" s="113"/>
      <c r="H254" s="113"/>
      <c r="I254" s="113"/>
      <c r="J254" s="113"/>
      <c r="K254" s="113"/>
      <c r="L254" s="113"/>
      <c r="M254" s="113"/>
      <c r="N254" s="113"/>
      <c r="O254" s="113"/>
      <c r="P254" s="113"/>
      <c r="Q254" s="113"/>
      <c r="R254" s="113"/>
      <c r="S254" s="113"/>
      <c r="T254" s="14">
        <v>0</v>
      </c>
      <c r="U254" s="14">
        <v>0</v>
      </c>
      <c r="V254" s="14">
        <v>1</v>
      </c>
      <c r="W254" s="14">
        <v>0</v>
      </c>
      <c r="X254" s="10">
        <v>42</v>
      </c>
    </row>
    <row r="255" spans="1:36" ht="20.149999999999999" customHeight="1">
      <c r="A255" s="113"/>
      <c r="B255" s="113"/>
      <c r="C255" s="113"/>
      <c r="D255" s="113"/>
      <c r="E255" s="113"/>
      <c r="F255" s="113"/>
      <c r="G255" s="113"/>
      <c r="H255" s="113"/>
      <c r="I255" s="113"/>
      <c r="J255" s="113"/>
      <c r="K255" s="113"/>
      <c r="L255" s="113"/>
      <c r="M255" s="113"/>
      <c r="N255" s="113"/>
      <c r="O255" s="113"/>
      <c r="P255" s="113"/>
      <c r="Q255" s="113"/>
      <c r="R255" s="113"/>
      <c r="S255" s="113"/>
      <c r="T255" s="14">
        <v>0</v>
      </c>
      <c r="U255" s="14">
        <v>0</v>
      </c>
      <c r="V255" s="14">
        <v>1</v>
      </c>
      <c r="W255" s="14">
        <v>0</v>
      </c>
      <c r="X255" s="10">
        <v>49</v>
      </c>
    </row>
    <row r="256" spans="1:36" ht="20.149999999999999" customHeight="1">
      <c r="A256" s="113"/>
      <c r="B256" s="113"/>
      <c r="C256" s="113"/>
      <c r="D256" s="113"/>
      <c r="E256" s="113"/>
      <c r="F256" s="113"/>
      <c r="G256" s="113"/>
      <c r="H256" s="113"/>
      <c r="I256" s="113"/>
      <c r="J256" s="113"/>
      <c r="K256" s="113"/>
      <c r="L256" s="113"/>
      <c r="M256" s="113"/>
      <c r="N256" s="113"/>
      <c r="O256" s="113"/>
      <c r="P256" s="113"/>
      <c r="Q256" s="113"/>
      <c r="R256" s="113"/>
      <c r="S256" s="113"/>
      <c r="T256" s="14">
        <v>0</v>
      </c>
      <c r="U256" s="14">
        <v>0</v>
      </c>
      <c r="V256" s="14">
        <v>1</v>
      </c>
      <c r="W256" s="14">
        <v>0</v>
      </c>
      <c r="X256" s="10">
        <v>41</v>
      </c>
    </row>
    <row r="257" spans="1:24" ht="20.149999999999999" customHeight="1">
      <c r="A257" s="113"/>
      <c r="B257" s="113"/>
      <c r="C257" s="113"/>
      <c r="D257" s="113"/>
      <c r="E257" s="113"/>
      <c r="F257" s="113"/>
      <c r="G257" s="113"/>
      <c r="H257" s="113"/>
      <c r="I257" s="113"/>
      <c r="J257" s="113"/>
      <c r="K257" s="113"/>
      <c r="L257" s="113"/>
      <c r="M257" s="113"/>
      <c r="N257" s="113"/>
      <c r="O257" s="113"/>
      <c r="P257" s="113"/>
      <c r="Q257" s="113"/>
      <c r="R257" s="113"/>
      <c r="S257" s="113"/>
      <c r="T257" s="14">
        <v>0</v>
      </c>
      <c r="U257" s="14">
        <v>0</v>
      </c>
      <c r="V257" s="14">
        <v>1</v>
      </c>
      <c r="W257" s="14">
        <v>0</v>
      </c>
      <c r="X257" s="10">
        <v>41</v>
      </c>
    </row>
    <row r="258" spans="1:24" ht="20.149999999999999" customHeight="1">
      <c r="A258" s="113"/>
      <c r="B258" s="97"/>
      <c r="D258" s="97"/>
      <c r="G258" s="113"/>
      <c r="H258" s="113"/>
      <c r="I258" s="113"/>
      <c r="T258" s="14">
        <v>0</v>
      </c>
      <c r="U258" s="14">
        <v>0</v>
      </c>
      <c r="V258" s="14">
        <v>1</v>
      </c>
      <c r="W258" s="14">
        <v>0</v>
      </c>
      <c r="X258" s="10">
        <v>43</v>
      </c>
    </row>
    <row r="259" spans="1:24" ht="20.149999999999999" customHeight="1">
      <c r="A259" s="113"/>
      <c r="B259" s="97"/>
      <c r="D259" s="97"/>
      <c r="T259" s="14">
        <v>0</v>
      </c>
      <c r="U259" s="14">
        <v>0</v>
      </c>
      <c r="V259" s="14">
        <v>1</v>
      </c>
      <c r="W259" s="14">
        <v>0</v>
      </c>
      <c r="X259" s="10">
        <v>54</v>
      </c>
    </row>
    <row r="260" spans="1:24" ht="20.149999999999999" customHeight="1">
      <c r="A260" s="113"/>
      <c r="B260" s="97"/>
      <c r="D260" s="97"/>
      <c r="T260" s="14">
        <v>0</v>
      </c>
      <c r="U260" s="14">
        <v>0</v>
      </c>
      <c r="V260" s="14">
        <v>1</v>
      </c>
      <c r="W260" s="14">
        <v>0</v>
      </c>
      <c r="X260" s="10">
        <v>65</v>
      </c>
    </row>
    <row r="261" spans="1:24" ht="20.149999999999999" customHeight="1">
      <c r="A261" s="113"/>
      <c r="B261" s="97"/>
      <c r="D261" s="97"/>
      <c r="T261" s="14">
        <v>0</v>
      </c>
      <c r="U261" s="14">
        <v>0</v>
      </c>
      <c r="V261" s="14">
        <v>1</v>
      </c>
      <c r="W261" s="14">
        <v>0</v>
      </c>
      <c r="X261" s="10">
        <v>62</v>
      </c>
    </row>
    <row r="262" spans="1:24" ht="20.149999999999999" customHeight="1">
      <c r="A262" s="113"/>
      <c r="B262" s="97"/>
      <c r="D262" s="97"/>
      <c r="T262" s="14">
        <v>0</v>
      </c>
      <c r="U262" s="14">
        <v>0</v>
      </c>
      <c r="V262" s="14">
        <v>1</v>
      </c>
      <c r="W262" s="14">
        <v>0</v>
      </c>
      <c r="X262" s="10">
        <v>49</v>
      </c>
    </row>
    <row r="263" spans="1:24" ht="20.149999999999999" customHeight="1">
      <c r="A263" s="113"/>
      <c r="B263" s="97"/>
      <c r="D263" s="97"/>
      <c r="T263" s="14">
        <v>0</v>
      </c>
      <c r="U263" s="14">
        <v>0</v>
      </c>
      <c r="V263" s="14">
        <v>1</v>
      </c>
      <c r="W263" s="14">
        <v>0</v>
      </c>
      <c r="X263" s="10">
        <v>42</v>
      </c>
    </row>
    <row r="264" spans="1:24" ht="20.149999999999999" customHeight="1">
      <c r="A264" s="113"/>
      <c r="B264" s="97"/>
      <c r="D264" s="97"/>
      <c r="T264" s="14">
        <v>0</v>
      </c>
      <c r="U264" s="14">
        <v>0</v>
      </c>
      <c r="V264" s="14">
        <v>1</v>
      </c>
      <c r="W264" s="14">
        <v>0</v>
      </c>
      <c r="X264" s="10">
        <v>54</v>
      </c>
    </row>
    <row r="265" spans="1:24" ht="20.149999999999999" customHeight="1">
      <c r="A265" s="97"/>
      <c r="B265" s="97"/>
      <c r="D265" s="97"/>
      <c r="T265" s="14">
        <v>0</v>
      </c>
      <c r="U265" s="14">
        <v>0</v>
      </c>
      <c r="V265" s="14">
        <v>1</v>
      </c>
      <c r="W265" s="14">
        <v>0</v>
      </c>
      <c r="X265" s="10">
        <v>42</v>
      </c>
    </row>
    <row r="266" spans="1:24" ht="20.149999999999999" customHeight="1">
      <c r="A266" s="97"/>
      <c r="B266" s="97"/>
      <c r="D266" s="97"/>
      <c r="T266" s="14">
        <v>0</v>
      </c>
      <c r="U266" s="14">
        <v>1</v>
      </c>
      <c r="V266" s="14">
        <v>0</v>
      </c>
      <c r="W266" s="14">
        <v>0</v>
      </c>
      <c r="X266" s="10">
        <v>37</v>
      </c>
    </row>
    <row r="267" spans="1:24" ht="20.149999999999999" customHeight="1">
      <c r="A267" s="97"/>
      <c r="B267" s="97"/>
      <c r="D267" s="97"/>
      <c r="T267" s="14">
        <v>0</v>
      </c>
      <c r="U267" s="14">
        <v>0</v>
      </c>
      <c r="V267" s="14">
        <v>1</v>
      </c>
      <c r="W267" s="14">
        <v>0</v>
      </c>
      <c r="X267" s="10">
        <v>44</v>
      </c>
    </row>
    <row r="268" spans="1:24" ht="20.149999999999999" customHeight="1">
      <c r="A268" s="97"/>
      <c r="B268" s="97"/>
      <c r="D268" s="97"/>
      <c r="T268" s="14">
        <v>0</v>
      </c>
      <c r="U268" s="14">
        <v>0</v>
      </c>
      <c r="V268" s="14">
        <v>1</v>
      </c>
      <c r="W268" s="14">
        <v>0</v>
      </c>
      <c r="X268" s="10">
        <v>50</v>
      </c>
    </row>
    <row r="269" spans="1:24" ht="20.149999999999999" customHeight="1">
      <c r="A269" s="97"/>
      <c r="B269" s="97"/>
      <c r="D269" s="97"/>
      <c r="T269" s="14">
        <v>0</v>
      </c>
      <c r="U269" s="14">
        <v>1</v>
      </c>
      <c r="V269" s="14">
        <v>0</v>
      </c>
      <c r="W269" s="14">
        <v>0</v>
      </c>
      <c r="X269" s="10">
        <v>33</v>
      </c>
    </row>
    <row r="270" spans="1:24" ht="20.149999999999999" customHeight="1">
      <c r="A270" s="97"/>
      <c r="B270" s="97"/>
      <c r="D270" s="97"/>
      <c r="T270" s="14">
        <v>0</v>
      </c>
      <c r="U270" s="14">
        <v>0</v>
      </c>
      <c r="V270" s="14">
        <v>1</v>
      </c>
      <c r="W270" s="14">
        <v>0</v>
      </c>
      <c r="X270" s="10">
        <v>40</v>
      </c>
    </row>
    <row r="271" spans="1:24" ht="20.149999999999999" customHeight="1">
      <c r="A271" s="97"/>
      <c r="B271" s="97"/>
      <c r="D271" s="97"/>
      <c r="T271" s="14">
        <v>0</v>
      </c>
      <c r="U271" s="14">
        <v>0</v>
      </c>
      <c r="V271" s="14">
        <v>1</v>
      </c>
      <c r="W271" s="14">
        <v>0</v>
      </c>
      <c r="X271" s="10">
        <v>48</v>
      </c>
    </row>
    <row r="272" spans="1:24" ht="20.149999999999999" customHeight="1">
      <c r="A272" s="97"/>
      <c r="B272" s="97"/>
      <c r="D272" s="97"/>
      <c r="T272" s="14">
        <v>0</v>
      </c>
      <c r="U272" s="14">
        <v>1</v>
      </c>
      <c r="V272" s="14">
        <v>0</v>
      </c>
      <c r="W272" s="14">
        <v>0</v>
      </c>
      <c r="X272" s="10">
        <v>30</v>
      </c>
    </row>
    <row r="273" spans="20:24" s="97" customFormat="1" ht="20.149999999999999" customHeight="1">
      <c r="T273" s="14">
        <v>0</v>
      </c>
      <c r="U273" s="14">
        <v>1</v>
      </c>
      <c r="V273" s="14">
        <v>0</v>
      </c>
      <c r="W273" s="14">
        <v>0</v>
      </c>
      <c r="X273" s="10">
        <v>34</v>
      </c>
    </row>
    <row r="274" spans="20:24" s="97" customFormat="1" ht="20.149999999999999" customHeight="1">
      <c r="T274" s="14">
        <v>0</v>
      </c>
      <c r="U274" s="14">
        <v>0</v>
      </c>
      <c r="V274" s="14">
        <v>1</v>
      </c>
      <c r="W274" s="14">
        <v>0</v>
      </c>
      <c r="X274" s="10">
        <v>44</v>
      </c>
    </row>
    <row r="275" spans="20:24" s="97" customFormat="1" ht="20.149999999999999" customHeight="1">
      <c r="T275" s="14">
        <v>0</v>
      </c>
      <c r="U275" s="14">
        <v>0</v>
      </c>
      <c r="V275" s="14">
        <v>1</v>
      </c>
      <c r="W275" s="14">
        <v>0</v>
      </c>
      <c r="X275" s="10">
        <v>45</v>
      </c>
    </row>
    <row r="276" spans="20:24" s="97" customFormat="1" ht="20.149999999999999" customHeight="1">
      <c r="T276" s="14">
        <v>0</v>
      </c>
      <c r="U276" s="14">
        <v>0</v>
      </c>
      <c r="V276" s="14">
        <v>1</v>
      </c>
      <c r="W276" s="14">
        <v>0</v>
      </c>
      <c r="X276" s="10">
        <v>65</v>
      </c>
    </row>
    <row r="277" spans="20:24" s="97" customFormat="1" ht="20.149999999999999" customHeight="1">
      <c r="T277" s="14">
        <v>0</v>
      </c>
      <c r="U277" s="14">
        <v>0</v>
      </c>
      <c r="V277" s="14">
        <v>1</v>
      </c>
      <c r="W277" s="14">
        <v>0</v>
      </c>
      <c r="X277" s="10">
        <v>63</v>
      </c>
    </row>
    <row r="278" spans="20:24" s="97" customFormat="1" ht="20.149999999999999" customHeight="1">
      <c r="T278" s="14">
        <v>0</v>
      </c>
      <c r="U278" s="14">
        <v>1</v>
      </c>
      <c r="V278" s="14">
        <v>0</v>
      </c>
      <c r="W278" s="14">
        <v>0</v>
      </c>
      <c r="X278" s="10">
        <v>36</v>
      </c>
    </row>
    <row r="279" spans="20:24" s="97" customFormat="1" ht="20.149999999999999" customHeight="1">
      <c r="T279" s="14">
        <v>0</v>
      </c>
      <c r="U279" s="14">
        <v>0</v>
      </c>
      <c r="V279" s="14">
        <v>1</v>
      </c>
      <c r="W279" s="14">
        <v>0</v>
      </c>
      <c r="X279" s="10">
        <v>56</v>
      </c>
    </row>
    <row r="280" spans="20:24" s="97" customFormat="1" ht="20.149999999999999" customHeight="1">
      <c r="T280" s="14">
        <v>0</v>
      </c>
      <c r="U280" s="14">
        <v>0</v>
      </c>
      <c r="V280" s="14">
        <v>1</v>
      </c>
      <c r="W280" s="14">
        <v>0</v>
      </c>
      <c r="X280" s="10">
        <v>62</v>
      </c>
    </row>
    <row r="281" spans="20:24" s="97" customFormat="1" ht="20.149999999999999" customHeight="1">
      <c r="T281" s="14">
        <v>0</v>
      </c>
      <c r="U281" s="14">
        <v>1</v>
      </c>
      <c r="V281" s="14">
        <v>0</v>
      </c>
      <c r="W281" s="14">
        <v>0</v>
      </c>
      <c r="X281" s="10">
        <v>29</v>
      </c>
    </row>
    <row r="282" spans="20:24" s="97" customFormat="1" ht="20.149999999999999" customHeight="1">
      <c r="T282" s="14">
        <v>0</v>
      </c>
      <c r="U282" s="14">
        <v>0</v>
      </c>
      <c r="V282" s="14">
        <v>1</v>
      </c>
      <c r="W282" s="14">
        <v>0</v>
      </c>
      <c r="X282" s="10">
        <v>50</v>
      </c>
    </row>
    <row r="283" spans="20:24" s="97" customFormat="1" ht="20.149999999999999" customHeight="1">
      <c r="T283" s="14">
        <v>0</v>
      </c>
      <c r="U283" s="14">
        <v>0</v>
      </c>
      <c r="V283" s="14">
        <v>1</v>
      </c>
      <c r="W283" s="14">
        <v>0</v>
      </c>
      <c r="X283" s="10">
        <v>58</v>
      </c>
    </row>
    <row r="284" spans="20:24" s="97" customFormat="1" ht="20.149999999999999" customHeight="1">
      <c r="T284" s="14">
        <v>1</v>
      </c>
      <c r="U284" s="14">
        <v>0</v>
      </c>
      <c r="V284" s="14">
        <v>1</v>
      </c>
      <c r="W284" s="14">
        <v>0</v>
      </c>
      <c r="X284" s="10">
        <v>67</v>
      </c>
    </row>
    <row r="285" spans="20:24" s="97" customFormat="1" ht="20.149999999999999" customHeight="1">
      <c r="T285" s="14">
        <v>0</v>
      </c>
      <c r="U285" s="14">
        <v>0</v>
      </c>
      <c r="V285" s="14">
        <v>1</v>
      </c>
      <c r="W285" s="14">
        <v>0</v>
      </c>
      <c r="X285" s="10">
        <v>41</v>
      </c>
    </row>
    <row r="286" spans="20:24" s="97" customFormat="1" ht="20.149999999999999" customHeight="1">
      <c r="T286" s="14">
        <v>0</v>
      </c>
      <c r="U286" s="14">
        <v>0</v>
      </c>
      <c r="V286" s="14">
        <v>1</v>
      </c>
      <c r="W286" s="14">
        <v>0</v>
      </c>
      <c r="X286" s="10">
        <v>43</v>
      </c>
    </row>
    <row r="287" spans="20:24" s="97" customFormat="1" ht="20.149999999999999" customHeight="1">
      <c r="T287" s="14">
        <v>0</v>
      </c>
      <c r="U287" s="14">
        <v>0</v>
      </c>
      <c r="V287" s="14">
        <v>1</v>
      </c>
      <c r="W287" s="14">
        <v>0</v>
      </c>
      <c r="X287" s="10">
        <v>66</v>
      </c>
    </row>
    <row r="288" spans="20:24" s="97" customFormat="1" ht="20.149999999999999" customHeight="1">
      <c r="T288" s="14">
        <v>0</v>
      </c>
      <c r="U288" s="14">
        <v>0</v>
      </c>
      <c r="V288" s="14">
        <v>1</v>
      </c>
      <c r="W288" s="14">
        <v>0</v>
      </c>
      <c r="X288" s="10">
        <v>63</v>
      </c>
    </row>
    <row r="289" spans="20:24" s="97" customFormat="1" ht="20.149999999999999" customHeight="1">
      <c r="T289" s="14">
        <v>0</v>
      </c>
      <c r="U289" s="14">
        <v>1</v>
      </c>
      <c r="V289" s="14">
        <v>0</v>
      </c>
      <c r="W289" s="14">
        <v>0</v>
      </c>
      <c r="X289" s="10">
        <v>15</v>
      </c>
    </row>
    <row r="290" spans="20:24" s="97" customFormat="1" ht="20.149999999999999" customHeight="1">
      <c r="T290" s="14">
        <v>0</v>
      </c>
      <c r="U290" s="14">
        <v>0</v>
      </c>
      <c r="V290" s="14">
        <v>0</v>
      </c>
      <c r="W290" s="14">
        <v>0</v>
      </c>
      <c r="X290" s="10">
        <v>75</v>
      </c>
    </row>
    <row r="291" spans="20:24" s="97" customFormat="1" ht="20.149999999999999" customHeight="1">
      <c r="T291" s="14">
        <v>0</v>
      </c>
      <c r="U291" s="14">
        <v>0</v>
      </c>
      <c r="V291" s="14">
        <v>1</v>
      </c>
      <c r="W291" s="14">
        <v>0</v>
      </c>
      <c r="X291" s="10">
        <v>68</v>
      </c>
    </row>
    <row r="292" spans="20:24" s="97" customFormat="1" ht="20.149999999999999" customHeight="1">
      <c r="T292" s="14">
        <v>0</v>
      </c>
      <c r="U292" s="14">
        <v>0</v>
      </c>
      <c r="V292" s="14">
        <v>1</v>
      </c>
      <c r="W292" s="14">
        <v>0</v>
      </c>
      <c r="X292" s="10">
        <v>64</v>
      </c>
    </row>
    <row r="293" spans="20:24" s="97" customFormat="1" ht="20.149999999999999" customHeight="1">
      <c r="T293" s="14">
        <v>0</v>
      </c>
      <c r="U293" s="14">
        <v>0</v>
      </c>
      <c r="V293" s="14">
        <v>0</v>
      </c>
      <c r="W293" s="14">
        <v>0</v>
      </c>
      <c r="X293" s="10">
        <v>79</v>
      </c>
    </row>
    <row r="294" spans="20:24" s="97" customFormat="1" ht="20.149999999999999" customHeight="1">
      <c r="T294" s="14">
        <v>0</v>
      </c>
      <c r="U294" s="14">
        <v>0</v>
      </c>
      <c r="V294" s="14">
        <v>0</v>
      </c>
      <c r="W294" s="14">
        <v>0</v>
      </c>
      <c r="X294" s="10">
        <v>84</v>
      </c>
    </row>
    <row r="295" spans="20:24" s="97" customFormat="1" ht="20.149999999999999" customHeight="1">
      <c r="T295" s="14">
        <v>0</v>
      </c>
      <c r="U295" s="14">
        <v>1</v>
      </c>
      <c r="V295" s="14">
        <v>0</v>
      </c>
      <c r="W295" s="14">
        <v>0</v>
      </c>
      <c r="X295" s="10">
        <v>34</v>
      </c>
    </row>
    <row r="296" spans="20:24" s="97" customFormat="1" ht="20.149999999999999" customHeight="1">
      <c r="T296" s="14">
        <v>0</v>
      </c>
      <c r="U296" s="14">
        <v>0</v>
      </c>
      <c r="V296" s="14">
        <v>0</v>
      </c>
      <c r="W296" s="14">
        <v>0</v>
      </c>
      <c r="X296" s="10">
        <v>80</v>
      </c>
    </row>
    <row r="297" spans="20:24" s="97" customFormat="1" ht="20.149999999999999" customHeight="1">
      <c r="T297" s="14">
        <v>0</v>
      </c>
      <c r="U297" s="14">
        <v>0</v>
      </c>
      <c r="V297" s="14">
        <v>0</v>
      </c>
      <c r="W297" s="14">
        <v>0</v>
      </c>
      <c r="X297" s="10">
        <v>84</v>
      </c>
    </row>
    <row r="298" spans="20:24" s="97" customFormat="1" ht="20.149999999999999" customHeight="1">
      <c r="T298" s="14">
        <v>0</v>
      </c>
      <c r="U298" s="14">
        <v>0</v>
      </c>
      <c r="V298" s="14">
        <v>0</v>
      </c>
      <c r="W298" s="14">
        <v>0</v>
      </c>
      <c r="X298" s="10">
        <v>81</v>
      </c>
    </row>
    <row r="299" spans="20:24" s="97" customFormat="1" ht="20.149999999999999" customHeight="1">
      <c r="T299" s="14">
        <v>0</v>
      </c>
      <c r="U299" s="14">
        <v>0</v>
      </c>
      <c r="V299" s="14">
        <v>0</v>
      </c>
      <c r="W299" s="14">
        <v>0</v>
      </c>
      <c r="X299" s="10">
        <v>88</v>
      </c>
    </row>
    <row r="300" spans="20:24" s="97" customFormat="1" ht="20.149999999999999" customHeight="1">
      <c r="T300" s="14">
        <v>0</v>
      </c>
      <c r="U300" s="14">
        <v>0</v>
      </c>
      <c r="V300" s="14">
        <v>0</v>
      </c>
      <c r="W300" s="14">
        <v>0</v>
      </c>
      <c r="X300" s="10">
        <v>78</v>
      </c>
    </row>
    <row r="301" spans="20:24" s="97" customFormat="1" ht="20.149999999999999" customHeight="1">
      <c r="T301" s="14">
        <v>0</v>
      </c>
      <c r="U301" s="14">
        <v>0</v>
      </c>
      <c r="V301" s="14">
        <v>0</v>
      </c>
      <c r="W301" s="14">
        <v>0</v>
      </c>
      <c r="X301" s="10">
        <v>81</v>
      </c>
    </row>
    <row r="302" spans="20:24" s="97" customFormat="1" ht="20.149999999999999" customHeight="1">
      <c r="T302" s="14">
        <v>0</v>
      </c>
      <c r="U302" s="14">
        <v>0</v>
      </c>
      <c r="V302" s="14">
        <v>0</v>
      </c>
      <c r="W302" s="14">
        <v>0</v>
      </c>
      <c r="X302" s="10">
        <v>92</v>
      </c>
    </row>
    <row r="303" spans="20:24" s="97" customFormat="1" ht="20.149999999999999" customHeight="1">
      <c r="T303" s="14">
        <v>0</v>
      </c>
      <c r="U303" s="14">
        <v>0</v>
      </c>
      <c r="V303" s="14">
        <v>0</v>
      </c>
      <c r="W303" s="14">
        <v>1</v>
      </c>
      <c r="X303" s="10">
        <v>106</v>
      </c>
    </row>
    <row r="304" spans="20:24" s="97" customFormat="1" ht="20.149999999999999" customHeight="1">
      <c r="T304" s="14">
        <v>0</v>
      </c>
      <c r="U304" s="14">
        <v>0</v>
      </c>
      <c r="V304" s="14">
        <v>1</v>
      </c>
      <c r="W304" s="14">
        <v>0</v>
      </c>
      <c r="X304" s="10">
        <v>67</v>
      </c>
    </row>
    <row r="305" spans="1:24" ht="20.149999999999999" customHeight="1">
      <c r="A305" s="97"/>
      <c r="B305" s="97"/>
      <c r="D305" s="97"/>
      <c r="T305" s="14">
        <v>0</v>
      </c>
      <c r="U305" s="14">
        <v>0</v>
      </c>
      <c r="V305" s="14">
        <v>0</v>
      </c>
      <c r="W305" s="14">
        <v>0</v>
      </c>
      <c r="X305" s="10">
        <v>88</v>
      </c>
    </row>
    <row r="306" spans="1:24" ht="20.149999999999999" customHeight="1">
      <c r="A306" s="97"/>
      <c r="B306" s="97"/>
      <c r="D306" s="97"/>
      <c r="T306" s="14">
        <v>0</v>
      </c>
      <c r="U306" s="14">
        <v>0</v>
      </c>
      <c r="V306" s="14">
        <v>0</v>
      </c>
      <c r="W306" s="14">
        <v>0</v>
      </c>
      <c r="X306" s="10">
        <v>89</v>
      </c>
    </row>
    <row r="307" spans="1:24" ht="20.149999999999999" customHeight="1">
      <c r="A307" s="97"/>
      <c r="B307" s="97"/>
      <c r="D307" s="97"/>
      <c r="T307" s="14">
        <v>0</v>
      </c>
      <c r="U307" s="14">
        <v>0</v>
      </c>
      <c r="V307" s="14">
        <v>1</v>
      </c>
      <c r="W307" s="14">
        <v>0</v>
      </c>
      <c r="X307" s="10">
        <v>53</v>
      </c>
    </row>
    <row r="308" spans="1:24" ht="20.149999999999999" customHeight="1">
      <c r="A308" s="97"/>
      <c r="B308" s="97"/>
      <c r="D308" s="97"/>
      <c r="T308" s="14">
        <v>0</v>
      </c>
      <c r="U308" s="14">
        <v>0</v>
      </c>
      <c r="V308" s="14">
        <v>0</v>
      </c>
      <c r="W308" s="14">
        <v>0</v>
      </c>
      <c r="X308" s="10">
        <v>88</v>
      </c>
    </row>
    <row r="309" spans="1:24" ht="20.149999999999999" customHeight="1">
      <c r="A309" s="97"/>
      <c r="B309" s="97"/>
      <c r="D309" s="97"/>
      <c r="T309" s="14">
        <v>0</v>
      </c>
      <c r="U309" s="14">
        <v>0</v>
      </c>
      <c r="V309" s="14">
        <v>0</v>
      </c>
      <c r="W309" s="14">
        <v>0</v>
      </c>
      <c r="X309" s="10">
        <v>92</v>
      </c>
    </row>
    <row r="310" spans="1:24" ht="20.149999999999999" customHeight="1">
      <c r="A310" s="97"/>
      <c r="B310" s="97"/>
      <c r="D310" s="97"/>
      <c r="T310" s="14">
        <v>0</v>
      </c>
      <c r="U310" s="14">
        <v>0</v>
      </c>
      <c r="V310" s="14">
        <v>0</v>
      </c>
      <c r="W310" s="14">
        <v>0</v>
      </c>
      <c r="X310" s="10">
        <v>94</v>
      </c>
    </row>
    <row r="311" spans="1:24" ht="20.149999999999999" customHeight="1">
      <c r="A311" s="97"/>
      <c r="B311" s="97"/>
      <c r="D311" s="97"/>
      <c r="T311" s="14">
        <v>0</v>
      </c>
      <c r="U311" s="14">
        <v>0</v>
      </c>
      <c r="V311" s="14">
        <v>0</v>
      </c>
      <c r="W311" s="14">
        <v>0</v>
      </c>
      <c r="X311" s="10">
        <v>87</v>
      </c>
    </row>
    <row r="312" spans="1:24" ht="20.149999999999999" customHeight="1">
      <c r="A312" s="97"/>
      <c r="T312" s="14">
        <v>0</v>
      </c>
      <c r="U312" s="14">
        <v>0</v>
      </c>
      <c r="V312" s="14">
        <v>0</v>
      </c>
      <c r="W312" s="14">
        <v>0</v>
      </c>
      <c r="X312" s="10">
        <v>87</v>
      </c>
    </row>
    <row r="313" spans="1:24" ht="20.149999999999999" customHeight="1">
      <c r="A313" s="97"/>
      <c r="T313" s="14">
        <v>0</v>
      </c>
      <c r="U313" s="14">
        <v>0</v>
      </c>
      <c r="V313" s="14">
        <v>0</v>
      </c>
      <c r="W313" s="14">
        <v>0</v>
      </c>
      <c r="X313" s="10">
        <v>96</v>
      </c>
    </row>
    <row r="314" spans="1:24" ht="20.149999999999999" customHeight="1">
      <c r="A314" s="97"/>
      <c r="T314" s="14">
        <v>0</v>
      </c>
      <c r="U314" s="14">
        <v>0</v>
      </c>
      <c r="V314" s="14">
        <v>0</v>
      </c>
      <c r="W314" s="14">
        <v>0</v>
      </c>
      <c r="X314" s="10">
        <v>84</v>
      </c>
    </row>
    <row r="315" spans="1:24" ht="20.149999999999999" customHeight="1">
      <c r="A315" s="97"/>
      <c r="T315" s="14">
        <v>0</v>
      </c>
      <c r="U315" s="14">
        <v>0</v>
      </c>
      <c r="V315" s="14">
        <v>0</v>
      </c>
      <c r="W315" s="14">
        <v>0</v>
      </c>
      <c r="X315" s="10">
        <v>97</v>
      </c>
    </row>
    <row r="316" spans="1:24" ht="20.149999999999999" customHeight="1">
      <c r="A316" s="97"/>
      <c r="T316" s="14">
        <v>1</v>
      </c>
      <c r="U316" s="14">
        <v>0</v>
      </c>
      <c r="V316" s="14">
        <v>0</v>
      </c>
      <c r="W316" s="14">
        <v>0</v>
      </c>
      <c r="X316" s="10">
        <v>82</v>
      </c>
    </row>
    <row r="317" spans="1:24" ht="20.149999999999999" customHeight="1">
      <c r="A317" s="97"/>
      <c r="T317" s="14">
        <v>0</v>
      </c>
      <c r="U317" s="14">
        <v>0</v>
      </c>
      <c r="V317" s="14">
        <v>1</v>
      </c>
      <c r="W317" s="14">
        <v>0</v>
      </c>
      <c r="X317" s="10">
        <v>68</v>
      </c>
    </row>
    <row r="318" spans="1:24" ht="20.149999999999999" customHeight="1">
      <c r="A318" s="97"/>
      <c r="T318" s="14">
        <v>0</v>
      </c>
      <c r="U318" s="14">
        <v>0</v>
      </c>
      <c r="V318" s="14">
        <v>0</v>
      </c>
      <c r="W318" s="14">
        <v>0</v>
      </c>
      <c r="X318" s="10">
        <v>91</v>
      </c>
    </row>
    <row r="319" spans="1:24" ht="18.5">
      <c r="T319" s="14">
        <v>0</v>
      </c>
      <c r="U319" s="14">
        <v>0</v>
      </c>
      <c r="V319" s="14">
        <v>0</v>
      </c>
      <c r="W319" s="14">
        <v>0</v>
      </c>
      <c r="X319" s="10">
        <v>79</v>
      </c>
    </row>
    <row r="320" spans="1:24" ht="18.5">
      <c r="T320" s="14">
        <v>0</v>
      </c>
      <c r="U320" s="14">
        <v>0</v>
      </c>
      <c r="V320" s="14">
        <v>0</v>
      </c>
      <c r="W320" s="14">
        <v>0</v>
      </c>
      <c r="X320" s="10">
        <v>83</v>
      </c>
    </row>
    <row r="321" spans="20:24" ht="18.5">
      <c r="T321" s="14">
        <v>0</v>
      </c>
      <c r="U321" s="14">
        <v>0</v>
      </c>
      <c r="V321" s="14">
        <v>0</v>
      </c>
      <c r="W321" s="14">
        <v>0</v>
      </c>
      <c r="X321" s="10">
        <v>77</v>
      </c>
    </row>
    <row r="322" spans="20:24" ht="18.5">
      <c r="T322" s="14">
        <v>0</v>
      </c>
      <c r="U322" s="14">
        <v>0</v>
      </c>
      <c r="V322" s="14">
        <v>0</v>
      </c>
      <c r="W322" s="14">
        <v>0</v>
      </c>
      <c r="X322" s="10">
        <v>92</v>
      </c>
    </row>
    <row r="323" spans="20:24" ht="18.5">
      <c r="T323" s="14">
        <v>0</v>
      </c>
      <c r="U323" s="14">
        <v>0</v>
      </c>
      <c r="V323" s="14">
        <v>0</v>
      </c>
      <c r="W323" s="14">
        <v>0</v>
      </c>
      <c r="X323" s="10">
        <v>98</v>
      </c>
    </row>
    <row r="324" spans="20:24" ht="18.5">
      <c r="T324" s="14">
        <v>0</v>
      </c>
      <c r="U324" s="14">
        <v>0</v>
      </c>
      <c r="V324" s="14">
        <v>0</v>
      </c>
      <c r="W324" s="14">
        <v>1</v>
      </c>
      <c r="X324" s="10">
        <v>116</v>
      </c>
    </row>
    <row r="325" spans="20:24" ht="18.5">
      <c r="T325" s="14">
        <v>0</v>
      </c>
      <c r="U325" s="14">
        <v>0</v>
      </c>
      <c r="V325" s="14">
        <v>0</v>
      </c>
      <c r="W325" s="14">
        <v>0</v>
      </c>
      <c r="X325" s="10">
        <v>94</v>
      </c>
    </row>
    <row r="326" spans="20:24" ht="18.5">
      <c r="T326" s="14">
        <v>0</v>
      </c>
      <c r="U326" s="14">
        <v>0</v>
      </c>
      <c r="V326" s="14">
        <v>0</v>
      </c>
      <c r="W326" s="14">
        <v>0</v>
      </c>
      <c r="X326" s="10">
        <v>86</v>
      </c>
    </row>
    <row r="327" spans="20:24" ht="18.5">
      <c r="T327" s="14">
        <v>0</v>
      </c>
      <c r="U327" s="14">
        <v>0</v>
      </c>
      <c r="V327" s="14">
        <v>0</v>
      </c>
      <c r="W327" s="14">
        <v>0</v>
      </c>
      <c r="X327" s="10">
        <v>90</v>
      </c>
    </row>
    <row r="328" spans="20:24" ht="18.5">
      <c r="T328" s="14">
        <v>0</v>
      </c>
      <c r="U328" s="14">
        <v>0</v>
      </c>
      <c r="V328" s="14">
        <v>0</v>
      </c>
      <c r="W328" s="14">
        <v>1</v>
      </c>
      <c r="X328" s="10">
        <v>100</v>
      </c>
    </row>
    <row r="329" spans="20:24" ht="18.5">
      <c r="T329" s="14">
        <v>1</v>
      </c>
      <c r="U329" s="14">
        <v>0</v>
      </c>
      <c r="V329" s="14">
        <v>0</v>
      </c>
      <c r="W329" s="14">
        <v>0</v>
      </c>
      <c r="X329" s="10">
        <v>93</v>
      </c>
    </row>
    <row r="330" spans="20:24" ht="18.5">
      <c r="T330" s="14">
        <v>0</v>
      </c>
      <c r="U330" s="14">
        <v>0</v>
      </c>
      <c r="V330" s="14">
        <v>0</v>
      </c>
      <c r="W330" s="14">
        <v>0</v>
      </c>
      <c r="X330" s="10">
        <v>93</v>
      </c>
    </row>
    <row r="331" spans="20:24" ht="18.5">
      <c r="T331" s="14">
        <v>0</v>
      </c>
      <c r="U331" s="14">
        <v>0</v>
      </c>
      <c r="V331" s="14">
        <v>0</v>
      </c>
      <c r="W331" s="14">
        <v>0</v>
      </c>
      <c r="X331" s="10">
        <v>95</v>
      </c>
    </row>
    <row r="332" spans="20:24" ht="18.5">
      <c r="T332" s="14">
        <v>0</v>
      </c>
      <c r="U332" s="14">
        <v>0</v>
      </c>
      <c r="V332" s="14">
        <v>0</v>
      </c>
      <c r="W332" s="14">
        <v>0</v>
      </c>
      <c r="X332" s="10">
        <v>96</v>
      </c>
    </row>
    <row r="333" spans="20:24" ht="18.5">
      <c r="T333" s="14">
        <v>0</v>
      </c>
      <c r="U333" s="14">
        <v>0</v>
      </c>
      <c r="V333" s="14">
        <v>0</v>
      </c>
      <c r="W333" s="14">
        <v>0</v>
      </c>
      <c r="X333" s="10">
        <v>82</v>
      </c>
    </row>
    <row r="334" spans="20:24" ht="18.5">
      <c r="T334" s="14">
        <v>0</v>
      </c>
      <c r="U334" s="14">
        <v>0</v>
      </c>
      <c r="V334" s="14">
        <v>0</v>
      </c>
      <c r="W334" s="14">
        <v>0</v>
      </c>
      <c r="X334" s="10">
        <v>79</v>
      </c>
    </row>
    <row r="335" spans="20:24" ht="18.5">
      <c r="T335" s="14">
        <v>0</v>
      </c>
      <c r="U335" s="14">
        <v>0</v>
      </c>
      <c r="V335" s="14">
        <v>0</v>
      </c>
      <c r="W335" s="14">
        <v>0</v>
      </c>
      <c r="X335" s="10">
        <v>79</v>
      </c>
    </row>
    <row r="336" spans="20:24" ht="18.5">
      <c r="T336" s="14">
        <v>0</v>
      </c>
      <c r="U336" s="14">
        <v>0</v>
      </c>
      <c r="V336" s="14">
        <v>0</v>
      </c>
      <c r="W336" s="14">
        <v>1</v>
      </c>
      <c r="X336" s="10">
        <v>100</v>
      </c>
    </row>
    <row r="337" spans="20:24" ht="18.5">
      <c r="T337" s="14">
        <v>0</v>
      </c>
      <c r="U337" s="14">
        <v>0</v>
      </c>
      <c r="V337" s="14">
        <v>0</v>
      </c>
      <c r="W337" s="14">
        <v>1</v>
      </c>
      <c r="X337" s="10">
        <v>106</v>
      </c>
    </row>
    <row r="338" spans="20:24" ht="18.5">
      <c r="T338" s="14">
        <v>0</v>
      </c>
      <c r="U338" s="14">
        <v>0</v>
      </c>
      <c r="V338" s="14">
        <v>0</v>
      </c>
      <c r="W338" s="14">
        <v>1</v>
      </c>
      <c r="X338" s="10">
        <v>106</v>
      </c>
    </row>
    <row r="339" spans="20:24" ht="18.5">
      <c r="T339" s="14">
        <v>0</v>
      </c>
      <c r="U339" s="14">
        <v>0</v>
      </c>
      <c r="V339" s="14">
        <v>0</v>
      </c>
      <c r="W339" s="14">
        <v>0</v>
      </c>
      <c r="X339" s="10">
        <v>98</v>
      </c>
    </row>
    <row r="340" spans="20:24" ht="18.5">
      <c r="T340" s="14">
        <v>0</v>
      </c>
      <c r="U340" s="14">
        <v>0</v>
      </c>
      <c r="V340" s="14">
        <v>0</v>
      </c>
      <c r="W340" s="14">
        <v>0</v>
      </c>
      <c r="X340" s="10">
        <v>91</v>
      </c>
    </row>
    <row r="341" spans="20:24" ht="18.5">
      <c r="T341" s="14">
        <v>0</v>
      </c>
      <c r="U341" s="14">
        <v>0</v>
      </c>
      <c r="V341" s="14">
        <v>0</v>
      </c>
      <c r="W341" s="14">
        <v>0</v>
      </c>
      <c r="X341" s="10">
        <v>96</v>
      </c>
    </row>
    <row r="342" spans="20:24" ht="18.5">
      <c r="T342" s="14">
        <v>0</v>
      </c>
      <c r="U342" s="14">
        <v>0</v>
      </c>
      <c r="V342" s="14">
        <v>0</v>
      </c>
      <c r="W342" s="14">
        <v>0</v>
      </c>
      <c r="X342" s="10">
        <v>89</v>
      </c>
    </row>
    <row r="343" spans="20:24" ht="18.5">
      <c r="T343" s="14">
        <v>0</v>
      </c>
      <c r="U343" s="14">
        <v>0</v>
      </c>
      <c r="V343" s="14">
        <v>0</v>
      </c>
      <c r="W343" s="14">
        <v>0</v>
      </c>
      <c r="X343" s="10">
        <v>78</v>
      </c>
    </row>
    <row r="344" spans="20:24" ht="18.5">
      <c r="T344" s="14">
        <v>0</v>
      </c>
      <c r="U344" s="14">
        <v>0</v>
      </c>
      <c r="V344" s="14">
        <v>0</v>
      </c>
      <c r="W344" s="14">
        <v>0</v>
      </c>
      <c r="X344" s="10">
        <v>91</v>
      </c>
    </row>
    <row r="345" spans="20:24" ht="18.5">
      <c r="T345" s="14">
        <v>0</v>
      </c>
      <c r="U345" s="14">
        <v>0</v>
      </c>
      <c r="V345" s="14">
        <v>0</v>
      </c>
      <c r="W345" s="14">
        <v>1</v>
      </c>
      <c r="X345" s="10">
        <v>100</v>
      </c>
    </row>
    <row r="346" spans="20:24" ht="18.5">
      <c r="T346" s="14">
        <v>0</v>
      </c>
      <c r="U346" s="14">
        <v>0</v>
      </c>
      <c r="V346" s="14">
        <v>0</v>
      </c>
      <c r="W346" s="14">
        <v>0</v>
      </c>
      <c r="X346" s="10">
        <v>89</v>
      </c>
    </row>
    <row r="347" spans="20:24" ht="18.5">
      <c r="T347" s="14">
        <v>0</v>
      </c>
      <c r="U347" s="14">
        <v>0</v>
      </c>
      <c r="V347" s="14">
        <v>0</v>
      </c>
      <c r="W347" s="14">
        <v>1</v>
      </c>
      <c r="X347" s="10">
        <v>100</v>
      </c>
    </row>
    <row r="348" spans="20:24" ht="18.5">
      <c r="T348" s="14">
        <v>0</v>
      </c>
      <c r="U348" s="14">
        <v>0</v>
      </c>
      <c r="V348" s="14">
        <v>0</v>
      </c>
      <c r="W348" s="14">
        <v>0</v>
      </c>
      <c r="X348" s="10">
        <v>98</v>
      </c>
    </row>
    <row r="349" spans="20:24" ht="18.5">
      <c r="T349" s="14">
        <v>0</v>
      </c>
      <c r="U349" s="14">
        <v>0</v>
      </c>
      <c r="V349" s="14">
        <v>0</v>
      </c>
      <c r="W349" s="14">
        <v>1</v>
      </c>
      <c r="X349" s="10">
        <v>103</v>
      </c>
    </row>
    <row r="350" spans="20:24" ht="18.5">
      <c r="T350" s="14">
        <v>0</v>
      </c>
      <c r="U350" s="14">
        <v>0</v>
      </c>
      <c r="V350" s="14">
        <v>0</v>
      </c>
      <c r="W350" s="14">
        <v>0</v>
      </c>
      <c r="X350" s="10">
        <v>75</v>
      </c>
    </row>
    <row r="351" spans="20:24" ht="18.5">
      <c r="T351" s="14">
        <v>0</v>
      </c>
      <c r="U351" s="14">
        <v>0</v>
      </c>
      <c r="V351" s="14">
        <v>0</v>
      </c>
      <c r="W351" s="14">
        <v>0</v>
      </c>
      <c r="X351" s="10">
        <v>97</v>
      </c>
    </row>
    <row r="352" spans="20:24" ht="18.5">
      <c r="T352" s="14">
        <v>0</v>
      </c>
      <c r="U352" s="14">
        <v>0</v>
      </c>
      <c r="V352" s="14">
        <v>0</v>
      </c>
      <c r="W352" s="14">
        <v>1</v>
      </c>
      <c r="X352" s="10">
        <v>102</v>
      </c>
    </row>
    <row r="353" spans="20:24" ht="18.5">
      <c r="T353" s="14">
        <v>0</v>
      </c>
      <c r="U353" s="14">
        <v>0</v>
      </c>
      <c r="V353" s="14">
        <v>0</v>
      </c>
      <c r="W353" s="14">
        <v>0</v>
      </c>
      <c r="X353" s="10">
        <v>95</v>
      </c>
    </row>
    <row r="354" spans="20:24" ht="18.5">
      <c r="T354" s="14">
        <v>0</v>
      </c>
      <c r="U354" s="14">
        <v>0</v>
      </c>
      <c r="V354" s="14">
        <v>0</v>
      </c>
      <c r="W354" s="14">
        <v>0</v>
      </c>
      <c r="X354" s="10">
        <v>80</v>
      </c>
    </row>
    <row r="355" spans="20:24" ht="18.5">
      <c r="T355" s="14">
        <v>0</v>
      </c>
      <c r="U355" s="14">
        <v>0</v>
      </c>
      <c r="V355" s="14">
        <v>0</v>
      </c>
      <c r="W355" s="14">
        <v>0</v>
      </c>
      <c r="X355" s="10">
        <v>96</v>
      </c>
    </row>
    <row r="356" spans="20:24" ht="18.5">
      <c r="T356" s="14">
        <v>0</v>
      </c>
      <c r="U356" s="14">
        <v>0</v>
      </c>
      <c r="V356" s="14">
        <v>0</v>
      </c>
      <c r="W356" s="14">
        <v>0</v>
      </c>
      <c r="X356" s="10">
        <v>90</v>
      </c>
    </row>
    <row r="357" spans="20:24" ht="18.5">
      <c r="T357" s="14">
        <v>0</v>
      </c>
      <c r="U357" s="14">
        <v>0</v>
      </c>
      <c r="V357" s="14">
        <v>0</v>
      </c>
      <c r="W357" s="14">
        <v>0</v>
      </c>
      <c r="X357" s="10">
        <v>96</v>
      </c>
    </row>
    <row r="358" spans="20:24" ht="18.5">
      <c r="T358" s="14">
        <v>0</v>
      </c>
      <c r="U358" s="14">
        <v>0</v>
      </c>
      <c r="V358" s="14">
        <v>0</v>
      </c>
      <c r="W358" s="14">
        <v>0</v>
      </c>
      <c r="X358" s="10">
        <v>99</v>
      </c>
    </row>
    <row r="359" spans="20:24" ht="18.5">
      <c r="T359" s="14">
        <v>0</v>
      </c>
      <c r="U359" s="14">
        <v>0</v>
      </c>
      <c r="V359" s="14">
        <v>0</v>
      </c>
      <c r="W359" s="14">
        <v>1</v>
      </c>
      <c r="X359" s="10">
        <v>104</v>
      </c>
    </row>
    <row r="360" spans="20:24" ht="18.5">
      <c r="T360" s="14">
        <v>0</v>
      </c>
      <c r="U360" s="14">
        <v>0</v>
      </c>
      <c r="V360" s="14">
        <v>0</v>
      </c>
      <c r="W360" s="14">
        <v>1</v>
      </c>
      <c r="X360" s="10">
        <v>106</v>
      </c>
    </row>
    <row r="361" spans="20:24" ht="18.5">
      <c r="T361" s="14">
        <v>1</v>
      </c>
      <c r="U361" s="14">
        <v>0</v>
      </c>
      <c r="V361" s="14">
        <v>0</v>
      </c>
      <c r="W361" s="14">
        <v>0</v>
      </c>
      <c r="X361" s="10">
        <v>94</v>
      </c>
    </row>
    <row r="362" spans="20:24" ht="18.5">
      <c r="T362" s="14">
        <v>0</v>
      </c>
      <c r="U362" s="14">
        <v>0</v>
      </c>
      <c r="V362" s="14">
        <v>0</v>
      </c>
      <c r="W362" s="14">
        <v>0</v>
      </c>
      <c r="X362" s="10">
        <v>93</v>
      </c>
    </row>
    <row r="363" spans="20:24" ht="18.5">
      <c r="T363" s="14">
        <v>0</v>
      </c>
      <c r="U363" s="14">
        <v>0</v>
      </c>
      <c r="V363" s="14">
        <v>0</v>
      </c>
      <c r="W363" s="14">
        <v>1</v>
      </c>
      <c r="X363" s="10">
        <v>105</v>
      </c>
    </row>
    <row r="364" spans="20:24" ht="18.5">
      <c r="T364" s="14">
        <v>0</v>
      </c>
      <c r="U364" s="14">
        <v>0</v>
      </c>
      <c r="V364" s="14">
        <v>0</v>
      </c>
      <c r="W364" s="14">
        <v>1</v>
      </c>
      <c r="X364" s="10">
        <v>111</v>
      </c>
    </row>
    <row r="365" spans="20:24" ht="18.5">
      <c r="T365" s="14">
        <v>0</v>
      </c>
      <c r="U365" s="14">
        <v>0</v>
      </c>
      <c r="V365" s="14">
        <v>0</v>
      </c>
      <c r="W365" s="14">
        <v>1</v>
      </c>
      <c r="X365" s="10">
        <v>107</v>
      </c>
    </row>
    <row r="366" spans="20:24" ht="18.5">
      <c r="T366" s="14">
        <v>0</v>
      </c>
      <c r="U366" s="14">
        <v>0</v>
      </c>
      <c r="V366" s="14">
        <v>0</v>
      </c>
      <c r="W366" s="14">
        <v>1</v>
      </c>
      <c r="X366" s="10">
        <v>102</v>
      </c>
    </row>
    <row r="367" spans="20:24">
      <c r="T367"/>
      <c r="U367"/>
      <c r="V367"/>
    </row>
    <row r="368" spans="20:24">
      <c r="T368"/>
      <c r="U368"/>
      <c r="V368"/>
    </row>
    <row r="369" spans="20:22">
      <c r="T369"/>
      <c r="U369"/>
      <c r="V369"/>
    </row>
    <row r="370" spans="20:22">
      <c r="T370"/>
      <c r="U370"/>
      <c r="V370"/>
    </row>
    <row r="371" spans="20:22">
      <c r="T371"/>
      <c r="U371"/>
      <c r="V371"/>
    </row>
    <row r="372" spans="20:22">
      <c r="T372"/>
      <c r="U372"/>
      <c r="V372"/>
    </row>
    <row r="373" spans="20:22">
      <c r="T373"/>
      <c r="U373"/>
      <c r="V373"/>
    </row>
    <row r="374" spans="20:22">
      <c r="T374"/>
      <c r="U374"/>
      <c r="V374"/>
    </row>
    <row r="375" spans="20:22">
      <c r="T375"/>
      <c r="U375"/>
      <c r="V375"/>
    </row>
    <row r="376" spans="20:22">
      <c r="T376"/>
      <c r="U376"/>
      <c r="V376"/>
    </row>
    <row r="377" spans="20:22">
      <c r="T377"/>
      <c r="U377"/>
      <c r="V377"/>
    </row>
    <row r="378" spans="20:22">
      <c r="T378"/>
      <c r="U378"/>
      <c r="V378"/>
    </row>
    <row r="379" spans="20:22">
      <c r="T379"/>
      <c r="U379"/>
      <c r="V379"/>
    </row>
    <row r="380" spans="20:22">
      <c r="T380"/>
      <c r="U380"/>
      <c r="V380"/>
    </row>
    <row r="381" spans="20:22">
      <c r="T381"/>
      <c r="U381"/>
      <c r="V381"/>
    </row>
    <row r="382" spans="20:22">
      <c r="T382"/>
      <c r="U382"/>
      <c r="V382"/>
    </row>
    <row r="383" spans="20:22">
      <c r="T383"/>
      <c r="U383"/>
      <c r="V383"/>
    </row>
    <row r="384" spans="20:22">
      <c r="T384"/>
      <c r="U384"/>
      <c r="V384"/>
    </row>
    <row r="385" spans="20:22">
      <c r="T385"/>
      <c r="U385"/>
      <c r="V385"/>
    </row>
    <row r="386" spans="20:22">
      <c r="T386"/>
      <c r="U386"/>
      <c r="V386"/>
    </row>
    <row r="387" spans="20:22">
      <c r="T387"/>
      <c r="U387"/>
      <c r="V387"/>
    </row>
    <row r="388" spans="20:22">
      <c r="T388"/>
      <c r="U388"/>
      <c r="V388"/>
    </row>
    <row r="389" spans="20:22">
      <c r="T389"/>
      <c r="U389"/>
      <c r="V389"/>
    </row>
    <row r="390" spans="20:22">
      <c r="T390"/>
      <c r="U390"/>
      <c r="V390"/>
    </row>
    <row r="391" spans="20:22">
      <c r="T391"/>
      <c r="U391"/>
      <c r="V391"/>
    </row>
    <row r="392" spans="20:22">
      <c r="T392"/>
      <c r="U392"/>
      <c r="V392"/>
    </row>
    <row r="393" spans="20:22">
      <c r="T393"/>
      <c r="U393"/>
      <c r="V393"/>
    </row>
    <row r="394" spans="20:22">
      <c r="T394"/>
      <c r="U394"/>
      <c r="V394"/>
    </row>
    <row r="395" spans="20:22">
      <c r="T395"/>
      <c r="U395"/>
      <c r="V395"/>
    </row>
    <row r="396" spans="20:22">
      <c r="T396"/>
      <c r="U396"/>
      <c r="V396"/>
    </row>
    <row r="397" spans="20:22">
      <c r="T397"/>
      <c r="U397"/>
      <c r="V397"/>
    </row>
    <row r="398" spans="20:22">
      <c r="T398"/>
      <c r="U398"/>
      <c r="V398"/>
    </row>
    <row r="399" spans="20:22">
      <c r="T399"/>
      <c r="U399"/>
      <c r="V399"/>
    </row>
    <row r="400" spans="20:22">
      <c r="T400"/>
      <c r="U400"/>
      <c r="V400"/>
    </row>
    <row r="401" spans="20:22">
      <c r="T401"/>
      <c r="U401"/>
      <c r="V401"/>
    </row>
    <row r="402" spans="20:22">
      <c r="T402"/>
      <c r="U402"/>
      <c r="V402"/>
    </row>
    <row r="403" spans="20:22">
      <c r="T403"/>
      <c r="U403"/>
      <c r="V403"/>
    </row>
    <row r="404" spans="20:22">
      <c r="T404"/>
      <c r="U404"/>
      <c r="V404"/>
    </row>
    <row r="405" spans="20:22">
      <c r="T405"/>
      <c r="U405"/>
      <c r="V405"/>
    </row>
    <row r="406" spans="20:22">
      <c r="T406"/>
      <c r="U406"/>
      <c r="V406"/>
    </row>
    <row r="407" spans="20:22">
      <c r="T407"/>
      <c r="U407"/>
      <c r="V407"/>
    </row>
    <row r="408" spans="20:22">
      <c r="T408"/>
      <c r="U408"/>
      <c r="V408"/>
    </row>
    <row r="409" spans="20:22">
      <c r="T409"/>
      <c r="U409"/>
      <c r="V409"/>
    </row>
    <row r="410" spans="20:22">
      <c r="T410"/>
      <c r="U410"/>
      <c r="V410"/>
    </row>
    <row r="411" spans="20:22">
      <c r="T411"/>
      <c r="U411"/>
      <c r="V411"/>
    </row>
    <row r="412" spans="20:22">
      <c r="T412"/>
      <c r="U412"/>
      <c r="V412"/>
    </row>
    <row r="413" spans="20:22">
      <c r="T413"/>
      <c r="U413"/>
      <c r="V413"/>
    </row>
    <row r="414" spans="20:22">
      <c r="T414"/>
      <c r="U414"/>
      <c r="V414"/>
    </row>
    <row r="415" spans="20:22">
      <c r="T415"/>
      <c r="U415"/>
      <c r="V415"/>
    </row>
    <row r="416" spans="20:22">
      <c r="T416"/>
      <c r="U416"/>
      <c r="V416"/>
    </row>
    <row r="417" spans="20:22">
      <c r="T417"/>
      <c r="U417"/>
      <c r="V417"/>
    </row>
    <row r="418" spans="20:22">
      <c r="T418"/>
      <c r="U418"/>
      <c r="V418"/>
    </row>
    <row r="419" spans="20:22">
      <c r="T419"/>
      <c r="U419"/>
      <c r="V419"/>
    </row>
    <row r="420" spans="20:22">
      <c r="T420"/>
      <c r="U420"/>
      <c r="V420"/>
    </row>
    <row r="421" spans="20:22">
      <c r="T421"/>
      <c r="U421"/>
      <c r="V421"/>
    </row>
    <row r="422" spans="20:22">
      <c r="T422"/>
      <c r="U422"/>
      <c r="V422"/>
    </row>
    <row r="423" spans="20:22">
      <c r="T423"/>
      <c r="U423"/>
      <c r="V423"/>
    </row>
    <row r="424" spans="20:22">
      <c r="T424"/>
      <c r="U424"/>
      <c r="V424"/>
    </row>
    <row r="425" spans="20:22">
      <c r="T425"/>
      <c r="U425"/>
      <c r="V425"/>
    </row>
    <row r="426" spans="20:22">
      <c r="T426"/>
      <c r="U426"/>
      <c r="V426"/>
    </row>
    <row r="427" spans="20:22">
      <c r="T427"/>
      <c r="U427"/>
      <c r="V427"/>
    </row>
    <row r="428" spans="20:22">
      <c r="T428"/>
      <c r="U428"/>
      <c r="V428"/>
    </row>
    <row r="429" spans="20:22">
      <c r="T429"/>
      <c r="U429"/>
      <c r="V429"/>
    </row>
    <row r="430" spans="20:22">
      <c r="T430"/>
      <c r="U430"/>
      <c r="V430"/>
    </row>
    <row r="431" spans="20:22">
      <c r="T431"/>
      <c r="U431"/>
      <c r="V431"/>
    </row>
    <row r="432" spans="20:22">
      <c r="T432"/>
      <c r="U432"/>
      <c r="V432"/>
    </row>
    <row r="433" spans="20:22">
      <c r="T433"/>
      <c r="U433"/>
      <c r="V433"/>
    </row>
  </sheetData>
  <mergeCells count="4">
    <mergeCell ref="K55:M55"/>
    <mergeCell ref="H56:I56"/>
    <mergeCell ref="O55:Q55"/>
    <mergeCell ref="C57:F57"/>
  </mergeCells>
  <phoneticPr fontId="30" type="noConversion"/>
  <conditionalFormatting sqref="J105:O105 L106:S114">
    <cfRule type="colorScale" priority="1">
      <colorScale>
        <cfvo type="min"/>
        <cfvo type="percentile" val="50"/>
        <cfvo type="max"/>
        <color rgb="FFF8696B"/>
        <color rgb="FFFFEB84"/>
        <color rgb="FF63BE7B"/>
      </colorScale>
    </cfRule>
  </conditionalFormatting>
  <pageMargins left="0.7" right="0.7" top="0.75" bottom="0.75" header="0.3" footer="0.3"/>
  <drawing r:id="rId1"/>
  <legacyDrawing r:id="rId2"/>
  <oleObjects>
    <mc:AlternateContent xmlns:mc="http://schemas.openxmlformats.org/markup-compatibility/2006">
      <mc:Choice Requires="x14">
        <oleObject shapeId="2049" r:id="rId3">
          <objectPr defaultSize="0" autoPict="0" r:id="rId4">
            <anchor moveWithCells="1">
              <from>
                <xdr:col>10</xdr:col>
                <xdr:colOff>19050</xdr:colOff>
                <xdr:row>55</xdr:row>
                <xdr:rowOff>44450</xdr:rowOff>
              </from>
              <to>
                <xdr:col>12</xdr:col>
                <xdr:colOff>1155700</xdr:colOff>
                <xdr:row>57</xdr:row>
                <xdr:rowOff>31750</xdr:rowOff>
              </to>
            </anchor>
          </objectPr>
        </oleObject>
      </mc:Choice>
      <mc:Fallback>
        <oleObject shapeId="2049" r:id="rId3"/>
      </mc:Fallback>
    </mc:AlternateContent>
    <mc:AlternateContent xmlns:mc="http://schemas.openxmlformats.org/markup-compatibility/2006">
      <mc:Choice Requires="x14">
        <oleObject shapeId="2050" r:id="rId5">
          <objectPr defaultSize="0" autoPict="0" r:id="rId6">
            <anchor moveWithCells="1">
              <from>
                <xdr:col>14</xdr:col>
                <xdr:colOff>19050</xdr:colOff>
                <xdr:row>55</xdr:row>
                <xdr:rowOff>38100</xdr:rowOff>
              </from>
              <to>
                <xdr:col>17</xdr:col>
                <xdr:colOff>0</xdr:colOff>
                <xdr:row>57</xdr:row>
                <xdr:rowOff>82550</xdr:rowOff>
              </to>
            </anchor>
          </objectPr>
        </oleObject>
      </mc:Choice>
      <mc:Fallback>
        <oleObject shapeId="2050"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dd86ec5-8b69-4e4d-b8e8-1dabe24aac2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B464693A7D0D749A6C2EC975AAFAB20" ma:contentTypeVersion="11" ma:contentTypeDescription="Create a new document." ma:contentTypeScope="" ma:versionID="10595438723ac76ecb45fda6787a0252">
  <xsd:schema xmlns:xsd="http://www.w3.org/2001/XMLSchema" xmlns:xs="http://www.w3.org/2001/XMLSchema" xmlns:p="http://schemas.microsoft.com/office/2006/metadata/properties" xmlns:ns3="9dd86ec5-8b69-4e4d-b8e8-1dabe24aac26" targetNamespace="http://schemas.microsoft.com/office/2006/metadata/properties" ma:root="true" ma:fieldsID="b00d77b8e1c5fa2385040ea8a1a9ae0f" ns3:_="">
    <xsd:import namespace="9dd86ec5-8b69-4e4d-b8e8-1dabe24aac2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d86ec5-8b69-4e4d-b8e8-1dabe24aac2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46E623-CB87-46B5-837C-5C3FC4642E9D}">
  <ds:schemaRefs>
    <ds:schemaRef ds:uri="http://schemas.microsoft.com/office/2006/documentManagement/types"/>
    <ds:schemaRef ds:uri="http://purl.org/dc/dcmitype/"/>
    <ds:schemaRef ds:uri="http://schemas.openxmlformats.org/package/2006/metadata/core-properties"/>
    <ds:schemaRef ds:uri="9dd86ec5-8b69-4e4d-b8e8-1dabe24aac26"/>
    <ds:schemaRef ds:uri="http://purl.org/dc/elements/1.1/"/>
    <ds:schemaRef ds:uri="http://schemas.microsoft.com/office/2006/metadata/properties"/>
    <ds:schemaRef ds:uri="http://schemas.microsoft.com/office/infopath/2007/PartnerControls"/>
    <ds:schemaRef ds:uri="http://purl.org/dc/terms/"/>
    <ds:schemaRef ds:uri="http://www.w3.org/XML/1998/namespace"/>
  </ds:schemaRefs>
</ds:datastoreItem>
</file>

<file path=customXml/itemProps2.xml><?xml version="1.0" encoding="utf-8"?>
<ds:datastoreItem xmlns:ds="http://schemas.openxmlformats.org/officeDocument/2006/customXml" ds:itemID="{94688042-A341-443B-8A4D-0308316DEAAE}">
  <ds:schemaRefs>
    <ds:schemaRef ds:uri="http://schemas.microsoft.com/sharepoint/v3/contenttype/forms"/>
  </ds:schemaRefs>
</ds:datastoreItem>
</file>

<file path=customXml/itemProps3.xml><?xml version="1.0" encoding="utf-8"?>
<ds:datastoreItem xmlns:ds="http://schemas.openxmlformats.org/officeDocument/2006/customXml" ds:itemID="{BEE6A4ED-09FB-4CA4-A1A9-9B95CBF2BE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d86ec5-8b69-4e4d-b8e8-1dabe24aac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Description</vt:lpstr>
      <vt:lpstr>ePowerDynamics Data</vt:lpstr>
      <vt:lpstr>Correlation</vt:lpstr>
      <vt:lpstr>Regression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 Kaldi</dc:creator>
  <cp:lastModifiedBy>ASTRID DIAS</cp:lastModifiedBy>
  <dcterms:created xsi:type="dcterms:W3CDTF">2023-07-20T12:15:48Z</dcterms:created>
  <dcterms:modified xsi:type="dcterms:W3CDTF">2024-09-30T05:22:31Z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1505409-357a-4ccf-8d51-08f36f5a1d47_Enabled">
    <vt:lpwstr>true</vt:lpwstr>
  </property>
  <property fmtid="{D5CDD505-2E9C-101B-9397-08002B2CF9AE}" pid="3" name="MSIP_Label_a1505409-357a-4ccf-8d51-08f36f5a1d47_SetDate">
    <vt:lpwstr>2024-09-05T01:58:35Z</vt:lpwstr>
  </property>
  <property fmtid="{D5CDD505-2E9C-101B-9397-08002B2CF9AE}" pid="4" name="MSIP_Label_a1505409-357a-4ccf-8d51-08f36f5a1d47_Method">
    <vt:lpwstr>Privileged</vt:lpwstr>
  </property>
  <property fmtid="{D5CDD505-2E9C-101B-9397-08002B2CF9AE}" pid="5" name="MSIP_Label_a1505409-357a-4ccf-8d51-08f36f5a1d47_Name">
    <vt:lpwstr>Restricted to Staff</vt:lpwstr>
  </property>
  <property fmtid="{D5CDD505-2E9C-101B-9397-08002B2CF9AE}" pid="6" name="MSIP_Label_a1505409-357a-4ccf-8d51-08f36f5a1d47_SiteId">
    <vt:lpwstr>d02378ec-1688-46d5-8540-1c28b5f470f6</vt:lpwstr>
  </property>
  <property fmtid="{D5CDD505-2E9C-101B-9397-08002B2CF9AE}" pid="7" name="MSIP_Label_a1505409-357a-4ccf-8d51-08f36f5a1d47_ActionId">
    <vt:lpwstr>91cce142-0d26-441f-a09c-7e15adf2b3c6</vt:lpwstr>
  </property>
  <property fmtid="{D5CDD505-2E9C-101B-9397-08002B2CF9AE}" pid="8" name="MSIP_Label_a1505409-357a-4ccf-8d51-08f36f5a1d47_ContentBits">
    <vt:lpwstr>0</vt:lpwstr>
  </property>
  <property fmtid="{D5CDD505-2E9C-101B-9397-08002B2CF9AE}" pid="9" name="ContentTypeId">
    <vt:lpwstr>0x010100FB464693A7D0D749A6C2EC975AAFAB20</vt:lpwstr>
  </property>
</Properties>
</file>