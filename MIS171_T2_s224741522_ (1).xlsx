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drawings/drawing7.xml" ContentType="application/vnd.openxmlformats-officedocument.drawing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iasa\Downloads\"/>
    </mc:Choice>
  </mc:AlternateContent>
  <xr:revisionPtr revIDLastSave="0" documentId="8_{F3A7C0A7-494C-4D67-A8BF-6B09266E5C46}" xr6:coauthVersionLast="47" xr6:coauthVersionMax="47" xr10:uidLastSave="{00000000-0000-0000-0000-000000000000}"/>
  <bookViews>
    <workbookView xWindow="-110" yWindow="-110" windowWidth="25180" windowHeight="16140" firstSheet="1" activeTab="5" xr2:uid="{3A1D91DB-9AB5-41B2-9661-A3841914C8A9}"/>
  </bookViews>
  <sheets>
    <sheet name="Data Description" sheetId="2" r:id="rId1"/>
    <sheet name="ePowerDynamics Data" sheetId="4" r:id="rId2"/>
    <sheet name="Q1.1" sheetId="5" r:id="rId3"/>
    <sheet name="Q1.2" sheetId="6" r:id="rId4"/>
    <sheet name="Q2.1" sheetId="7" r:id="rId5"/>
    <sheet name="Q2.2" sheetId="8" r:id="rId6"/>
    <sheet name="Q2.3" sheetId="9" r:id="rId7"/>
    <sheet name="Q3" sheetId="13" r:id="rId8"/>
    <sheet name="Q4" sheetId="11" r:id="rId9"/>
    <sheet name="Q5" sheetId="12" r:id="rId10"/>
  </sheets>
  <definedNames>
    <definedName name="_xlnm._FilterDatabase" localSheetId="1" hidden="1">'ePowerDynamics Data'!$A$1:$M$366</definedName>
    <definedName name="_xlchart.v1.0" hidden="1">'Q1.2'!$T$1</definedName>
    <definedName name="_xlchart.v1.1" hidden="1">'Q1.2'!$T$2:$T$366</definedName>
    <definedName name="_xlchart.v1.2" hidden="1">'Q4'!$D$23:$D$35</definedName>
    <definedName name="_xlchart.v1.3" hidden="1">'Q4'!$E$23:$E$35</definedName>
    <definedName name="_xlchart.v1.4" hidden="1">'Q4'!$F$23:$F$35</definedName>
    <definedName name="_xlchart.v1.5" hidden="1">'Q4'!$G$23:$G$35</definedName>
    <definedName name="_xlnm.Print_Titles" localSheetId="2">'Q1.1'!$1:$1</definedName>
    <definedName name="_xlnm.Print_Titles" localSheetId="3">'Q1.2'!$1:$1</definedName>
    <definedName name="_xlnm.Print_Titles" localSheetId="4">'Q2.1'!$1:$1</definedName>
    <definedName name="_xlnm.Print_Titles" localSheetId="5">'Q2.2'!$1:$1</definedName>
    <definedName name="_xlnm.Print_Titles" localSheetId="6">'Q2.3'!$1:$1</definedName>
    <definedName name="_xlnm.Print_Titles" localSheetId="7">'Q3'!$1:$1</definedName>
    <definedName name="_xlnm.Print_Titles" localSheetId="8">'Q4'!$1:$1</definedName>
  </definedNames>
  <calcPr calcId="191029"/>
  <pivotCaches>
    <pivotCache cacheId="0" r:id="rId11"/>
    <pivotCache cacheId="1" r:id="rId12"/>
    <pivotCache cacheId="2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" i="13" l="1"/>
  <c r="N30" i="13"/>
  <c r="E10" i="8"/>
  <c r="E9" i="8"/>
  <c r="E8" i="8"/>
  <c r="G40" i="6"/>
  <c r="H11" i="8"/>
  <c r="H10" i="8"/>
  <c r="H9" i="8"/>
  <c r="G27" i="8"/>
  <c r="G26" i="8"/>
  <c r="G25" i="8"/>
  <c r="H8" i="8"/>
  <c r="G24" i="8"/>
  <c r="M18" i="12"/>
  <c r="L18" i="12"/>
  <c r="K18" i="12"/>
  <c r="M17" i="12"/>
  <c r="L17" i="12"/>
  <c r="K17" i="12"/>
  <c r="H34" i="13"/>
  <c r="H36" i="13"/>
  <c r="D41" i="11"/>
  <c r="D39" i="11"/>
  <c r="D40" i="11" s="1"/>
  <c r="F28" i="9"/>
  <c r="E26" i="8"/>
  <c r="E25" i="8"/>
  <c r="F27" i="8"/>
  <c r="F26" i="8"/>
  <c r="F25" i="8"/>
  <c r="F24" i="8"/>
  <c r="E27" i="8"/>
  <c r="E24" i="8"/>
  <c r="G9" i="8"/>
  <c r="G11" i="8"/>
  <c r="E11" i="8" s="1"/>
  <c r="G10" i="8"/>
  <c r="G8" i="8"/>
  <c r="F11" i="8"/>
  <c r="F10" i="8"/>
  <c r="F9" i="8"/>
  <c r="F8" i="8"/>
  <c r="D11" i="8"/>
  <c r="D10" i="8"/>
  <c r="D9" i="8"/>
  <c r="D8" i="8"/>
  <c r="E39" i="11"/>
  <c r="F39" i="11"/>
  <c r="G39" i="11"/>
  <c r="E40" i="11"/>
  <c r="F40" i="11"/>
  <c r="G40" i="11"/>
  <c r="E41" i="11"/>
  <c r="F41" i="11"/>
  <c r="G41" i="11"/>
  <c r="G30" i="13"/>
  <c r="G29" i="13"/>
  <c r="G28" i="13"/>
  <c r="K30" i="13"/>
  <c r="J30" i="13" s="1"/>
  <c r="K29" i="13"/>
  <c r="E29" i="13" s="1"/>
  <c r="K28" i="13"/>
  <c r="L30" i="13"/>
  <c r="G56" i="13" s="1"/>
  <c r="M30" i="13" s="1"/>
  <c r="L29" i="13"/>
  <c r="G55" i="13" s="1"/>
  <c r="M29" i="13" s="1"/>
  <c r="N29" i="13" s="1"/>
  <c r="O29" i="13" s="1"/>
  <c r="L28" i="13"/>
  <c r="G54" i="13" s="1"/>
  <c r="L35" i="13"/>
  <c r="G35" i="13" s="1"/>
  <c r="K34" i="13"/>
  <c r="K35" i="13"/>
  <c r="K36" i="13"/>
  <c r="K33" i="13"/>
  <c r="L34" i="13"/>
  <c r="G34" i="13" s="1"/>
  <c r="L36" i="13"/>
  <c r="G36" i="13" s="1"/>
  <c r="L33" i="13"/>
  <c r="I54" i="13" s="1"/>
  <c r="O30" i="13" l="1"/>
  <c r="J29" i="13"/>
  <c r="H30" i="13"/>
  <c r="I30" i="13"/>
  <c r="D28" i="13"/>
  <c r="M33" i="13"/>
  <c r="N33" i="13" s="1"/>
  <c r="O33" i="13" s="1"/>
  <c r="M28" i="13"/>
  <c r="N28" i="13" s="1"/>
  <c r="O28" i="13" s="1"/>
  <c r="H29" i="13"/>
  <c r="I55" i="13"/>
  <c r="M34" i="13" s="1"/>
  <c r="N34" i="13" s="1"/>
  <c r="O34" i="13" s="1"/>
  <c r="F29" i="13"/>
  <c r="D29" i="13"/>
  <c r="F30" i="13"/>
  <c r="J36" i="13"/>
  <c r="H28" i="13"/>
  <c r="D30" i="13"/>
  <c r="E36" i="13"/>
  <c r="I28" i="13"/>
  <c r="E30" i="13"/>
  <c r="J28" i="13"/>
  <c r="I29" i="13"/>
  <c r="I56" i="13"/>
  <c r="N35" i="13" s="1"/>
  <c r="O35" i="13" s="1"/>
  <c r="I57" i="13"/>
  <c r="M36" i="13" s="1"/>
  <c r="N36" i="13" s="1"/>
  <c r="O36" i="13" s="1"/>
  <c r="E28" i="13"/>
  <c r="G33" i="13"/>
  <c r="F33" i="13" s="1"/>
  <c r="F28" i="13"/>
  <c r="I34" i="13"/>
  <c r="D34" i="13"/>
  <c r="I36" i="13"/>
  <c r="E35" i="13"/>
  <c r="D36" i="13"/>
  <c r="H35" i="13"/>
  <c r="I35" i="13"/>
  <c r="J35" i="13"/>
  <c r="F35" i="13"/>
  <c r="D35" i="13"/>
  <c r="F36" i="13"/>
  <c r="J34" i="13"/>
  <c r="F34" i="13"/>
  <c r="E34" i="13"/>
  <c r="J33" i="13" l="1"/>
  <c r="I33" i="13"/>
  <c r="H33" i="13"/>
  <c r="D33" i="13"/>
  <c r="E33" i="13"/>
  <c r="J17" i="12" l="1"/>
  <c r="Z5" i="11" l="1"/>
  <c r="J18" i="12"/>
  <c r="F66" i="12"/>
  <c r="G36" i="6" l="1"/>
  <c r="G35" i="6"/>
  <c r="F26" i="9" l="1"/>
  <c r="F27" i="9"/>
  <c r="G37" i="6"/>
  <c r="G41" i="6" l="1"/>
  <c r="P9" i="12" l="1"/>
  <c r="R13" i="7" l="1"/>
  <c r="Q18" i="13"/>
  <c r="M156" i="4" l="1"/>
  <c r="M155" i="4"/>
  <c r="M154" i="4"/>
  <c r="N364" i="4" s="1" a="1"/>
  <c r="N364" i="4" s="1"/>
  <c r="M153" i="4"/>
  <c r="M330" i="4"/>
  <c r="M152" i="4"/>
  <c r="M151" i="4"/>
  <c r="M150" i="4"/>
  <c r="N359" i="4" s="1" a="1"/>
  <c r="N359" i="4" s="1"/>
  <c r="M149" i="4"/>
  <c r="M329" i="4"/>
  <c r="N357" i="4" s="1" a="1"/>
  <c r="N357" i="4" s="1"/>
  <c r="M328" i="4"/>
  <c r="N356" i="4" s="1" a="1"/>
  <c r="N356" i="4" s="1"/>
  <c r="M327" i="4"/>
  <c r="N355" i="4" s="1" a="1"/>
  <c r="N355" i="4" s="1"/>
  <c r="M148" i="4"/>
  <c r="M147" i="4"/>
  <c r="M326" i="4"/>
  <c r="M325" i="4"/>
  <c r="M324" i="4"/>
  <c r="M323" i="4"/>
  <c r="M146" i="4"/>
  <c r="M145" i="4"/>
  <c r="M144" i="4"/>
  <c r="M143" i="4"/>
  <c r="M142" i="4"/>
  <c r="N344" i="4" s="1" a="1"/>
  <c r="N344" i="4" s="1"/>
  <c r="M141" i="4"/>
  <c r="N343" i="4" s="1" a="1"/>
  <c r="N343" i="4" s="1"/>
  <c r="M366" i="4"/>
  <c r="M365" i="4"/>
  <c r="M322" i="4"/>
  <c r="N340" i="4" s="1" a="1"/>
  <c r="N340" i="4" s="1"/>
  <c r="M140" i="4"/>
  <c r="M139" i="4"/>
  <c r="M138" i="4"/>
  <c r="M137" i="4"/>
  <c r="M100" i="4"/>
  <c r="M299" i="4"/>
  <c r="M99" i="4"/>
  <c r="M98" i="4"/>
  <c r="N332" i="4" s="1" a="1"/>
  <c r="N332" i="4" s="1"/>
  <c r="M97" i="4"/>
  <c r="N331" i="4" s="1" a="1"/>
  <c r="N331" i="4" s="1"/>
  <c r="M96" i="4"/>
  <c r="M95" i="4"/>
  <c r="M298" i="4"/>
  <c r="M363" i="4"/>
  <c r="M362" i="4"/>
  <c r="M297" i="4"/>
  <c r="M94" i="4"/>
  <c r="M93" i="4"/>
  <c r="M296" i="4"/>
  <c r="M361" i="4"/>
  <c r="M295" i="4"/>
  <c r="N320" i="4" s="1" a="1"/>
  <c r="N320" i="4" s="1"/>
  <c r="M92" i="4"/>
  <c r="N319" i="4" s="1" a="1"/>
  <c r="N319" i="4" s="1"/>
  <c r="M91" i="4"/>
  <c r="M90" i="4"/>
  <c r="M89" i="4"/>
  <c r="N316" i="4" s="1" a="1"/>
  <c r="N316" i="4" s="1"/>
  <c r="M294" i="4"/>
  <c r="M88" i="4"/>
  <c r="M87" i="4"/>
  <c r="M86" i="4"/>
  <c r="M85" i="4"/>
  <c r="M84" i="4"/>
  <c r="M293" i="4"/>
  <c r="M83" i="4"/>
  <c r="M82" i="4"/>
  <c r="M81" i="4"/>
  <c r="M80" i="4"/>
  <c r="M79" i="4"/>
  <c r="M360" i="4"/>
  <c r="M292" i="4"/>
  <c r="M291" i="4"/>
  <c r="M290" i="4"/>
  <c r="M78" i="4"/>
  <c r="M77" i="4"/>
  <c r="M76" i="4"/>
  <c r="M75" i="4"/>
  <c r="N296" i="4" s="1" a="1"/>
  <c r="N296" i="4" s="1"/>
  <c r="M74" i="4"/>
  <c r="N295" i="4" s="1" a="1"/>
  <c r="N295" i="4" s="1"/>
  <c r="M73" i="4"/>
  <c r="M359" i="4"/>
  <c r="M289" i="4"/>
  <c r="N292" i="4" s="1" a="1"/>
  <c r="N292" i="4" s="1"/>
  <c r="M72" i="4"/>
  <c r="M71" i="4"/>
  <c r="M70" i="4"/>
  <c r="M288" i="4"/>
  <c r="M287" i="4"/>
  <c r="M358" i="4"/>
  <c r="M286" i="4"/>
  <c r="M69" i="4"/>
  <c r="N284" i="4" s="1" a="1"/>
  <c r="N284" i="4" s="1"/>
  <c r="M68" i="4"/>
  <c r="N283" i="4" s="1" a="1"/>
  <c r="N283" i="4" s="1"/>
  <c r="M67" i="4"/>
  <c r="M66" i="4"/>
  <c r="M65" i="4"/>
  <c r="N280" i="4" s="1" a="1"/>
  <c r="N280" i="4" s="1"/>
  <c r="M64" i="4"/>
  <c r="M63" i="4"/>
  <c r="M285" i="4"/>
  <c r="M284" i="4"/>
  <c r="M283" i="4"/>
  <c r="M62" i="4"/>
  <c r="N274" i="4" s="1" a="1"/>
  <c r="N274" i="4" s="1"/>
  <c r="M61" i="4"/>
  <c r="N273" i="4" s="1" a="1"/>
  <c r="N273" i="4" s="1"/>
  <c r="M282" i="4"/>
  <c r="N272" i="4" s="1" a="1"/>
  <c r="N272" i="4" s="1"/>
  <c r="M281" i="4"/>
  <c r="N271" i="4" s="1" a="1"/>
  <c r="N271" i="4" s="1"/>
  <c r="M280" i="4"/>
  <c r="M279" i="4"/>
  <c r="M278" i="4"/>
  <c r="M277" i="4"/>
  <c r="M276" i="4"/>
  <c r="M275" i="4"/>
  <c r="M274" i="4"/>
  <c r="M273" i="4"/>
  <c r="M60" i="4"/>
  <c r="N262" i="4" s="1" a="1"/>
  <c r="N262" i="4" s="1"/>
  <c r="M272" i="4"/>
  <c r="N261" i="4" s="1" a="1"/>
  <c r="N261" i="4" s="1"/>
  <c r="M271" i="4"/>
  <c r="N260" i="4" s="1" a="1"/>
  <c r="N260" i="4" s="1"/>
  <c r="M270" i="4"/>
  <c r="N259" i="4" s="1" a="1"/>
  <c r="N259" i="4" s="1"/>
  <c r="M59" i="4"/>
  <c r="M58" i="4"/>
  <c r="M57" i="4"/>
  <c r="N256" i="4" s="1" a="1"/>
  <c r="N256" i="4" s="1"/>
  <c r="M56" i="4"/>
  <c r="M55" i="4"/>
  <c r="M269" i="4"/>
  <c r="M357" i="4"/>
  <c r="M356" i="4"/>
  <c r="M355" i="4"/>
  <c r="N250" i="4" s="1" a="1"/>
  <c r="N250" i="4" s="1"/>
  <c r="M268" i="4"/>
  <c r="N249" i="4" s="1" a="1"/>
  <c r="N249" i="4" s="1"/>
  <c r="M54" i="4"/>
  <c r="M53" i="4"/>
  <c r="M267" i="4"/>
  <c r="M52" i="4"/>
  <c r="M227" i="4"/>
  <c r="M226" i="4"/>
  <c r="M225" i="4"/>
  <c r="M224" i="4"/>
  <c r="M351" i="4"/>
  <c r="M223" i="4"/>
  <c r="M350" i="4"/>
  <c r="M222" i="4"/>
  <c r="N237" i="4" s="1" a="1"/>
  <c r="N237" i="4" s="1"/>
  <c r="M221" i="4"/>
  <c r="N236" i="4" s="1" a="1"/>
  <c r="N236" i="4" s="1"/>
  <c r="M220" i="4"/>
  <c r="N235" i="4" s="1" a="1"/>
  <c r="N235" i="4" s="1"/>
  <c r="M219" i="4"/>
  <c r="M218" i="4"/>
  <c r="M349" i="4"/>
  <c r="M217" i="4"/>
  <c r="M216" i="4"/>
  <c r="M215" i="4"/>
  <c r="M214" i="4"/>
  <c r="M348" i="4"/>
  <c r="M347" i="4"/>
  <c r="M213" i="4"/>
  <c r="N225" i="4" s="1" a="1"/>
  <c r="N225" i="4" s="1"/>
  <c r="M212" i="4"/>
  <c r="N224" i="4" s="1" a="1"/>
  <c r="N224" i="4" s="1"/>
  <c r="M211" i="4"/>
  <c r="N223" i="4" s="1" a="1"/>
  <c r="N223" i="4" s="1"/>
  <c r="M210" i="4"/>
  <c r="M209" i="4"/>
  <c r="M208" i="4"/>
  <c r="M346" i="4"/>
  <c r="M207" i="4"/>
  <c r="M345" i="4"/>
  <c r="M344" i="4"/>
  <c r="M206" i="4"/>
  <c r="M205" i="4"/>
  <c r="M204" i="4"/>
  <c r="M203" i="4"/>
  <c r="N212" i="4" s="1" a="1"/>
  <c r="N212" i="4" s="1"/>
  <c r="M202" i="4"/>
  <c r="N211" i="4" s="1" a="1"/>
  <c r="N211" i="4" s="1"/>
  <c r="M201" i="4"/>
  <c r="M200" i="4"/>
  <c r="N209" i="4" s="1" a="1"/>
  <c r="N209" i="4" s="1"/>
  <c r="M199" i="4"/>
  <c r="N208" i="4" s="1" a="1"/>
  <c r="N208" i="4" s="1"/>
  <c r="M198" i="4"/>
  <c r="M197" i="4"/>
  <c r="M196" i="4"/>
  <c r="M195" i="4"/>
  <c r="M343" i="4"/>
  <c r="M194" i="4"/>
  <c r="M193" i="4"/>
  <c r="N201" i="4" s="1" a="1"/>
  <c r="N201" i="4" s="1"/>
  <c r="M192" i="4"/>
  <c r="N200" i="4" s="1" a="1"/>
  <c r="N200" i="4" s="1"/>
  <c r="M191" i="4"/>
  <c r="N199" i="4" s="1" a="1"/>
  <c r="N199" i="4" s="1"/>
  <c r="M190" i="4"/>
  <c r="M189" i="4"/>
  <c r="M188" i="4"/>
  <c r="N196" i="4" s="1" a="1"/>
  <c r="N196" i="4" s="1"/>
  <c r="M187" i="4"/>
  <c r="M186" i="4"/>
  <c r="M185" i="4"/>
  <c r="M184" i="4"/>
  <c r="M183" i="4"/>
  <c r="M342" i="4"/>
  <c r="M182" i="4"/>
  <c r="N189" i="4" s="1" a="1"/>
  <c r="N189" i="4" s="1"/>
  <c r="M181" i="4"/>
  <c r="N188" i="4" s="1" a="1"/>
  <c r="N188" i="4" s="1"/>
  <c r="M180" i="4"/>
  <c r="N187" i="4" s="1" a="1"/>
  <c r="N187" i="4" s="1"/>
  <c r="M341" i="4"/>
  <c r="M340" i="4"/>
  <c r="M179" i="4"/>
  <c r="N184" i="4" s="1" a="1"/>
  <c r="N184" i="4" s="1"/>
  <c r="M178" i="4"/>
  <c r="M177" i="4"/>
  <c r="M176" i="4"/>
  <c r="M175" i="4"/>
  <c r="M339" i="4"/>
  <c r="N179" i="4" s="1" a="1"/>
  <c r="N179" i="4" s="1"/>
  <c r="M174" i="4"/>
  <c r="N178" i="4" s="1" a="1"/>
  <c r="N178" i="4" s="1"/>
  <c r="M173" i="4"/>
  <c r="N177" i="4" s="1" a="1"/>
  <c r="N177" i="4" s="1"/>
  <c r="M172" i="4"/>
  <c r="N176" i="4" s="1" a="1"/>
  <c r="N176" i="4" s="1"/>
  <c r="M338" i="4"/>
  <c r="N175" i="4" s="1" a="1"/>
  <c r="N175" i="4" s="1"/>
  <c r="M171" i="4"/>
  <c r="M337" i="4"/>
  <c r="M336" i="4"/>
  <c r="M335" i="4"/>
  <c r="M170" i="4"/>
  <c r="M169" i="4"/>
  <c r="M334" i="4"/>
  <c r="M168" i="4"/>
  <c r="M167" i="4"/>
  <c r="M166" i="4"/>
  <c r="M165" i="4"/>
  <c r="M164" i="4"/>
  <c r="N163" i="4" s="1" a="1"/>
  <c r="N163" i="4" s="1"/>
  <c r="M163" i="4"/>
  <c r="M333" i="4"/>
  <c r="N161" i="4" s="1" a="1"/>
  <c r="N161" i="4" s="1"/>
  <c r="M162" i="4"/>
  <c r="N160" i="4" s="1" a="1"/>
  <c r="N160" i="4" s="1"/>
  <c r="M161" i="4"/>
  <c r="M160" i="4"/>
  <c r="M332" i="4"/>
  <c r="M159" i="4"/>
  <c r="M158" i="4"/>
  <c r="N155" i="4" s="1" a="1"/>
  <c r="N155" i="4" s="1"/>
  <c r="M157" i="4"/>
  <c r="N154" i="4" s="1" a="1"/>
  <c r="N154" i="4" s="1"/>
  <c r="M331" i="4"/>
  <c r="N153" i="4" s="1" a="1"/>
  <c r="N153" i="4" s="1"/>
  <c r="M51" i="4"/>
  <c r="N152" i="4" s="1" a="1"/>
  <c r="N152" i="4" s="1"/>
  <c r="M50" i="4"/>
  <c r="N151" i="4" s="1" a="1"/>
  <c r="N151" i="4" s="1"/>
  <c r="M49" i="4"/>
  <c r="M48" i="4"/>
  <c r="M47" i="4"/>
  <c r="N148" i="4" s="1" a="1"/>
  <c r="N148" i="4" s="1"/>
  <c r="M46" i="4"/>
  <c r="M45" i="4"/>
  <c r="M266" i="4"/>
  <c r="M265" i="4"/>
  <c r="M44" i="4"/>
  <c r="M43" i="4"/>
  <c r="M42" i="4"/>
  <c r="M264" i="4"/>
  <c r="N140" i="4" s="1" a="1"/>
  <c r="N140" i="4" s="1"/>
  <c r="M263" i="4"/>
  <c r="N139" i="4" s="1" a="1"/>
  <c r="N139" i="4" s="1"/>
  <c r="M262" i="4"/>
  <c r="M41" i="4"/>
  <c r="N137" i="4" s="1" a="1"/>
  <c r="N137" i="4" s="1"/>
  <c r="M261" i="4"/>
  <c r="M260" i="4"/>
  <c r="M259" i="4"/>
  <c r="M40" i="4"/>
  <c r="M39" i="4"/>
  <c r="M38" i="4"/>
  <c r="N131" i="4" s="1" a="1"/>
  <c r="N131" i="4" s="1"/>
  <c r="M37" i="4"/>
  <c r="N130" i="4" s="1" a="1"/>
  <c r="N130" i="4" s="1"/>
  <c r="M36" i="4"/>
  <c r="N129" i="4" s="1" a="1"/>
  <c r="N129" i="4" s="1"/>
  <c r="M35" i="4"/>
  <c r="N128" i="4" s="1" a="1"/>
  <c r="N128" i="4" s="1"/>
  <c r="M34" i="4"/>
  <c r="N127" i="4" s="1" a="1"/>
  <c r="N127" i="4" s="1"/>
  <c r="M33" i="4"/>
  <c r="M258" i="4"/>
  <c r="M257" i="4"/>
  <c r="M256" i="4"/>
  <c r="M255" i="4"/>
  <c r="M32" i="4"/>
  <c r="M31" i="4"/>
  <c r="M254" i="4"/>
  <c r="N119" i="4" s="1" a="1"/>
  <c r="N119" i="4" s="1"/>
  <c r="M253" i="4"/>
  <c r="N118" i="4" s="1" a="1"/>
  <c r="N118" i="4" s="1"/>
  <c r="M30" i="4"/>
  <c r="M29" i="4"/>
  <c r="N116" i="4" s="1" a="1"/>
  <c r="N116" i="4" s="1"/>
  <c r="M252" i="4"/>
  <c r="N115" i="4" s="1" a="1"/>
  <c r="N115" i="4" s="1"/>
  <c r="M251" i="4"/>
  <c r="M250" i="4"/>
  <c r="M28" i="4"/>
  <c r="M27" i="4"/>
  <c r="M249" i="4"/>
  <c r="M26" i="4"/>
  <c r="M25" i="4"/>
  <c r="M354" i="4"/>
  <c r="N107" i="4" s="1" a="1"/>
  <c r="N107" i="4" s="1"/>
  <c r="M24" i="4"/>
  <c r="N106" i="4" s="1" a="1"/>
  <c r="N106" i="4" s="1"/>
  <c r="M23" i="4"/>
  <c r="N105" i="4" s="1" a="1"/>
  <c r="N105" i="4" s="1"/>
  <c r="M248" i="4"/>
  <c r="M247" i="4"/>
  <c r="N103" i="4" s="1" a="1"/>
  <c r="N103" i="4" s="1"/>
  <c r="M246" i="4"/>
  <c r="M245" i="4"/>
  <c r="M244" i="4"/>
  <c r="N100" i="4" s="1" a="1"/>
  <c r="N100" i="4" s="1"/>
  <c r="M243" i="4"/>
  <c r="M22" i="4"/>
  <c r="M21" i="4"/>
  <c r="M242" i="4"/>
  <c r="M20" i="4"/>
  <c r="N95" i="4" s="1" a="1"/>
  <c r="N95" i="4" s="1"/>
  <c r="M19" i="4"/>
  <c r="N94" i="4" s="1" a="1"/>
  <c r="N94" i="4" s="1"/>
  <c r="M241" i="4"/>
  <c r="M240" i="4"/>
  <c r="M353" i="4"/>
  <c r="N91" i="4" s="1" a="1"/>
  <c r="N91" i="4" s="1"/>
  <c r="M239" i="4"/>
  <c r="M18" i="4"/>
  <c r="M17" i="4"/>
  <c r="N88" i="4" s="1" a="1"/>
  <c r="N88" i="4" s="1"/>
  <c r="M238" i="4"/>
  <c r="M16" i="4"/>
  <c r="M15" i="4"/>
  <c r="M237" i="4"/>
  <c r="M236" i="4"/>
  <c r="M14" i="4"/>
  <c r="M235" i="4"/>
  <c r="M13" i="4"/>
  <c r="M12" i="4"/>
  <c r="N79" i="4" s="1" a="1"/>
  <c r="N79" i="4" s="1"/>
  <c r="M11" i="4"/>
  <c r="M10" i="4"/>
  <c r="M234" i="4"/>
  <c r="M233" i="4"/>
  <c r="M9" i="4"/>
  <c r="M8" i="4"/>
  <c r="M7" i="4"/>
  <c r="M232" i="4"/>
  <c r="M352" i="4"/>
  <c r="M231" i="4"/>
  <c r="M6" i="4"/>
  <c r="M5" i="4"/>
  <c r="N67" i="4" s="1" a="1"/>
  <c r="N67" i="4" s="1"/>
  <c r="M230" i="4"/>
  <c r="M229" i="4"/>
  <c r="M228" i="4"/>
  <c r="N64" i="4" s="1" a="1"/>
  <c r="N64" i="4" s="1"/>
  <c r="M4" i="4"/>
  <c r="M3" i="4"/>
  <c r="M2" i="4"/>
  <c r="M321" i="4"/>
  <c r="M136" i="4"/>
  <c r="M135" i="4"/>
  <c r="M320" i="4"/>
  <c r="M319" i="4"/>
  <c r="M134" i="4"/>
  <c r="N55" i="4" s="1" a="1"/>
  <c r="N55" i="4" s="1"/>
  <c r="M133" i="4"/>
  <c r="M318" i="4"/>
  <c r="M132" i="4"/>
  <c r="N52" i="4" s="1" a="1"/>
  <c r="N52" i="4" s="1"/>
  <c r="M131" i="4"/>
  <c r="M130" i="4"/>
  <c r="M129" i="4"/>
  <c r="M128" i="4"/>
  <c r="N48" i="4" s="1" a="1"/>
  <c r="N48" i="4" s="1"/>
  <c r="M127" i="4"/>
  <c r="M126" i="4"/>
  <c r="M125" i="4"/>
  <c r="M124" i="4"/>
  <c r="M123" i="4"/>
  <c r="N43" i="4" s="1" a="1"/>
  <c r="N43" i="4" s="1"/>
  <c r="M122" i="4"/>
  <c r="M317" i="4"/>
  <c r="M121" i="4"/>
  <c r="N40" i="4" s="1" a="1"/>
  <c r="N40" i="4" s="1"/>
  <c r="M120" i="4"/>
  <c r="M119" i="4"/>
  <c r="M316" i="4"/>
  <c r="M315" i="4"/>
  <c r="M118" i="4"/>
  <c r="M314" i="4"/>
  <c r="M313" i="4"/>
  <c r="M312" i="4"/>
  <c r="M117" i="4"/>
  <c r="N31" i="4" s="1" a="1"/>
  <c r="N31" i="4" s="1"/>
  <c r="M116" i="4"/>
  <c r="M311" i="4"/>
  <c r="M115" i="4"/>
  <c r="N28" i="4" s="1" a="1"/>
  <c r="N28" i="4" s="1"/>
  <c r="M364" i="4"/>
  <c r="N27" i="4" s="1" a="1"/>
  <c r="N27" i="4" s="1"/>
  <c r="M310" i="4"/>
  <c r="M114" i="4"/>
  <c r="M113" i="4"/>
  <c r="M112" i="4"/>
  <c r="M111" i="4"/>
  <c r="M309" i="4"/>
  <c r="M308" i="4"/>
  <c r="M307" i="4"/>
  <c r="N19" i="4" s="1" a="1"/>
  <c r="N19" i="4" s="1"/>
  <c r="M306" i="4"/>
  <c r="M110" i="4"/>
  <c r="M305" i="4"/>
  <c r="N16" i="4" s="1" a="1"/>
  <c r="N16" i="4" s="1"/>
  <c r="M109" i="4"/>
  <c r="N15" i="4" s="1" a="1"/>
  <c r="N15" i="4" s="1"/>
  <c r="M108" i="4"/>
  <c r="M107" i="4"/>
  <c r="M304" i="4"/>
  <c r="M106" i="4"/>
  <c r="M105" i="4"/>
  <c r="M303" i="4"/>
  <c r="N9" i="4" s="1" a="1"/>
  <c r="N9" i="4" s="1"/>
  <c r="M302" i="4"/>
  <c r="M104" i="4"/>
  <c r="N7" i="4" s="1" a="1"/>
  <c r="N7" i="4" s="1"/>
  <c r="M103" i="4"/>
  <c r="M102" i="4"/>
  <c r="M101" i="4"/>
  <c r="N4" i="4" s="1" a="1"/>
  <c r="N4" i="4" s="1"/>
  <c r="M301" i="4"/>
  <c r="N3" i="4" s="1" a="1"/>
  <c r="N3" i="4" s="1"/>
  <c r="M300" i="4"/>
  <c r="S12" i="11"/>
  <c r="S19" i="9"/>
  <c r="R15" i="8"/>
  <c r="R13" i="6"/>
  <c r="R11" i="5"/>
  <c r="N60" i="4" l="1" a="1"/>
  <c r="N60" i="4" s="1"/>
  <c r="N307" i="4" a="1"/>
  <c r="N307" i="4" s="1"/>
  <c r="N104" i="4" a="1"/>
  <c r="N104" i="4" s="1"/>
  <c r="N248" i="4" a="1"/>
  <c r="N248" i="4" s="1"/>
  <c r="N308" i="4" a="1"/>
  <c r="N308" i="4" s="1"/>
  <c r="N117" i="4" a="1"/>
  <c r="N117" i="4" s="1"/>
  <c r="N165" i="4" a="1"/>
  <c r="N165" i="4" s="1"/>
  <c r="N213" i="4" a="1"/>
  <c r="N213" i="4" s="1"/>
  <c r="N142" i="4" a="1"/>
  <c r="N142" i="4" s="1"/>
  <c r="N166" i="4" a="1"/>
  <c r="N166" i="4" s="1"/>
  <c r="N358" i="4" a="1"/>
  <c r="N358" i="4" s="1"/>
  <c r="N143" i="4" a="1"/>
  <c r="N143" i="4" s="1"/>
  <c r="N167" i="4" a="1"/>
  <c r="N167" i="4" s="1"/>
  <c r="N61" i="4" a="1"/>
  <c r="N61" i="4" s="1"/>
  <c r="N39" i="4" a="1"/>
  <c r="N39" i="4" s="1"/>
  <c r="N51" i="4" a="1"/>
  <c r="N51" i="4" s="1"/>
  <c r="N63" i="4" a="1"/>
  <c r="N63" i="4" s="1"/>
  <c r="N75" i="4" a="1"/>
  <c r="N75" i="4" s="1"/>
  <c r="N87" i="4" a="1"/>
  <c r="N87" i="4" s="1"/>
  <c r="N247" i="4" a="1"/>
  <c r="N247" i="4" s="1"/>
  <c r="N164" i="4" a="1"/>
  <c r="N164" i="4" s="1"/>
  <c r="N141" i="4" a="1"/>
  <c r="N141" i="4" s="1"/>
  <c r="N76" i="4" a="1"/>
  <c r="N76" i="4" s="1"/>
  <c r="N112" i="4" a="1"/>
  <c r="N112" i="4" s="1"/>
  <c r="N124" i="4" a="1"/>
  <c r="N124" i="4" s="1"/>
  <c r="N136" i="4" a="1"/>
  <c r="N136" i="4" s="1"/>
  <c r="N172" i="4" a="1"/>
  <c r="N172" i="4" s="1"/>
  <c r="N220" i="4" a="1"/>
  <c r="N220" i="4" s="1"/>
  <c r="N232" i="4" a="1"/>
  <c r="N232" i="4" s="1"/>
  <c r="N244" i="4" a="1"/>
  <c r="N244" i="4" s="1"/>
  <c r="N268" i="4" a="1"/>
  <c r="N268" i="4" s="1"/>
  <c r="N304" i="4" a="1"/>
  <c r="N304" i="4" s="1"/>
  <c r="N328" i="4" a="1"/>
  <c r="N328" i="4" s="1"/>
  <c r="N352" i="4" a="1"/>
  <c r="N352" i="4" s="1"/>
  <c r="N101" i="4" a="1"/>
  <c r="N101" i="4" s="1"/>
  <c r="N113" i="4" a="1"/>
  <c r="N113" i="4" s="1"/>
  <c r="N125" i="4" a="1"/>
  <c r="N125" i="4" s="1"/>
  <c r="N149" i="4" a="1"/>
  <c r="N149" i="4" s="1"/>
  <c r="N221" i="4" a="1"/>
  <c r="N221" i="4" s="1"/>
  <c r="N233" i="4" a="1"/>
  <c r="N233" i="4" s="1"/>
  <c r="N245" i="4" a="1"/>
  <c r="N245" i="4" s="1"/>
  <c r="N257" i="4" a="1"/>
  <c r="N257" i="4" s="1"/>
  <c r="N269" i="4" a="1"/>
  <c r="N269" i="4" s="1"/>
  <c r="N281" i="4" a="1"/>
  <c r="N281" i="4" s="1"/>
  <c r="N293" i="4" a="1"/>
  <c r="N293" i="4" s="1"/>
  <c r="N305" i="4" a="1"/>
  <c r="N305" i="4" s="1"/>
  <c r="N317" i="4" a="1"/>
  <c r="N317" i="4" s="1"/>
  <c r="N329" i="4" a="1"/>
  <c r="N329" i="4" s="1"/>
  <c r="N341" i="4" a="1"/>
  <c r="N341" i="4" s="1"/>
  <c r="N353" i="4" a="1"/>
  <c r="N353" i="4" s="1"/>
  <c r="N365" i="4" a="1"/>
  <c r="N365" i="4" s="1"/>
  <c r="N173" i="4" a="1"/>
  <c r="N173" i="4" s="1"/>
  <c r="N185" i="4" a="1"/>
  <c r="N185" i="4" s="1"/>
  <c r="N197" i="4" a="1"/>
  <c r="N197" i="4" s="1"/>
  <c r="N102" i="4" a="1"/>
  <c r="N102" i="4" s="1"/>
  <c r="N114" i="4" a="1"/>
  <c r="N114" i="4" s="1"/>
  <c r="N126" i="4" a="1"/>
  <c r="N126" i="4" s="1"/>
  <c r="N138" i="4" a="1"/>
  <c r="N138" i="4" s="1"/>
  <c r="N150" i="4" a="1"/>
  <c r="N150" i="4" s="1"/>
  <c r="N162" i="4" a="1"/>
  <c r="N162" i="4" s="1"/>
  <c r="N174" i="4" a="1"/>
  <c r="N174" i="4" s="1"/>
  <c r="N246" i="4" a="1"/>
  <c r="N246" i="4" s="1"/>
  <c r="N258" i="4" a="1"/>
  <c r="N258" i="4" s="1"/>
  <c r="N270" i="4" a="1"/>
  <c r="N270" i="4" s="1"/>
  <c r="N20" i="4" a="1"/>
  <c r="N20" i="4" s="1"/>
  <c r="N44" i="4" a="1"/>
  <c r="N44" i="4" s="1"/>
  <c r="N68" i="4" a="1"/>
  <c r="N68" i="4" s="1"/>
  <c r="N92" i="4" a="1"/>
  <c r="N92" i="4" s="1"/>
  <c r="N21" i="4" a="1"/>
  <c r="N21" i="4" s="1"/>
  <c r="N57" i="4" a="1"/>
  <c r="N57" i="4" s="1"/>
  <c r="N93" i="4" a="1"/>
  <c r="N93" i="4" s="1"/>
  <c r="N285" i="4" a="1"/>
  <c r="N285" i="4" s="1"/>
  <c r="N309" i="4" a="1"/>
  <c r="N309" i="4" s="1"/>
  <c r="N333" i="4" a="1"/>
  <c r="N333" i="4" s="1"/>
  <c r="N10" i="4" a="1"/>
  <c r="N10" i="4" s="1"/>
  <c r="N34" i="4" a="1"/>
  <c r="N34" i="4" s="1"/>
  <c r="N70" i="4" a="1"/>
  <c r="N70" i="4" s="1"/>
  <c r="N82" i="4" a="1"/>
  <c r="N82" i="4" s="1"/>
  <c r="N190" i="4" a="1"/>
  <c r="N190" i="4" s="1"/>
  <c r="N202" i="4" a="1"/>
  <c r="N202" i="4" s="1"/>
  <c r="N214" i="4" a="1"/>
  <c r="N214" i="4" s="1"/>
  <c r="N226" i="4" a="1"/>
  <c r="N226" i="4" s="1"/>
  <c r="N238" i="4" a="1"/>
  <c r="N238" i="4" s="1"/>
  <c r="N286" i="4" a="1"/>
  <c r="N286" i="4" s="1"/>
  <c r="N298" i="4" a="1"/>
  <c r="N298" i="4" s="1"/>
  <c r="N310" i="4" a="1"/>
  <c r="N310" i="4" s="1"/>
  <c r="N322" i="4" a="1"/>
  <c r="N322" i="4" s="1"/>
  <c r="N334" i="4" a="1"/>
  <c r="N334" i="4" s="1"/>
  <c r="N346" i="4" a="1"/>
  <c r="N346" i="4" s="1"/>
  <c r="N11" i="4" a="1"/>
  <c r="N11" i="4" s="1"/>
  <c r="N23" i="4" a="1"/>
  <c r="N23" i="4" s="1"/>
  <c r="N35" i="4" a="1"/>
  <c r="N35" i="4" s="1"/>
  <c r="N47" i="4" a="1"/>
  <c r="N47" i="4" s="1"/>
  <c r="N59" i="4" a="1"/>
  <c r="N59" i="4" s="1"/>
  <c r="N71" i="4" a="1"/>
  <c r="N71" i="4" s="1"/>
  <c r="N83" i="4" a="1"/>
  <c r="N83" i="4" s="1"/>
  <c r="N191" i="4" a="1"/>
  <c r="N191" i="4" s="1"/>
  <c r="N203" i="4" a="1"/>
  <c r="N203" i="4" s="1"/>
  <c r="N215" i="4" a="1"/>
  <c r="N215" i="4" s="1"/>
  <c r="N227" i="4" a="1"/>
  <c r="N227" i="4" s="1"/>
  <c r="N239" i="4" a="1"/>
  <c r="N239" i="4" s="1"/>
  <c r="N251" i="4" a="1"/>
  <c r="N251" i="4" s="1"/>
  <c r="N263" i="4" a="1"/>
  <c r="N263" i="4" s="1"/>
  <c r="N275" i="4" a="1"/>
  <c r="N275" i="4" s="1"/>
  <c r="N287" i="4" a="1"/>
  <c r="N287" i="4" s="1"/>
  <c r="N299" i="4" a="1"/>
  <c r="N299" i="4" s="1"/>
  <c r="N311" i="4" a="1"/>
  <c r="N311" i="4" s="1"/>
  <c r="N323" i="4" a="1"/>
  <c r="N323" i="4" s="1"/>
  <c r="N335" i="4" a="1"/>
  <c r="N335" i="4" s="1"/>
  <c r="N347" i="4" a="1"/>
  <c r="N347" i="4" s="1"/>
  <c r="N12" i="4" a="1"/>
  <c r="N12" i="4" s="1"/>
  <c r="N24" i="4" a="1"/>
  <c r="N24" i="4" s="1"/>
  <c r="N36" i="4" a="1"/>
  <c r="N36" i="4" s="1"/>
  <c r="N69" i="4" a="1"/>
  <c r="N69" i="4" s="1"/>
  <c r="N345" i="4" a="1"/>
  <c r="N345" i="4" s="1"/>
  <c r="N58" i="4" a="1"/>
  <c r="N58" i="4" s="1"/>
  <c r="N41" i="4" a="1"/>
  <c r="N41" i="4" s="1"/>
  <c r="N89" i="4" a="1"/>
  <c r="N89" i="4" s="1"/>
  <c r="N8" i="4" a="1"/>
  <c r="N8" i="4" s="1"/>
  <c r="N32" i="4" a="1"/>
  <c r="N32" i="4" s="1"/>
  <c r="N56" i="4" a="1"/>
  <c r="N56" i="4" s="1"/>
  <c r="N80" i="4" a="1"/>
  <c r="N80" i="4" s="1"/>
  <c r="N33" i="4" a="1"/>
  <c r="N33" i="4" s="1"/>
  <c r="N45" i="4" a="1"/>
  <c r="N45" i="4" s="1"/>
  <c r="N81" i="4" a="1"/>
  <c r="N81" i="4" s="1"/>
  <c r="N297" i="4" a="1"/>
  <c r="N297" i="4" s="1"/>
  <c r="N321" i="4" a="1"/>
  <c r="N321" i="4" s="1"/>
  <c r="N22" i="4" a="1"/>
  <c r="N22" i="4" s="1"/>
  <c r="N46" i="4" a="1"/>
  <c r="N46" i="4" s="1"/>
  <c r="N5" i="4" a="1"/>
  <c r="N5" i="4" s="1"/>
  <c r="N17" i="4" a="1"/>
  <c r="N17" i="4" s="1"/>
  <c r="N29" i="4" a="1"/>
  <c r="N29" i="4" s="1"/>
  <c r="N53" i="4" a="1"/>
  <c r="N53" i="4" s="1"/>
  <c r="N65" i="4" a="1"/>
  <c r="N65" i="4" s="1"/>
  <c r="N77" i="4" a="1"/>
  <c r="N77" i="4" s="1"/>
  <c r="N6" i="4" a="1"/>
  <c r="N6" i="4" s="1"/>
  <c r="N18" i="4" a="1"/>
  <c r="N18" i="4" s="1"/>
  <c r="N30" i="4" a="1"/>
  <c r="N30" i="4" s="1"/>
  <c r="N42" i="4" a="1"/>
  <c r="N42" i="4" s="1"/>
  <c r="N54" i="4" a="1"/>
  <c r="N54" i="4" s="1"/>
  <c r="N66" i="4" a="1"/>
  <c r="N66" i="4" s="1"/>
  <c r="N78" i="4" a="1"/>
  <c r="N78" i="4" s="1"/>
  <c r="N90" i="4" a="1"/>
  <c r="N90" i="4" s="1"/>
  <c r="N186" i="4" a="1"/>
  <c r="N186" i="4" s="1"/>
  <c r="N198" i="4" a="1"/>
  <c r="N198" i="4" s="1"/>
  <c r="N210" i="4" a="1"/>
  <c r="N210" i="4" s="1"/>
  <c r="N222" i="4" a="1"/>
  <c r="N222" i="4" s="1"/>
  <c r="N234" i="4" a="1"/>
  <c r="N234" i="4" s="1"/>
  <c r="N72" i="4" a="1"/>
  <c r="N72" i="4" s="1"/>
  <c r="N84" i="4" a="1"/>
  <c r="N84" i="4" s="1"/>
  <c r="N96" i="4" a="1"/>
  <c r="N96" i="4" s="1"/>
  <c r="N108" i="4" a="1"/>
  <c r="N108" i="4" s="1"/>
  <c r="N120" i="4" a="1"/>
  <c r="N120" i="4" s="1"/>
  <c r="N132" i="4" a="1"/>
  <c r="N132" i="4" s="1"/>
  <c r="N144" i="4" a="1"/>
  <c r="N144" i="4" s="1"/>
  <c r="N156" i="4" a="1"/>
  <c r="N156" i="4" s="1"/>
  <c r="N168" i="4" a="1"/>
  <c r="N168" i="4" s="1"/>
  <c r="N180" i="4" a="1"/>
  <c r="N180" i="4" s="1"/>
  <c r="N192" i="4" a="1"/>
  <c r="N192" i="4" s="1"/>
  <c r="N204" i="4" a="1"/>
  <c r="N204" i="4" s="1"/>
  <c r="N216" i="4" a="1"/>
  <c r="N216" i="4" s="1"/>
  <c r="N228" i="4" a="1"/>
  <c r="N228" i="4" s="1"/>
  <c r="N240" i="4" a="1"/>
  <c r="N240" i="4" s="1"/>
  <c r="N252" i="4" a="1"/>
  <c r="N252" i="4" s="1"/>
  <c r="N264" i="4" a="1"/>
  <c r="N264" i="4" s="1"/>
  <c r="N276" i="4" a="1"/>
  <c r="N276" i="4" s="1"/>
  <c r="N288" i="4" a="1"/>
  <c r="N288" i="4" s="1"/>
  <c r="N300" i="4" a="1"/>
  <c r="N300" i="4" s="1"/>
  <c r="N312" i="4" a="1"/>
  <c r="N312" i="4" s="1"/>
  <c r="N324" i="4" a="1"/>
  <c r="N324" i="4" s="1"/>
  <c r="N336" i="4" a="1"/>
  <c r="N336" i="4" s="1"/>
  <c r="N348" i="4" a="1"/>
  <c r="N348" i="4" s="1"/>
  <c r="N360" i="4" a="1"/>
  <c r="N360" i="4" s="1"/>
  <c r="N13" i="4" a="1"/>
  <c r="N13" i="4" s="1"/>
  <c r="N25" i="4" a="1"/>
  <c r="N25" i="4" s="1"/>
  <c r="N37" i="4" a="1"/>
  <c r="N37" i="4" s="1"/>
  <c r="N49" i="4" a="1"/>
  <c r="N49" i="4" s="1"/>
  <c r="N73" i="4" a="1"/>
  <c r="N73" i="4" s="1"/>
  <c r="N85" i="4" a="1"/>
  <c r="N85" i="4" s="1"/>
  <c r="N97" i="4" a="1"/>
  <c r="N97" i="4" s="1"/>
  <c r="N109" i="4" a="1"/>
  <c r="N109" i="4" s="1"/>
  <c r="N121" i="4" a="1"/>
  <c r="N121" i="4" s="1"/>
  <c r="N133" i="4" a="1"/>
  <c r="N133" i="4" s="1"/>
  <c r="N145" i="4" a="1"/>
  <c r="N145" i="4" s="1"/>
  <c r="N157" i="4" a="1"/>
  <c r="N157" i="4" s="1"/>
  <c r="N169" i="4" a="1"/>
  <c r="N169" i="4" s="1"/>
  <c r="N181" i="4" a="1"/>
  <c r="N181" i="4" s="1"/>
  <c r="N193" i="4" a="1"/>
  <c r="N193" i="4" s="1"/>
  <c r="N205" i="4" a="1"/>
  <c r="N205" i="4" s="1"/>
  <c r="N217" i="4" a="1"/>
  <c r="N217" i="4" s="1"/>
  <c r="N229" i="4" a="1"/>
  <c r="N229" i="4" s="1"/>
  <c r="N241" i="4" a="1"/>
  <c r="N241" i="4" s="1"/>
  <c r="N253" i="4" a="1"/>
  <c r="N253" i="4" s="1"/>
  <c r="N265" i="4" a="1"/>
  <c r="N265" i="4" s="1"/>
  <c r="N277" i="4" a="1"/>
  <c r="N277" i="4" s="1"/>
  <c r="N289" i="4" a="1"/>
  <c r="N289" i="4" s="1"/>
  <c r="N301" i="4" a="1"/>
  <c r="N301" i="4" s="1"/>
  <c r="N313" i="4" a="1"/>
  <c r="N313" i="4" s="1"/>
  <c r="N325" i="4" a="1"/>
  <c r="N325" i="4" s="1"/>
  <c r="N337" i="4" a="1"/>
  <c r="N337" i="4" s="1"/>
  <c r="N349" i="4" a="1"/>
  <c r="N349" i="4" s="1"/>
  <c r="N361" i="4" a="1"/>
  <c r="N361" i="4" s="1"/>
  <c r="N2" i="4" a="1"/>
  <c r="N2" i="4" s="1"/>
  <c r="N14" i="4" a="1"/>
  <c r="N14" i="4" s="1"/>
  <c r="N26" i="4" a="1"/>
  <c r="N26" i="4" s="1"/>
  <c r="N38" i="4" a="1"/>
  <c r="N38" i="4" s="1"/>
  <c r="N50" i="4" a="1"/>
  <c r="N50" i="4" s="1"/>
  <c r="N62" i="4" a="1"/>
  <c r="N62" i="4" s="1"/>
  <c r="N74" i="4" a="1"/>
  <c r="N74" i="4" s="1"/>
  <c r="N86" i="4" a="1"/>
  <c r="N86" i="4" s="1"/>
  <c r="N98" i="4" a="1"/>
  <c r="N98" i="4" s="1"/>
  <c r="N110" i="4" a="1"/>
  <c r="N110" i="4" s="1"/>
  <c r="N122" i="4" a="1"/>
  <c r="N122" i="4" s="1"/>
  <c r="N134" i="4" a="1"/>
  <c r="N134" i="4" s="1"/>
  <c r="N146" i="4" a="1"/>
  <c r="N146" i="4" s="1"/>
  <c r="N158" i="4" a="1"/>
  <c r="N158" i="4" s="1"/>
  <c r="N170" i="4" a="1"/>
  <c r="N170" i="4" s="1"/>
  <c r="N182" i="4" a="1"/>
  <c r="N182" i="4" s="1"/>
  <c r="N194" i="4" a="1"/>
  <c r="N194" i="4" s="1"/>
  <c r="N206" i="4" a="1"/>
  <c r="N206" i="4" s="1"/>
  <c r="N218" i="4" a="1"/>
  <c r="N218" i="4" s="1"/>
  <c r="N230" i="4" a="1"/>
  <c r="N230" i="4" s="1"/>
  <c r="N242" i="4" a="1"/>
  <c r="N242" i="4" s="1"/>
  <c r="N254" i="4" a="1"/>
  <c r="N254" i="4" s="1"/>
  <c r="N266" i="4" a="1"/>
  <c r="N266" i="4" s="1"/>
  <c r="N278" i="4" a="1"/>
  <c r="N278" i="4" s="1"/>
  <c r="N290" i="4" a="1"/>
  <c r="N290" i="4" s="1"/>
  <c r="N302" i="4" a="1"/>
  <c r="N302" i="4" s="1"/>
  <c r="N314" i="4" a="1"/>
  <c r="N314" i="4" s="1"/>
  <c r="N326" i="4" a="1"/>
  <c r="N326" i="4" s="1"/>
  <c r="N338" i="4" a="1"/>
  <c r="N338" i="4" s="1"/>
  <c r="N350" i="4" a="1"/>
  <c r="N350" i="4" s="1"/>
  <c r="N362" i="4" a="1"/>
  <c r="N362" i="4" s="1"/>
  <c r="N99" i="4" a="1"/>
  <c r="N99" i="4" s="1"/>
  <c r="N111" i="4" a="1"/>
  <c r="N111" i="4" s="1"/>
  <c r="N123" i="4" a="1"/>
  <c r="N123" i="4" s="1"/>
  <c r="N135" i="4" a="1"/>
  <c r="N135" i="4" s="1"/>
  <c r="N147" i="4" a="1"/>
  <c r="N147" i="4" s="1"/>
  <c r="N159" i="4" a="1"/>
  <c r="N159" i="4" s="1"/>
  <c r="N171" i="4" a="1"/>
  <c r="N171" i="4" s="1"/>
  <c r="N183" i="4" a="1"/>
  <c r="N183" i="4" s="1"/>
  <c r="N195" i="4" a="1"/>
  <c r="N195" i="4" s="1"/>
  <c r="N207" i="4" a="1"/>
  <c r="N207" i="4" s="1"/>
  <c r="N219" i="4" a="1"/>
  <c r="N219" i="4" s="1"/>
  <c r="N231" i="4" a="1"/>
  <c r="N231" i="4" s="1"/>
  <c r="N243" i="4" a="1"/>
  <c r="N243" i="4" s="1"/>
  <c r="N255" i="4" a="1"/>
  <c r="N255" i="4" s="1"/>
  <c r="N267" i="4" a="1"/>
  <c r="N267" i="4" s="1"/>
  <c r="N279" i="4" a="1"/>
  <c r="N279" i="4" s="1"/>
  <c r="N291" i="4" a="1"/>
  <c r="N291" i="4" s="1"/>
  <c r="N303" i="4" a="1"/>
  <c r="N303" i="4" s="1"/>
  <c r="N315" i="4" a="1"/>
  <c r="N315" i="4" s="1"/>
  <c r="N327" i="4" a="1"/>
  <c r="N327" i="4" s="1"/>
  <c r="N339" i="4" a="1"/>
  <c r="N339" i="4" s="1"/>
  <c r="N351" i="4" a="1"/>
  <c r="N351" i="4" s="1"/>
  <c r="N363" i="4" a="1"/>
  <c r="N363" i="4" s="1"/>
  <c r="N282" i="4" a="1"/>
  <c r="N282" i="4" s="1"/>
  <c r="N294" i="4" a="1"/>
  <c r="N294" i="4" s="1"/>
  <c r="N306" i="4" a="1"/>
  <c r="N306" i="4" s="1"/>
  <c r="N318" i="4" a="1"/>
  <c r="N318" i="4" s="1"/>
  <c r="N330" i="4" a="1"/>
  <c r="N330" i="4" s="1"/>
  <c r="N342" i="4" a="1"/>
  <c r="N342" i="4" s="1"/>
  <c r="N354" i="4" a="1"/>
  <c r="N354" i="4" s="1"/>
  <c r="N366" i="4" a="1"/>
  <c r="N366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<sst xmlns="http://schemas.openxmlformats.org/spreadsheetml/2006/main" count="3272" uniqueCount="193">
  <si>
    <t>Humidity</t>
  </si>
  <si>
    <t>Variable Description</t>
  </si>
  <si>
    <t>Variable Name</t>
  </si>
  <si>
    <t>CONCLUSION</t>
  </si>
  <si>
    <t>*** THIS SECTION WILL BE MARKED ***</t>
  </si>
  <si>
    <t>OUTPUT</t>
  </si>
  <si>
    <t>WORKINGS</t>
  </si>
  <si>
    <r>
      <t xml:space="preserve">*** THIS SECTION WILL </t>
    </r>
    <r>
      <rPr>
        <b/>
        <u/>
        <sz val="14"/>
        <color rgb="FFC00000"/>
        <rFont val="Calibri"/>
        <family val="2"/>
        <scheme val="minor"/>
      </rPr>
      <t>NOT</t>
    </r>
    <r>
      <rPr>
        <b/>
        <sz val="12"/>
        <color rgb="FFC00000"/>
        <rFont val="Calibri"/>
        <family val="2"/>
        <scheme val="minor"/>
      </rPr>
      <t xml:space="preserve"> BE MARKED ***</t>
    </r>
  </si>
  <si>
    <t>1.</t>
  </si>
  <si>
    <t>2.</t>
  </si>
  <si>
    <t>3.</t>
  </si>
  <si>
    <t>Key Observations</t>
  </si>
  <si>
    <t>Q.2.3 - Bivariate Analysis (numerical variables)</t>
  </si>
  <si>
    <t>The correlation coefficient is:</t>
  </si>
  <si>
    <t>Q.3 - Probability</t>
  </si>
  <si>
    <t>Probability</t>
  </si>
  <si>
    <t>Details</t>
  </si>
  <si>
    <t>Q.4 - Confidence Intervals</t>
  </si>
  <si>
    <t>ID</t>
  </si>
  <si>
    <t xml:space="preserve">Record index </t>
  </si>
  <si>
    <t>Date</t>
  </si>
  <si>
    <t>Seasons</t>
  </si>
  <si>
    <t>Holiday</t>
  </si>
  <si>
    <t xml:space="preserve">Whether day is holiday or not (Holiday, Not Holiday) </t>
  </si>
  <si>
    <t>Weekday</t>
  </si>
  <si>
    <t>Day of week (Sunday to Saturday)</t>
  </si>
  <si>
    <t>Workingday</t>
  </si>
  <si>
    <t>If day is either working day or not</t>
  </si>
  <si>
    <t>Weather</t>
  </si>
  <si>
    <t>Weather of the day (Clear, Cloudy, Rain)</t>
  </si>
  <si>
    <t>Temp</t>
  </si>
  <si>
    <t xml:space="preserve">Temperature of the day in Celsius </t>
  </si>
  <si>
    <t>Humidity of the day in %</t>
  </si>
  <si>
    <t>WindSpeed</t>
  </si>
  <si>
    <t>Wind speed of the day in km/h</t>
  </si>
  <si>
    <t>eBike</t>
  </si>
  <si>
    <t>pBike</t>
  </si>
  <si>
    <t>Id</t>
  </si>
  <si>
    <t>Season</t>
  </si>
  <si>
    <t>Summer</t>
  </si>
  <si>
    <t>Not Holiday</t>
  </si>
  <si>
    <t>Saturday</t>
  </si>
  <si>
    <t>Not Workingday</t>
  </si>
  <si>
    <t>Cloudy</t>
  </si>
  <si>
    <t>Sunday</t>
  </si>
  <si>
    <t>Monday</t>
  </si>
  <si>
    <t>Clear</t>
  </si>
  <si>
    <t>Tuesday</t>
  </si>
  <si>
    <t>Wednesday</t>
  </si>
  <si>
    <t>Thursday</t>
  </si>
  <si>
    <t>Friday</t>
  </si>
  <si>
    <t>Rain</t>
  </si>
  <si>
    <t>Autumn</t>
  </si>
  <si>
    <t>Winter</t>
  </si>
  <si>
    <t>Spring</t>
  </si>
  <si>
    <t>Bike hire details in year 2022</t>
  </si>
  <si>
    <t>Number of electric bike hired per day</t>
  </si>
  <si>
    <t>Total bike hired including both eBikes  and pBikes</t>
  </si>
  <si>
    <t>HireDay</t>
  </si>
  <si>
    <t>Date of the bike hired</t>
  </si>
  <si>
    <t>Season of the bike hired (Summer, Autumn, Winter, and Spring)</t>
  </si>
  <si>
    <t>Hire day is classified into four different categories based on total number of bikes hired per day</t>
  </si>
  <si>
    <t>Q.1.1 - Categorical Variable (Weather)</t>
  </si>
  <si>
    <t>Q.2.1 - Bivariate Analysis (Weather : HireDay)</t>
  </si>
  <si>
    <t>BikeHired</t>
  </si>
  <si>
    <t>Q.1.2 - Numerical Variable (BikeHired)</t>
  </si>
  <si>
    <t xml:space="preserve">BikeHired based on Seasons </t>
  </si>
  <si>
    <t>Average BikeHired</t>
  </si>
  <si>
    <t>Spread (range) of BikeHired</t>
  </si>
  <si>
    <t>Minimum BikeHired</t>
  </si>
  <si>
    <t>Maximum BikeHired</t>
  </si>
  <si>
    <t>Spread of Middle 50% of BikeHired</t>
  </si>
  <si>
    <t>Q.2.2 - Bivariate Analysis (Seasons : BikeHired)</t>
  </si>
  <si>
    <t>WindSpeed and Electric Bikes (eBike)</t>
  </si>
  <si>
    <t xml:space="preserve">Seasons </t>
  </si>
  <si>
    <t>BikeHired of each Seasons</t>
  </si>
  <si>
    <t>has the highest probability of BikeHired of greater than 75</t>
  </si>
  <si>
    <t>has the lowest probability of BikeHired of greater than 75</t>
  </si>
  <si>
    <t>Bike Hired for each Seasons</t>
  </si>
  <si>
    <t>If clear, then complete the below sentences.</t>
  </si>
  <si>
    <t>has average BikeHired of</t>
  </si>
  <si>
    <r>
      <t xml:space="preserve">this is the </t>
    </r>
    <r>
      <rPr>
        <u/>
        <sz val="12"/>
        <rFont val="Calibri"/>
        <family val="2"/>
        <scheme val="minor"/>
      </rPr>
      <t>lowest</t>
    </r>
    <r>
      <rPr>
        <sz val="12"/>
        <rFont val="Calibri"/>
        <family val="2"/>
        <scheme val="minor"/>
      </rPr>
      <t xml:space="preserve"> of all Seasons</t>
    </r>
  </si>
  <si>
    <r>
      <t xml:space="preserve">this is the </t>
    </r>
    <r>
      <rPr>
        <u/>
        <sz val="12"/>
        <rFont val="Calibri"/>
        <family val="2"/>
        <scheme val="minor"/>
      </rPr>
      <t>highest</t>
    </r>
    <r>
      <rPr>
        <sz val="12"/>
        <rFont val="Calibri"/>
        <family val="2"/>
        <scheme val="minor"/>
      </rPr>
      <t xml:space="preserve"> of all Seasons</t>
    </r>
  </si>
  <si>
    <t>*** This section will NOT be marked ***</t>
  </si>
  <si>
    <t>This means</t>
  </si>
  <si>
    <t>Season Type</t>
  </si>
  <si>
    <t>For the two following Seasons, write your conclusion for the hypothesis that the average BikeHired is now more than 75</t>
  </si>
  <si>
    <t>Q.5 - Hypothesis Test (BikeHired and Seasons)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</si>
  <si>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libri"/>
        <family val="2"/>
        <scheme val="minor"/>
      </rPr>
      <t>Quiet, BikeHired&lt;40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</si>
  <si>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libri"/>
        <family val="2"/>
        <scheme val="minor"/>
      </rPr>
      <t>Modest, BikeHired between 40 and 70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</si>
  <si>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libri"/>
        <family val="2"/>
        <scheme val="minor"/>
      </rPr>
      <t>Good, BikeHired between 70 and 100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</si>
  <si>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libri"/>
        <family val="2"/>
        <scheme val="minor"/>
      </rPr>
      <t>Busy, BikeHired &gt;100</t>
    </r>
  </si>
  <si>
    <t>Number of pedal bike hired per day</t>
  </si>
  <si>
    <t>Temperature and Pedal Bikes (pBike)</t>
  </si>
  <si>
    <t>Humidity and Pedal Bikes (pBike)</t>
  </si>
  <si>
    <t>Pedal Bikes (pBike) of each Weather condition</t>
  </si>
  <si>
    <t>has the highest probability of a Pedal Bikes greater than 55</t>
  </si>
  <si>
    <t>has the lowest probability of a Pedal Bikes greater than 55</t>
  </si>
  <si>
    <t>Row Labels</t>
  </si>
  <si>
    <t>Grand Total</t>
  </si>
  <si>
    <t>Count of Weather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</si>
  <si>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</si>
  <si>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</si>
  <si>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</si>
  <si>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</si>
  <si>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</si>
  <si>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</si>
  <si>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</si>
  <si>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</si>
  <si>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</si>
  <si>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</si>
  <si>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</si>
  <si>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</si>
  <si>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</si>
  <si>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Q1</t>
  </si>
  <si>
    <t>Q3</t>
  </si>
  <si>
    <t>IQR</t>
  </si>
  <si>
    <t>lower limit</t>
  </si>
  <si>
    <t>upper limit</t>
  </si>
  <si>
    <t>Column Labels</t>
  </si>
  <si>
    <t>Good</t>
  </si>
  <si>
    <t>Busy</t>
  </si>
  <si>
    <t>Modest</t>
  </si>
  <si>
    <t>Queit</t>
  </si>
  <si>
    <t>Count of HireDay</t>
  </si>
  <si>
    <t>Sum of BikeHired</t>
  </si>
  <si>
    <t xml:space="preserve">temperature and pbike </t>
  </si>
  <si>
    <t xml:space="preserve">humidity and pbike </t>
  </si>
  <si>
    <t>windspeed and ebike</t>
  </si>
  <si>
    <t>summer</t>
  </si>
  <si>
    <t>winter</t>
  </si>
  <si>
    <t>autumn</t>
  </si>
  <si>
    <t>spring</t>
  </si>
  <si>
    <t>mean</t>
  </si>
  <si>
    <t>alpha</t>
  </si>
  <si>
    <t>Quiet</t>
  </si>
  <si>
    <t>tukeys rule</t>
  </si>
  <si>
    <t>clear days result in the highest rental activities</t>
  </si>
  <si>
    <t>Column5</t>
  </si>
  <si>
    <t>Column6</t>
  </si>
  <si>
    <t>SPRING</t>
  </si>
  <si>
    <t>SUMMER</t>
  </si>
  <si>
    <t>WINTER</t>
  </si>
  <si>
    <t>AUTUMN</t>
  </si>
  <si>
    <t xml:space="preserve">HO: the average bike Hired is  </t>
  </si>
  <si>
    <t xml:space="preserve">H1: the average bike hired is </t>
  </si>
  <si>
    <t>H1: µ&gt;75</t>
  </si>
  <si>
    <r>
      <t>H0:</t>
    </r>
    <r>
      <rPr>
        <b/>
        <sz val="10"/>
        <rFont val="Aptos Narrow"/>
        <family val="2"/>
      </rPr>
      <t>µ≤75</t>
    </r>
  </si>
  <si>
    <t>Winter: There is no evidence to suggest that the average number of bikes hired in winter is more than 75.</t>
  </si>
  <si>
    <t>Summer:there is strong evidence that the average number of bikes hired in summer is more than 75.</t>
  </si>
  <si>
    <t>Alpha</t>
  </si>
  <si>
    <t>Critical value</t>
  </si>
  <si>
    <t>we  do not reject H0</t>
  </si>
  <si>
    <t>we reject H0</t>
  </si>
  <si>
    <t>Test Statistics</t>
  </si>
  <si>
    <t>Column7</t>
  </si>
  <si>
    <t>Column8</t>
  </si>
  <si>
    <t>degree of freedom</t>
  </si>
  <si>
    <t>confidence interval</t>
  </si>
  <si>
    <t>z-value</t>
  </si>
  <si>
    <t>standard deviation</t>
  </si>
  <si>
    <t>p(bikes hired&gt;75)</t>
  </si>
  <si>
    <t>Mean - 3 sd</t>
  </si>
  <si>
    <t>Mean - 2 sd</t>
  </si>
  <si>
    <t>Mean - 1 sd</t>
  </si>
  <si>
    <t>Mean + 1 sd</t>
  </si>
  <si>
    <t>Mean + 2 sd</t>
  </si>
  <si>
    <t>Mean + 3 sd</t>
  </si>
  <si>
    <t>season</t>
  </si>
  <si>
    <t>weather</t>
  </si>
  <si>
    <t>cloudy</t>
  </si>
  <si>
    <t>rainy</t>
  </si>
  <si>
    <t>clear</t>
  </si>
  <si>
    <t>p(pbikes&gt;75)</t>
  </si>
  <si>
    <t>z-scores</t>
  </si>
  <si>
    <t>YES, there was an uneven spread across all weather conditions as majority of the months had clear weather whilst only few days received rain.</t>
  </si>
  <si>
    <r>
      <t xml:space="preserve">The data shows that it is </t>
    </r>
    <r>
      <rPr>
        <b/>
        <u/>
        <sz val="12"/>
        <rFont val="Calibri"/>
        <family val="2"/>
        <scheme val="minor"/>
      </rPr>
      <t xml:space="preserve">CLEAR </t>
    </r>
    <r>
      <rPr>
        <sz val="12"/>
        <rFont val="Calibri"/>
        <family val="2"/>
        <scheme val="minor"/>
      </rPr>
      <t>about which Season has the highest BikeHired.</t>
    </r>
  </si>
  <si>
    <r>
      <t xml:space="preserve">The data shows that it is </t>
    </r>
    <r>
      <rPr>
        <b/>
        <u/>
        <sz val="12"/>
        <rFont val="Calibri"/>
        <family val="2"/>
        <scheme val="minor"/>
      </rPr>
      <t>CLEAR</t>
    </r>
    <r>
      <rPr>
        <sz val="12"/>
        <rFont val="Calibri"/>
        <family val="2"/>
        <scheme val="minor"/>
      </rPr>
      <t xml:space="preserve"> about which Season has the lowest BikeHired.</t>
    </r>
  </si>
  <si>
    <t>correlation coeffient</t>
  </si>
  <si>
    <t>positive weak</t>
  </si>
  <si>
    <t>correlation</t>
  </si>
  <si>
    <t>very weak negative</t>
  </si>
  <si>
    <t>as temperature increases , the number of pedal bikes hired tends to increase as well.</t>
  </si>
  <si>
    <t>as the the windspeed increases, the number of ebikes hired tends to slighly increase aswell.</t>
  </si>
  <si>
    <t>we do not reject H0</t>
  </si>
  <si>
    <t>we do not reject H1</t>
  </si>
  <si>
    <t>the high standard deviation suggests that there is considerable variablity in the rental bike activities.</t>
  </si>
  <si>
    <t>the kurtosis suggests extremely less outliers</t>
  </si>
  <si>
    <t>the skewness and distrubution suggests that there are more lower values compared to higher values.</t>
  </si>
  <si>
    <t>majority of the busy days are during clear weather conditions.</t>
  </si>
  <si>
    <t>rainy days record the least rental activities and cloudy days record moderate hires.</t>
  </si>
  <si>
    <t xml:space="preserve"> strong positive</t>
  </si>
  <si>
    <t>as humidity increases, the number of pedal bikes hired tends to decrease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</si>
</sst>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7" formatCode="&quot;$&quot;#,##0.00;\-&quot;$&quot;#,##0.00"/>
    <numFmt numFmtId="164" formatCode="0.0000"/>
    <numFmt numFmtId="165" formatCode="#,##0.0000"/>
    <numFmt numFmtId="166" formatCode="#,##0.000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8" tint="-0.249977111117893"/>
      <name val="Calibri"/>
      <family val="2"/>
      <scheme val="minor"/>
    </font>
    <font>
      <b/>
      <u/>
      <sz val="14"/>
      <color rgb="FFC0000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u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5"/>
      <name val="Aptos Black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sz val="12"/>
      <color rgb="FF000000"/>
      <name val="Calibri"/>
      <family val="2"/>
      <scheme val="minor"/>
    </font>
    <font>
      <sz val="12"/>
      <color rgb="FF000000"/>
      <name val="Symbol"/>
      <family val="1"/>
      <charset val="2"/>
    </font>
    <font>
      <sz val="7"/>
      <color rgb="FF000000"/>
      <name val="Times New Roman"/>
      <family val="1"/>
    </font>
    <font>
      <i/>
      <sz val="14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4"/>
      <color rgb="FFC00000"/>
      <name val="Calibri"/>
      <family val="2"/>
      <scheme val="minor"/>
    </font>
    <font>
      <i/>
      <sz val="14"/>
      <color theme="8" tint="-0.249977111117893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i/>
      <sz val="12"/>
      <name val="Arial"/>
      <family val="2"/>
    </font>
    <font>
      <b/>
      <u/>
      <sz val="12"/>
      <name val="Calibri"/>
      <family val="2"/>
      <scheme val="minor"/>
    </font>
    <font>
      <b/>
      <sz val="16"/>
      <color rgb="FFC00000"/>
      <name val="Arial"/>
      <family val="2"/>
    </font>
    <font>
      <b/>
      <sz val="14"/>
      <color rgb="FFC00000"/>
      <name val="Arial"/>
      <family val="2"/>
    </font>
    <font>
      <b/>
      <sz val="14"/>
      <name val="Aptos Narrow"/>
      <family val="2"/>
    </font>
    <font>
      <b/>
      <sz val="2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Aptos Narrow"/>
      <family val="2"/>
    </font>
    <font>
      <b/>
      <i/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" fontId="4" fillId="0" borderId="0" xfId="1" applyNumberFormat="1" applyFont="1" applyAlignment="1">
      <alignment horizontal="left" vertical="center"/>
    </xf>
    <xf numFmtId="0" fontId="1" fillId="0" borderId="0" xfId="1" applyAlignment="1">
      <alignment horizontal="center" vertical="center"/>
    </xf>
    <xf numFmtId="4" fontId="5" fillId="0" borderId="0" xfId="1" applyNumberFormat="1" applyFont="1" applyAlignment="1">
      <alignment horizontal="left" vertical="center"/>
    </xf>
    <xf numFmtId="4" fontId="6" fillId="0" borderId="0" xfId="1" applyNumberFormat="1" applyFont="1" applyAlignment="1">
      <alignment horizontal="center" vertical="center"/>
    </xf>
    <xf numFmtId="4" fontId="4" fillId="0" borderId="0" xfId="1" applyNumberFormat="1" applyFont="1" applyAlignment="1">
      <alignment horizontal="right" vertical="center"/>
    </xf>
    <xf numFmtId="4" fontId="6" fillId="0" borderId="0" xfId="1" applyNumberFormat="1" applyFont="1" applyAlignment="1">
      <alignment horizontal="left" vertical="center"/>
    </xf>
    <xf numFmtId="4" fontId="6" fillId="0" borderId="1" xfId="1" applyNumberFormat="1" applyFont="1" applyBorder="1" applyAlignment="1">
      <alignment horizontal="left" vertical="center"/>
    </xf>
    <xf numFmtId="4" fontId="6" fillId="0" borderId="2" xfId="1" applyNumberFormat="1" applyFont="1" applyBorder="1" applyAlignment="1">
      <alignment horizontal="center" vertical="center"/>
    </xf>
    <xf numFmtId="4" fontId="6" fillId="0" borderId="2" xfId="1" applyNumberFormat="1" applyFont="1" applyBorder="1" applyAlignment="1">
      <alignment horizontal="left" vertical="center"/>
    </xf>
    <xf numFmtId="4" fontId="6" fillId="0" borderId="3" xfId="1" applyNumberFormat="1" applyFont="1" applyBorder="1" applyAlignment="1">
      <alignment horizontal="center" vertical="center"/>
    </xf>
    <xf numFmtId="4" fontId="6" fillId="0" borderId="4" xfId="1" applyNumberFormat="1" applyFont="1" applyBorder="1" applyAlignment="1">
      <alignment horizontal="left" vertical="center"/>
    </xf>
    <xf numFmtId="4" fontId="7" fillId="0" borderId="0" xfId="1" applyNumberFormat="1" applyFont="1" applyAlignment="1">
      <alignment horizontal="left" vertical="center"/>
    </xf>
    <xf numFmtId="4" fontId="6" fillId="0" borderId="5" xfId="1" applyNumberFormat="1" applyFont="1" applyBorder="1" applyAlignment="1">
      <alignment horizontal="center" vertical="center"/>
    </xf>
    <xf numFmtId="0" fontId="6" fillId="0" borderId="0" xfId="1" applyFont="1" applyAlignment="1">
      <alignment horizontal="left" vertical="center"/>
    </xf>
    <xf numFmtId="4" fontId="6" fillId="0" borderId="6" xfId="1" applyNumberFormat="1" applyFont="1" applyBorder="1" applyAlignment="1">
      <alignment horizontal="left" vertical="center"/>
    </xf>
    <xf numFmtId="4" fontId="6" fillId="0" borderId="7" xfId="1" applyNumberFormat="1" applyFont="1" applyBorder="1" applyAlignment="1">
      <alignment horizontal="center" vertical="center"/>
    </xf>
    <xf numFmtId="4" fontId="6" fillId="0" borderId="7" xfId="1" applyNumberFormat="1" applyFont="1" applyBorder="1" applyAlignment="1">
      <alignment horizontal="left" vertical="center"/>
    </xf>
    <xf numFmtId="4" fontId="6" fillId="0" borderId="8" xfId="1" applyNumberFormat="1" applyFont="1" applyBorder="1" applyAlignment="1">
      <alignment horizontal="center" vertical="center"/>
    </xf>
    <xf numFmtId="4" fontId="4" fillId="0" borderId="0" xfId="1" applyNumberFormat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4" fontId="1" fillId="0" borderId="0" xfId="1" applyNumberFormat="1" applyAlignment="1">
      <alignment horizontal="left" vertical="center"/>
    </xf>
    <xf numFmtId="4" fontId="1" fillId="0" borderId="0" xfId="1" applyNumberFormat="1" applyAlignment="1">
      <alignment horizontal="center" vertical="center"/>
    </xf>
    <xf numFmtId="3" fontId="1" fillId="0" borderId="0" xfId="1" applyNumberFormat="1" applyAlignment="1">
      <alignment horizontal="center" vertical="center"/>
    </xf>
    <xf numFmtId="0" fontId="6" fillId="0" borderId="0" xfId="1" applyFont="1" applyAlignment="1">
      <alignment horizontal="center" vertical="center"/>
    </xf>
    <xf numFmtId="7" fontId="6" fillId="0" borderId="0" xfId="1" applyNumberFormat="1" applyFont="1" applyAlignment="1">
      <alignment horizontal="center" vertical="center"/>
    </xf>
    <xf numFmtId="3" fontId="4" fillId="0" borderId="0" xfId="1" quotePrefix="1" applyNumberFormat="1" applyFont="1" applyAlignment="1">
      <alignment horizontal="center" vertical="center"/>
    </xf>
    <xf numFmtId="3" fontId="4" fillId="0" borderId="0" xfId="1" applyNumberFormat="1" applyFont="1" applyAlignment="1">
      <alignment horizontal="center" vertical="center"/>
    </xf>
    <xf numFmtId="4" fontId="4" fillId="0" borderId="0" xfId="1" applyNumberFormat="1" applyFont="1" applyAlignment="1">
      <alignment vertical="center"/>
    </xf>
    <xf numFmtId="4" fontId="7" fillId="0" borderId="0" xfId="1" applyNumberFormat="1" applyFont="1" applyAlignment="1">
      <alignment vertical="center"/>
    </xf>
    <xf numFmtId="4" fontId="9" fillId="0" borderId="0" xfId="1" applyNumberFormat="1" applyFont="1" applyAlignment="1">
      <alignment horizontal="left" vertical="center"/>
    </xf>
    <xf numFmtId="4" fontId="9" fillId="0" borderId="6" xfId="1" applyNumberFormat="1" applyFont="1" applyBorder="1" applyAlignment="1">
      <alignment horizontal="left" vertical="center"/>
    </xf>
    <xf numFmtId="4" fontId="9" fillId="0" borderId="7" xfId="1" applyNumberFormat="1" applyFont="1" applyBorder="1" applyAlignment="1">
      <alignment horizontal="center" vertical="center"/>
    </xf>
    <xf numFmtId="4" fontId="9" fillId="0" borderId="8" xfId="1" applyNumberFormat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4" fontId="9" fillId="0" borderId="4" xfId="1" applyNumberFormat="1" applyFont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4" fontId="9" fillId="0" borderId="5" xfId="1" applyNumberFormat="1" applyFont="1" applyBorder="1" applyAlignment="1">
      <alignment horizontal="center" vertical="center"/>
    </xf>
    <xf numFmtId="0" fontId="9" fillId="0" borderId="9" xfId="1" applyFont="1" applyBorder="1" applyAlignment="1">
      <alignment horizontal="left" vertical="center"/>
    </xf>
    <xf numFmtId="0" fontId="9" fillId="0" borderId="12" xfId="1" applyFont="1" applyBorder="1" applyAlignment="1">
      <alignment horizontal="left" vertical="center"/>
    </xf>
    <xf numFmtId="0" fontId="9" fillId="0" borderId="13" xfId="1" applyFont="1" applyBorder="1" applyAlignment="1">
      <alignment horizontal="left" vertical="center"/>
    </xf>
    <xf numFmtId="0" fontId="9" fillId="0" borderId="0" xfId="1" applyFont="1" applyAlignment="1">
      <alignment vertical="center"/>
    </xf>
    <xf numFmtId="4" fontId="9" fillId="0" borderId="5" xfId="1" applyNumberFormat="1" applyFont="1" applyBorder="1" applyAlignment="1">
      <alignment vertical="center"/>
    </xf>
    <xf numFmtId="0" fontId="10" fillId="0" borderId="0" xfId="1" applyFont="1" applyAlignment="1">
      <alignment vertical="center"/>
    </xf>
    <xf numFmtId="4" fontId="9" fillId="0" borderId="0" xfId="1" applyNumberFormat="1" applyFont="1" applyAlignment="1">
      <alignment vertical="center"/>
    </xf>
    <xf numFmtId="4" fontId="9" fillId="0" borderId="4" xfId="1" applyNumberFormat="1" applyFont="1" applyBorder="1" applyAlignment="1">
      <alignment vertical="center"/>
    </xf>
    <xf numFmtId="3" fontId="9" fillId="0" borderId="0" xfId="1" quotePrefix="1" applyNumberFormat="1" applyFont="1" applyAlignment="1">
      <alignment vertical="center"/>
    </xf>
    <xf numFmtId="0" fontId="11" fillId="0" borderId="0" xfId="1" applyFont="1" applyAlignment="1">
      <alignment horizontal="center" vertical="center"/>
    </xf>
    <xf numFmtId="4" fontId="9" fillId="0" borderId="7" xfId="1" applyNumberFormat="1" applyFont="1" applyBorder="1" applyAlignment="1">
      <alignment horizontal="left" vertical="center"/>
    </xf>
    <xf numFmtId="4" fontId="9" fillId="0" borderId="8" xfId="1" applyNumberFormat="1" applyFont="1" applyBorder="1" applyAlignment="1">
      <alignment horizontal="left" vertical="center"/>
    </xf>
    <xf numFmtId="0" fontId="10" fillId="0" borderId="0" xfId="1" applyFont="1" applyAlignment="1">
      <alignment horizontal="left" vertical="center"/>
    </xf>
    <xf numFmtId="4" fontId="6" fillId="0" borderId="0" xfId="1" applyNumberFormat="1" applyFont="1" applyAlignment="1">
      <alignment horizontal="left" vertical="center" wrapText="1"/>
    </xf>
    <xf numFmtId="2" fontId="3" fillId="0" borderId="0" xfId="1" applyNumberFormat="1" applyFont="1" applyAlignment="1">
      <alignment horizontal="center" vertical="center" wrapText="1"/>
    </xf>
    <xf numFmtId="4" fontId="6" fillId="0" borderId="0" xfId="1" applyNumberFormat="1" applyFont="1" applyAlignment="1">
      <alignment horizontal="center" vertical="center" wrapText="1"/>
    </xf>
    <xf numFmtId="4" fontId="6" fillId="0" borderId="5" xfId="1" applyNumberFormat="1" applyFont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2" fontId="1" fillId="0" borderId="0" xfId="1" applyNumberFormat="1" applyAlignment="1">
      <alignment horizontal="right" vertical="center"/>
    </xf>
    <xf numFmtId="2" fontId="1" fillId="0" borderId="0" xfId="1" applyNumberFormat="1" applyAlignment="1">
      <alignment horizontal="center" vertical="center"/>
    </xf>
    <xf numFmtId="2" fontId="1" fillId="0" borderId="0" xfId="1" applyNumberFormat="1" applyAlignment="1">
      <alignment horizontal="center" vertical="center" wrapText="1"/>
    </xf>
    <xf numFmtId="0" fontId="12" fillId="0" borderId="0" xfId="1" applyFont="1" applyAlignment="1">
      <alignment horizontal="center" vertical="center"/>
    </xf>
    <xf numFmtId="0" fontId="12" fillId="0" borderId="0" xfId="1" applyFont="1" applyAlignment="1">
      <alignment vertical="center"/>
    </xf>
    <xf numFmtId="10" fontId="11" fillId="0" borderId="0" xfId="1" applyNumberFormat="1" applyFont="1" applyAlignment="1">
      <alignment horizontal="center" vertical="center"/>
    </xf>
    <xf numFmtId="4" fontId="13" fillId="0" borderId="0" xfId="1" applyNumberFormat="1" applyFont="1" applyAlignment="1">
      <alignment vertical="center"/>
    </xf>
    <xf numFmtId="4" fontId="13" fillId="0" borderId="4" xfId="1" applyNumberFormat="1" applyFont="1" applyBorder="1" applyAlignment="1">
      <alignment vertical="center"/>
    </xf>
    <xf numFmtId="0" fontId="13" fillId="0" borderId="0" xfId="1" applyFont="1" applyAlignment="1">
      <alignment vertical="center"/>
    </xf>
    <xf numFmtId="0" fontId="15" fillId="0" borderId="0" xfId="1" applyFont="1" applyAlignment="1">
      <alignment vertical="center"/>
    </xf>
    <xf numFmtId="4" fontId="13" fillId="0" borderId="0" xfId="1" applyNumberFormat="1" applyFont="1" applyAlignment="1">
      <alignment horizontal="left" vertical="center"/>
    </xf>
    <xf numFmtId="4" fontId="13" fillId="0" borderId="6" xfId="1" applyNumberFormat="1" applyFont="1" applyBorder="1" applyAlignment="1">
      <alignment horizontal="left" vertical="center"/>
    </xf>
    <xf numFmtId="4" fontId="13" fillId="0" borderId="7" xfId="1" applyNumberFormat="1" applyFont="1" applyBorder="1" applyAlignment="1">
      <alignment horizontal="left" vertical="center"/>
    </xf>
    <xf numFmtId="4" fontId="13" fillId="0" borderId="8" xfId="1" applyNumberFormat="1" applyFont="1" applyBorder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3" fillId="0" borderId="0" xfId="1" applyFont="1" applyAlignment="1">
      <alignment horizontal="center" vertical="center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/>
    <xf numFmtId="1" fontId="0" fillId="0" borderId="0" xfId="0" applyNumberFormat="1" applyAlignment="1">
      <alignment horizontal="center"/>
    </xf>
    <xf numFmtId="0" fontId="22" fillId="0" borderId="0" xfId="0" applyFont="1" applyAlignment="1">
      <alignment horizontal="left" vertical="center" indent="4"/>
    </xf>
    <xf numFmtId="0" fontId="24" fillId="0" borderId="0" xfId="1" applyFont="1" applyAlignment="1">
      <alignment vertical="center"/>
    </xf>
    <xf numFmtId="3" fontId="18" fillId="0" borderId="0" xfId="1" applyNumberFormat="1" applyFont="1" applyAlignment="1">
      <alignment horizontal="left" vertical="center"/>
    </xf>
    <xf numFmtId="3" fontId="19" fillId="0" borderId="0" xfId="1" applyNumberFormat="1" applyFont="1" applyAlignment="1">
      <alignment horizontal="center" vertical="center"/>
    </xf>
    <xf numFmtId="3" fontId="11" fillId="0" borderId="0" xfId="1" applyNumberFormat="1" applyFont="1" applyAlignment="1">
      <alignment horizontal="left" vertical="center"/>
    </xf>
    <xf numFmtId="3" fontId="18" fillId="0" borderId="0" xfId="1" applyNumberFormat="1" applyFont="1" applyAlignment="1">
      <alignment horizontal="right" vertical="center"/>
    </xf>
    <xf numFmtId="3" fontId="19" fillId="0" borderId="0" xfId="1" applyNumberFormat="1" applyFont="1" applyAlignment="1">
      <alignment horizontal="left" vertical="center"/>
    </xf>
    <xf numFmtId="3" fontId="19" fillId="0" borderId="1" xfId="1" applyNumberFormat="1" applyFont="1" applyBorder="1" applyAlignment="1">
      <alignment horizontal="left" vertical="center"/>
    </xf>
    <xf numFmtId="3" fontId="19" fillId="0" borderId="2" xfId="1" applyNumberFormat="1" applyFont="1" applyBorder="1" applyAlignment="1">
      <alignment horizontal="left" vertical="center"/>
    </xf>
    <xf numFmtId="3" fontId="19" fillId="0" borderId="2" xfId="1" applyNumberFormat="1" applyFont="1" applyBorder="1" applyAlignment="1">
      <alignment horizontal="center" vertical="center"/>
    </xf>
    <xf numFmtId="3" fontId="19" fillId="0" borderId="3" xfId="1" applyNumberFormat="1" applyFont="1" applyBorder="1" applyAlignment="1">
      <alignment horizontal="center" vertical="center"/>
    </xf>
    <xf numFmtId="3" fontId="19" fillId="0" borderId="4" xfId="1" applyNumberFormat="1" applyFont="1" applyBorder="1" applyAlignment="1">
      <alignment horizontal="left" vertical="center"/>
    </xf>
    <xf numFmtId="3" fontId="19" fillId="0" borderId="5" xfId="1" applyNumberFormat="1" applyFont="1" applyBorder="1" applyAlignment="1">
      <alignment horizontal="center" vertical="center"/>
    </xf>
    <xf numFmtId="3" fontId="19" fillId="0" borderId="6" xfId="1" applyNumberFormat="1" applyFont="1" applyBorder="1" applyAlignment="1">
      <alignment horizontal="left" vertical="center"/>
    </xf>
    <xf numFmtId="3" fontId="19" fillId="0" borderId="7" xfId="1" applyNumberFormat="1" applyFont="1" applyBorder="1" applyAlignment="1">
      <alignment horizontal="left" vertical="center"/>
    </xf>
    <xf numFmtId="3" fontId="19" fillId="0" borderId="7" xfId="1" applyNumberFormat="1" applyFont="1" applyBorder="1" applyAlignment="1">
      <alignment horizontal="center" vertical="center"/>
    </xf>
    <xf numFmtId="3" fontId="19" fillId="0" borderId="8" xfId="1" applyNumberFormat="1" applyFont="1" applyBorder="1" applyAlignment="1">
      <alignment horizontal="center" vertical="center"/>
    </xf>
    <xf numFmtId="3" fontId="18" fillId="0" borderId="0" xfId="1" applyNumberFormat="1" applyFont="1" applyAlignment="1">
      <alignment horizontal="center" vertical="center"/>
    </xf>
    <xf numFmtId="0" fontId="28" fillId="0" borderId="0" xfId="1" applyFont="1" applyAlignment="1">
      <alignment horizontal="center" vertical="center" wrapText="1"/>
    </xf>
    <xf numFmtId="0" fontId="28" fillId="0" borderId="0" xfId="1" applyFont="1" applyAlignment="1">
      <alignment horizontal="center" vertical="center"/>
    </xf>
    <xf numFmtId="3" fontId="16" fillId="0" borderId="0" xfId="1" applyNumberFormat="1" applyFont="1" applyAlignment="1">
      <alignment horizontal="center" vertical="center"/>
    </xf>
    <xf numFmtId="3" fontId="24" fillId="0" borderId="0" xfId="1" applyNumberFormat="1" applyFont="1" applyAlignment="1">
      <alignment horizontal="center" vertical="center"/>
    </xf>
    <xf numFmtId="0" fontId="28" fillId="0" borderId="0" xfId="1" applyFont="1" applyAlignment="1">
      <alignment horizontal="right" vertical="center"/>
    </xf>
    <xf numFmtId="3" fontId="27" fillId="0" borderId="0" xfId="1" applyNumberFormat="1" applyFont="1" applyAlignment="1">
      <alignment horizontal="left" vertical="center"/>
    </xf>
    <xf numFmtId="0" fontId="28" fillId="0" borderId="0" xfId="1" applyFont="1" applyAlignment="1">
      <alignment vertical="center"/>
    </xf>
    <xf numFmtId="4" fontId="24" fillId="0" borderId="0" xfId="1" applyNumberFormat="1" applyFont="1" applyAlignment="1">
      <alignment horizontal="center" vertical="center"/>
    </xf>
    <xf numFmtId="4" fontId="19" fillId="0" borderId="5" xfId="1" applyNumberFormat="1" applyFont="1" applyBorder="1" applyAlignment="1">
      <alignment horizontal="center" vertical="center"/>
    </xf>
    <xf numFmtId="166" fontId="24" fillId="0" borderId="0" xfId="1" applyNumberFormat="1" applyFont="1" applyAlignment="1">
      <alignment horizontal="center" vertical="center"/>
    </xf>
    <xf numFmtId="1" fontId="26" fillId="0" borderId="0" xfId="1" applyNumberFormat="1" applyFont="1" applyAlignment="1">
      <alignment horizontal="center" vertical="center"/>
    </xf>
    <xf numFmtId="0" fontId="29" fillId="0" borderId="0" xfId="0" applyFont="1" applyAlignment="1">
      <alignment vertical="center"/>
    </xf>
    <xf numFmtId="0" fontId="28" fillId="0" borderId="0" xfId="0" applyFont="1" applyAlignment="1">
      <alignment horizontal="left" vertical="center" wrapText="1"/>
    </xf>
    <xf numFmtId="1" fontId="30" fillId="0" borderId="0" xfId="0" applyNumberFormat="1" applyFont="1" applyAlignment="1">
      <alignment horizontal="center" vertical="center" wrapText="1"/>
    </xf>
    <xf numFmtId="1" fontId="36" fillId="0" borderId="0" xfId="0" applyNumberFormat="1" applyFont="1" applyAlignment="1">
      <alignment horizontal="center" vertical="center" wrapText="1"/>
    </xf>
    <xf numFmtId="4" fontId="30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right" vertical="center"/>
    </xf>
    <xf numFmtId="3" fontId="28" fillId="0" borderId="0" xfId="0" applyNumberFormat="1" applyFont="1" applyAlignment="1">
      <alignment horizontal="center" vertical="center"/>
    </xf>
    <xf numFmtId="4" fontId="28" fillId="0" borderId="0" xfId="0" quotePrefix="1" applyNumberFormat="1" applyFont="1" applyAlignment="1">
      <alignment horizontal="center" vertical="center"/>
    </xf>
    <xf numFmtId="0" fontId="28" fillId="0" borderId="0" xfId="0" applyFont="1" applyAlignment="1">
      <alignment horizontal="right" vertical="center"/>
    </xf>
    <xf numFmtId="0" fontId="32" fillId="0" borderId="0" xfId="0" applyFont="1" applyAlignment="1">
      <alignment horizontal="right" vertical="center"/>
    </xf>
    <xf numFmtId="0" fontId="34" fillId="0" borderId="0" xfId="0" applyFont="1" applyAlignment="1">
      <alignment horizontal="right" vertical="center"/>
    </xf>
    <xf numFmtId="165" fontId="35" fillId="0" borderId="0" xfId="0" quotePrefix="1" applyNumberFormat="1" applyFont="1" applyAlignment="1">
      <alignment horizontal="center" vertical="center"/>
    </xf>
    <xf numFmtId="165" fontId="35" fillId="0" borderId="0" xfId="0" applyNumberFormat="1" applyFont="1" applyAlignment="1">
      <alignment horizontal="center" vertical="center"/>
    </xf>
    <xf numFmtId="0" fontId="31" fillId="0" borderId="0" xfId="1" applyFont="1" applyAlignment="1">
      <alignment horizontal="right" vertical="center"/>
    </xf>
    <xf numFmtId="0" fontId="37" fillId="0" borderId="0" xfId="0" pivotButton="1" applyFont="1"/>
    <xf numFmtId="0" fontId="37" fillId="0" borderId="0" xfId="0" applyFont="1"/>
    <xf numFmtId="0" fontId="37" fillId="0" borderId="0" xfId="0" applyFont="1" applyAlignment="1">
      <alignment horizontal="left"/>
    </xf>
    <xf numFmtId="10" fontId="37" fillId="0" borderId="0" xfId="0" applyNumberFormat="1" applyFont="1"/>
    <xf numFmtId="0" fontId="3" fillId="0" borderId="16" xfId="0" applyFont="1" applyBorder="1" applyAlignment="1">
      <alignment horizontal="centerContinuous"/>
    </xf>
    <xf numFmtId="0" fontId="0" fillId="0" borderId="16" xfId="0" applyBorder="1"/>
    <xf numFmtId="4" fontId="6" fillId="0" borderId="16" xfId="1" applyNumberFormat="1" applyFont="1" applyBorder="1" applyAlignment="1">
      <alignment horizontal="left" vertical="center"/>
    </xf>
    <xf numFmtId="4" fontId="6" fillId="0" borderId="16" xfId="1" applyNumberFormat="1" applyFont="1" applyBorder="1" applyAlignment="1">
      <alignment horizontal="center" vertical="center"/>
    </xf>
    <xf numFmtId="0" fontId="39" fillId="0" borderId="0" xfId="0" pivotButton="1" applyFont="1"/>
    <xf numFmtId="0" fontId="39" fillId="0" borderId="0" xfId="0" applyFont="1"/>
    <xf numFmtId="0" fontId="39" fillId="0" borderId="0" xfId="0" applyFont="1" applyAlignment="1">
      <alignment horizontal="left"/>
    </xf>
    <xf numFmtId="10" fontId="39" fillId="0" borderId="0" xfId="0" applyNumberFormat="1" applyFont="1"/>
    <xf numFmtId="4" fontId="9" fillId="0" borderId="0" xfId="1" applyNumberFormat="1" applyFont="1" applyAlignment="1">
      <alignment horizontal="center" vertical="center"/>
    </xf>
    <xf numFmtId="4" fontId="41" fillId="0" borderId="0" xfId="1" applyNumberFormat="1" applyFont="1" applyAlignment="1">
      <alignment horizontal="center" vertical="center"/>
    </xf>
    <xf numFmtId="2" fontId="0" fillId="0" borderId="0" xfId="0" applyNumberFormat="1"/>
    <xf numFmtId="0" fontId="2" fillId="0" borderId="15" xfId="1" applyFont="1" applyBorder="1" applyAlignment="1">
      <alignment horizontal="center" vertical="center"/>
    </xf>
    <xf numFmtId="0" fontId="1" fillId="3" borderId="0" xfId="1" applyFill="1" applyAlignment="1">
      <alignment horizontal="center" vertical="center"/>
    </xf>
    <xf numFmtId="0" fontId="38" fillId="4" borderId="19" xfId="1" applyFont="1" applyFill="1" applyBorder="1" applyAlignment="1">
      <alignment horizontal="center" vertical="center"/>
    </xf>
    <xf numFmtId="0" fontId="38" fillId="4" borderId="18" xfId="1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9" xfId="1" applyFont="1" applyBorder="1" applyAlignment="1">
      <alignment horizontal="center" vertical="center"/>
    </xf>
    <xf numFmtId="0" fontId="0" fillId="0" borderId="18" xfId="1" applyFont="1" applyBorder="1" applyAlignment="1">
      <alignment horizontal="center" vertical="center"/>
    </xf>
    <xf numFmtId="0" fontId="0" fillId="0" borderId="7" xfId="0" applyBorder="1"/>
    <xf numFmtId="0" fontId="3" fillId="0" borderId="14" xfId="0" applyFont="1" applyBorder="1" applyAlignment="1">
      <alignment horizontal="center"/>
    </xf>
    <xf numFmtId="0" fontId="1" fillId="0" borderId="0" xfId="0" applyFont="1" applyAlignment="1">
      <alignment horizontal="center"/>
    </xf>
    <xf numFmtId="2" fontId="0" fillId="0" borderId="16" xfId="0" applyNumberFormat="1" applyBorder="1"/>
    <xf numFmtId="3" fontId="19" fillId="0" borderId="16" xfId="1" applyNumberFormat="1" applyFont="1" applyBorder="1" applyAlignment="1">
      <alignment horizontal="center" vertical="center"/>
    </xf>
    <xf numFmtId="3" fontId="14" fillId="0" borderId="16" xfId="0" applyNumberFormat="1" applyFont="1" applyBorder="1" applyAlignment="1">
      <alignment horizontal="center" vertical="center"/>
    </xf>
    <xf numFmtId="0" fontId="14" fillId="0" borderId="16" xfId="1" applyFont="1" applyBorder="1" applyAlignment="1">
      <alignment horizontal="left" vertical="center"/>
    </xf>
    <xf numFmtId="3" fontId="18" fillId="0" borderId="16" xfId="1" applyNumberFormat="1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4" fontId="14" fillId="0" borderId="16" xfId="0" applyNumberFormat="1" applyFont="1" applyBorder="1" applyAlignment="1">
      <alignment horizontal="center" vertical="center"/>
    </xf>
    <xf numFmtId="9" fontId="44" fillId="0" borderId="16" xfId="7" applyFont="1" applyBorder="1" applyAlignment="1">
      <alignment horizontal="center" vertical="center"/>
    </xf>
    <xf numFmtId="164" fontId="4" fillId="0" borderId="16" xfId="0" applyNumberFormat="1" applyFont="1" applyBorder="1"/>
    <xf numFmtId="0" fontId="4" fillId="0" borderId="16" xfId="0" applyFont="1" applyBorder="1"/>
    <xf numFmtId="2" fontId="4" fillId="0" borderId="16" xfId="0" applyNumberFormat="1" applyFont="1" applyBorder="1"/>
    <xf numFmtId="0" fontId="4" fillId="0" borderId="16" xfId="0" applyFont="1" applyBorder="1" applyAlignment="1">
      <alignment wrapText="1"/>
    </xf>
    <xf numFmtId="3" fontId="4" fillId="0" borderId="16" xfId="1" applyNumberFormat="1" applyFont="1" applyBorder="1" applyAlignment="1">
      <alignment horizontal="center" vertical="center"/>
    </xf>
    <xf numFmtId="0" fontId="28" fillId="5" borderId="16" xfId="0" applyFont="1" applyFill="1" applyBorder="1" applyAlignment="1">
      <alignment horizontal="left" vertical="center"/>
    </xf>
    <xf numFmtId="0" fontId="28" fillId="5" borderId="16" xfId="0" applyFont="1" applyFill="1" applyBorder="1" applyAlignment="1">
      <alignment horizontal="center" vertical="center"/>
    </xf>
    <xf numFmtId="0" fontId="42" fillId="5" borderId="16" xfId="0" applyFont="1" applyFill="1" applyBorder="1"/>
    <xf numFmtId="1" fontId="30" fillId="5" borderId="16" xfId="0" applyNumberFormat="1" applyFont="1" applyFill="1" applyBorder="1" applyAlignment="1">
      <alignment horizontal="center" vertical="center"/>
    </xf>
    <xf numFmtId="0" fontId="43" fillId="5" borderId="16" xfId="0" applyFont="1" applyFill="1" applyBorder="1"/>
    <xf numFmtId="3" fontId="18" fillId="0" borderId="22" xfId="1" applyNumberFormat="1" applyFont="1" applyBorder="1" applyAlignment="1">
      <alignment horizontal="center" vertical="center"/>
    </xf>
    <xf numFmtId="0" fontId="38" fillId="4" borderId="0" xfId="1" applyFont="1" applyFill="1" applyAlignment="1">
      <alignment horizontal="center" vertical="center"/>
    </xf>
    <xf numFmtId="0" fontId="38" fillId="4" borderId="23" xfId="1" applyFont="1" applyFill="1" applyBorder="1" applyAlignment="1">
      <alignment horizontal="center" vertical="center"/>
    </xf>
    <xf numFmtId="0" fontId="0" fillId="0" borderId="0" xfId="1" applyFont="1" applyAlignment="1">
      <alignment horizontal="center" vertical="center"/>
    </xf>
    <xf numFmtId="3" fontId="19" fillId="3" borderId="24" xfId="1" applyNumberFormat="1" applyFont="1" applyFill="1" applyBorder="1" applyAlignment="1">
      <alignment horizontal="center" vertical="center"/>
    </xf>
    <xf numFmtId="3" fontId="6" fillId="3" borderId="24" xfId="1" applyNumberFormat="1" applyFont="1" applyFill="1" applyBorder="1" applyAlignment="1">
      <alignment horizontal="center" vertical="center"/>
    </xf>
    <xf numFmtId="3" fontId="6" fillId="3" borderId="25" xfId="1" applyNumberFormat="1" applyFont="1" applyFill="1" applyBorder="1" applyAlignment="1">
      <alignment horizontal="center" vertical="center"/>
    </xf>
    <xf numFmtId="3" fontId="0" fillId="3" borderId="25" xfId="1" applyNumberFormat="1" applyFont="1" applyFill="1" applyBorder="1" applyAlignment="1">
      <alignment horizontal="center" vertical="center"/>
    </xf>
    <xf numFmtId="3" fontId="0" fillId="3" borderId="27" xfId="1" applyNumberFormat="1" applyFont="1" applyFill="1" applyBorder="1" applyAlignment="1">
      <alignment horizontal="center" vertical="center"/>
    </xf>
    <xf numFmtId="3" fontId="6" fillId="0" borderId="24" xfId="1" applyNumberFormat="1" applyFont="1" applyBorder="1" applyAlignment="1">
      <alignment horizontal="center" vertical="center"/>
    </xf>
    <xf numFmtId="3" fontId="6" fillId="0" borderId="25" xfId="1" applyNumberFormat="1" applyFont="1" applyBorder="1" applyAlignment="1">
      <alignment horizontal="center" vertical="center"/>
    </xf>
    <xf numFmtId="3" fontId="0" fillId="0" borderId="25" xfId="1" applyNumberFormat="1" applyFont="1" applyBorder="1" applyAlignment="1">
      <alignment horizontal="center" vertical="center"/>
    </xf>
    <xf numFmtId="3" fontId="0" fillId="0" borderId="27" xfId="1" applyNumberFormat="1" applyFont="1" applyBorder="1" applyAlignment="1">
      <alignment horizontal="center" vertical="center"/>
    </xf>
    <xf numFmtId="3" fontId="6" fillId="3" borderId="26" xfId="1" applyNumberFormat="1" applyFont="1" applyFill="1" applyBorder="1" applyAlignment="1">
      <alignment horizontal="center" vertical="center"/>
    </xf>
    <xf numFmtId="3" fontId="0" fillId="3" borderId="28" xfId="1" applyNumberFormat="1" applyFont="1" applyFill="1" applyBorder="1" applyAlignment="1">
      <alignment horizontal="center" vertical="center"/>
    </xf>
    <xf numFmtId="3" fontId="6" fillId="0" borderId="29" xfId="1" applyNumberFormat="1" applyFont="1" applyBorder="1" applyAlignment="1">
      <alignment horizontal="center" vertical="center"/>
    </xf>
    <xf numFmtId="3" fontId="0" fillId="0" borderId="15" xfId="1" applyNumberFormat="1" applyFont="1" applyBorder="1" applyAlignment="1">
      <alignment horizontal="center" vertical="center"/>
    </xf>
    <xf numFmtId="3" fontId="0" fillId="0" borderId="30" xfId="1" applyNumberFormat="1" applyFont="1" applyBorder="1" applyAlignment="1">
      <alignment horizontal="center" vertical="center"/>
    </xf>
    <xf numFmtId="2" fontId="1" fillId="3" borderId="0" xfId="1" applyNumberFormat="1" applyFill="1" applyAlignment="1">
      <alignment horizontal="center" vertical="center"/>
    </xf>
    <xf numFmtId="2" fontId="1" fillId="0" borderId="0" xfId="1" applyNumberFormat="1" applyAlignment="1">
      <alignment vertical="center"/>
    </xf>
    <xf numFmtId="2" fontId="1" fillId="3" borderId="0" xfId="1" applyNumberFormat="1" applyFill="1" applyAlignment="1">
      <alignment vertical="center"/>
    </xf>
    <xf numFmtId="2" fontId="1" fillId="0" borderId="0" xfId="1" applyNumberFormat="1" applyAlignment="1">
      <alignment horizontal="left" vertical="center"/>
    </xf>
    <xf numFmtId="2" fontId="6" fillId="0" borderId="0" xfId="1" applyNumberFormat="1" applyFont="1" applyAlignment="1">
      <alignment horizontal="center" vertical="center"/>
    </xf>
    <xf numFmtId="2" fontId="6" fillId="3" borderId="0" xfId="1" applyNumberFormat="1" applyFont="1" applyFill="1" applyAlignment="1">
      <alignment horizontal="center" vertical="center"/>
    </xf>
    <xf numFmtId="3" fontId="9" fillId="3" borderId="24" xfId="1" applyNumberFormat="1" applyFont="1" applyFill="1" applyBorder="1" applyAlignment="1">
      <alignment horizontal="center" vertical="center"/>
    </xf>
    <xf numFmtId="3" fontId="9" fillId="3" borderId="25" xfId="1" applyNumberFormat="1" applyFont="1" applyFill="1" applyBorder="1" applyAlignment="1">
      <alignment horizontal="center" vertical="center"/>
    </xf>
    <xf numFmtId="3" fontId="10" fillId="3" borderId="25" xfId="1" applyNumberFormat="1" applyFont="1" applyFill="1" applyBorder="1" applyAlignment="1">
      <alignment horizontal="center" vertical="center"/>
    </xf>
    <xf numFmtId="3" fontId="10" fillId="3" borderId="27" xfId="1" applyNumberFormat="1" applyFont="1" applyFill="1" applyBorder="1" applyAlignment="1">
      <alignment horizontal="center" vertical="center"/>
    </xf>
    <xf numFmtId="4" fontId="6" fillId="0" borderId="22" xfId="1" applyNumberFormat="1" applyFont="1" applyBorder="1" applyAlignment="1">
      <alignment horizontal="left" vertical="center"/>
    </xf>
    <xf numFmtId="0" fontId="3" fillId="0" borderId="16" xfId="0" applyFont="1" applyBorder="1" applyAlignment="1">
      <alignment horizontal="center"/>
    </xf>
    <xf numFmtId="4" fontId="6" fillId="0" borderId="22" xfId="1" applyNumberFormat="1" applyFont="1" applyBorder="1" applyAlignment="1">
      <alignment horizontal="center" vertical="center"/>
    </xf>
    <xf numFmtId="4" fontId="6" fillId="0" borderId="31" xfId="1" applyNumberFormat="1" applyFont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0" fillId="0" borderId="16" xfId="0" applyBorder="1" applyAlignment="1">
      <alignment horizontal="center"/>
    </xf>
    <xf numFmtId="4" fontId="1" fillId="8" borderId="16" xfId="1" applyNumberFormat="1" applyFill="1" applyBorder="1" applyAlignment="1">
      <alignment horizontal="left" vertical="center"/>
    </xf>
    <xf numFmtId="4" fontId="1" fillId="5" borderId="16" xfId="1" applyNumberFormat="1" applyFill="1" applyBorder="1" applyAlignment="1">
      <alignment horizontal="left" vertical="center"/>
    </xf>
    <xf numFmtId="4" fontId="1" fillId="9" borderId="16" xfId="1" applyNumberFormat="1" applyFill="1" applyBorder="1" applyAlignment="1">
      <alignment horizontal="left" vertical="center"/>
    </xf>
    <xf numFmtId="4" fontId="1" fillId="6" borderId="16" xfId="1" applyNumberFormat="1" applyFill="1" applyBorder="1" applyAlignment="1">
      <alignment horizontal="center" vertical="center"/>
    </xf>
    <xf numFmtId="4" fontId="1" fillId="9" borderId="16" xfId="1" applyNumberFormat="1" applyFill="1" applyBorder="1" applyAlignment="1">
      <alignment horizontal="center" vertical="center"/>
    </xf>
    <xf numFmtId="4" fontId="1" fillId="5" borderId="16" xfId="1" applyNumberFormat="1" applyFill="1" applyBorder="1" applyAlignment="1">
      <alignment horizontal="center" vertical="center"/>
    </xf>
    <xf numFmtId="4" fontId="1" fillId="8" borderId="16" xfId="1" applyNumberFormat="1" applyFill="1" applyBorder="1" applyAlignment="1">
      <alignment horizontal="center" vertical="center"/>
    </xf>
    <xf numFmtId="4" fontId="6" fillId="9" borderId="16" xfId="1" applyNumberFormat="1" applyFont="1" applyFill="1" applyBorder="1" applyAlignment="1">
      <alignment horizontal="center" vertical="center"/>
    </xf>
    <xf numFmtId="4" fontId="6" fillId="5" borderId="16" xfId="1" applyNumberFormat="1" applyFont="1" applyFill="1" applyBorder="1" applyAlignment="1">
      <alignment horizontal="center" vertical="center"/>
    </xf>
    <xf numFmtId="4" fontId="6" fillId="8" borderId="16" xfId="1" applyNumberFormat="1" applyFont="1" applyFill="1" applyBorder="1" applyAlignment="1">
      <alignment horizontal="center" vertical="center"/>
    </xf>
    <xf numFmtId="2" fontId="1" fillId="10" borderId="16" xfId="1" applyNumberFormat="1" applyFill="1" applyBorder="1" applyAlignment="1">
      <alignment horizontal="left" vertical="center"/>
    </xf>
    <xf numFmtId="4" fontId="6" fillId="11" borderId="16" xfId="1" applyNumberFormat="1" applyFont="1" applyFill="1" applyBorder="1" applyAlignment="1">
      <alignment horizontal="center" vertical="center"/>
    </xf>
    <xf numFmtId="3" fontId="1" fillId="11" borderId="16" xfId="1" applyNumberFormat="1" applyFill="1" applyBorder="1" applyAlignment="1">
      <alignment horizontal="left" vertical="center"/>
    </xf>
    <xf numFmtId="4" fontId="6" fillId="12" borderId="16" xfId="1" applyNumberFormat="1" applyFont="1" applyFill="1" applyBorder="1" applyAlignment="1">
      <alignment horizontal="center" vertical="center"/>
    </xf>
    <xf numFmtId="2" fontId="1" fillId="8" borderId="16" xfId="1" applyNumberFormat="1" applyFill="1" applyBorder="1" applyAlignment="1">
      <alignment horizontal="center" vertical="center"/>
    </xf>
    <xf numFmtId="2" fontId="1" fillId="14" borderId="16" xfId="1" applyNumberFormat="1" applyFill="1" applyBorder="1" applyAlignment="1">
      <alignment horizontal="center" vertical="center"/>
    </xf>
    <xf numFmtId="2" fontId="1" fillId="9" borderId="16" xfId="1" applyNumberFormat="1" applyFill="1" applyBorder="1" applyAlignment="1">
      <alignment horizontal="center" vertical="center"/>
    </xf>
    <xf numFmtId="4" fontId="6" fillId="6" borderId="16" xfId="1" applyNumberFormat="1" applyFont="1" applyFill="1" applyBorder="1" applyAlignment="1">
      <alignment horizontal="center" vertical="center"/>
    </xf>
    <xf numFmtId="4" fontId="6" fillId="10" borderId="16" xfId="1" applyNumberFormat="1" applyFont="1" applyFill="1" applyBorder="1" applyAlignment="1">
      <alignment horizontal="center" vertical="center"/>
    </xf>
    <xf numFmtId="2" fontId="1" fillId="10" borderId="16" xfId="1" applyNumberFormat="1" applyFill="1" applyBorder="1" applyAlignment="1">
      <alignment horizontal="center" vertical="center"/>
    </xf>
    <xf numFmtId="0" fontId="1" fillId="12" borderId="16" xfId="1" applyFill="1" applyBorder="1" applyAlignment="1">
      <alignment horizontal="center" vertical="center"/>
    </xf>
    <xf numFmtId="4" fontId="6" fillId="12" borderId="0" xfId="1" applyNumberFormat="1" applyFont="1" applyFill="1" applyAlignment="1">
      <alignment horizontal="center" vertical="center"/>
    </xf>
    <xf numFmtId="2" fontId="6" fillId="12" borderId="16" xfId="7" applyNumberFormat="1" applyFont="1" applyFill="1" applyBorder="1" applyAlignment="1">
      <alignment horizontal="center" vertical="center"/>
    </xf>
    <xf numFmtId="2" fontId="1" fillId="15" borderId="16" xfId="1" applyNumberFormat="1" applyFill="1" applyBorder="1" applyAlignment="1">
      <alignment horizontal="center" vertical="center"/>
    </xf>
    <xf numFmtId="10" fontId="1" fillId="13" borderId="16" xfId="7" applyNumberFormat="1" applyFill="1" applyBorder="1" applyAlignment="1">
      <alignment horizontal="center" vertical="center"/>
    </xf>
    <xf numFmtId="3" fontId="19" fillId="0" borderId="16" xfId="1" applyNumberFormat="1" applyFont="1" applyBorder="1" applyAlignment="1">
      <alignment horizontal="left" vertical="center"/>
    </xf>
    <xf numFmtId="0" fontId="46" fillId="0" borderId="16" xfId="0" applyFont="1" applyBorder="1" applyAlignment="1">
      <alignment horizontal="center"/>
    </xf>
    <xf numFmtId="0" fontId="19" fillId="0" borderId="16" xfId="0" applyFont="1" applyBorder="1"/>
    <xf numFmtId="2" fontId="19" fillId="0" borderId="16" xfId="0" applyNumberFormat="1" applyFont="1" applyBorder="1"/>
    <xf numFmtId="4" fontId="19" fillId="0" borderId="16" xfId="1" applyNumberFormat="1" applyFont="1" applyBorder="1" applyAlignment="1">
      <alignment horizontal="center" vertical="center"/>
    </xf>
    <xf numFmtId="9" fontId="48" fillId="0" borderId="0" xfId="7" applyFont="1" applyAlignment="1">
      <alignment horizontal="center" vertical="center"/>
    </xf>
    <xf numFmtId="9" fontId="11" fillId="0" borderId="0" xfId="7" applyFont="1" applyAlignment="1">
      <alignment horizontal="center" vertical="center"/>
    </xf>
    <xf numFmtId="0" fontId="19" fillId="5" borderId="16" xfId="0" applyFont="1" applyFill="1" applyBorder="1"/>
    <xf numFmtId="2" fontId="19" fillId="5" borderId="16" xfId="0" applyNumberFormat="1" applyFont="1" applyFill="1" applyBorder="1"/>
    <xf numFmtId="0" fontId="19" fillId="8" borderId="16" xfId="0" applyFont="1" applyFill="1" applyBorder="1"/>
    <xf numFmtId="2" fontId="19" fillId="8" borderId="16" xfId="0" applyNumberFormat="1" applyFont="1" applyFill="1" applyBorder="1"/>
    <xf numFmtId="4" fontId="19" fillId="16" borderId="16" xfId="1" applyNumberFormat="1" applyFont="1" applyFill="1" applyBorder="1" applyAlignment="1">
      <alignment horizontal="center" vertical="center" wrapText="1"/>
    </xf>
    <xf numFmtId="4" fontId="19" fillId="16" borderId="16" xfId="1" applyNumberFormat="1" applyFont="1" applyFill="1" applyBorder="1" applyAlignment="1">
      <alignment horizontal="left" vertical="center"/>
    </xf>
    <xf numFmtId="4" fontId="19" fillId="16" borderId="16" xfId="1" applyNumberFormat="1" applyFont="1" applyFill="1" applyBorder="1" applyAlignment="1">
      <alignment horizontal="center" vertical="center"/>
    </xf>
    <xf numFmtId="4" fontId="19" fillId="17" borderId="16" xfId="1" applyNumberFormat="1" applyFont="1" applyFill="1" applyBorder="1" applyAlignment="1">
      <alignment horizontal="center" vertical="center" wrapText="1"/>
    </xf>
    <xf numFmtId="4" fontId="19" fillId="17" borderId="16" xfId="1" applyNumberFormat="1" applyFont="1" applyFill="1" applyBorder="1" applyAlignment="1">
      <alignment horizontal="left" vertical="center"/>
    </xf>
    <xf numFmtId="4" fontId="19" fillId="18" borderId="16" xfId="1" applyNumberFormat="1" applyFont="1" applyFill="1" applyBorder="1" applyAlignment="1">
      <alignment horizontal="center" vertical="center"/>
    </xf>
    <xf numFmtId="4" fontId="19" fillId="18" borderId="16" xfId="1" applyNumberFormat="1" applyFont="1" applyFill="1" applyBorder="1" applyAlignment="1">
      <alignment horizontal="left" vertical="center"/>
    </xf>
    <xf numFmtId="4" fontId="19" fillId="19" borderId="16" xfId="1" applyNumberFormat="1" applyFont="1" applyFill="1" applyBorder="1" applyAlignment="1">
      <alignment horizontal="center" vertical="center"/>
    </xf>
    <xf numFmtId="4" fontId="19" fillId="19" borderId="16" xfId="1" applyNumberFormat="1" applyFont="1" applyFill="1" applyBorder="1" applyAlignment="1">
      <alignment horizontal="left" vertical="center"/>
    </xf>
    <xf numFmtId="4" fontId="19" fillId="5" borderId="16" xfId="1" applyNumberFormat="1" applyFont="1" applyFill="1" applyBorder="1" applyAlignment="1">
      <alignment horizontal="center" vertical="center"/>
    </xf>
    <xf numFmtId="4" fontId="19" fillId="5" borderId="16" xfId="1" applyNumberFormat="1" applyFont="1" applyFill="1" applyBorder="1" applyAlignment="1">
      <alignment horizontal="left" vertical="center"/>
    </xf>
    <xf numFmtId="4" fontId="19" fillId="20" borderId="16" xfId="1" applyNumberFormat="1" applyFont="1" applyFill="1" applyBorder="1" applyAlignment="1">
      <alignment horizontal="center" vertical="center"/>
    </xf>
    <xf numFmtId="4" fontId="19" fillId="20" borderId="16" xfId="1" applyNumberFormat="1" applyFont="1" applyFill="1" applyBorder="1" applyAlignment="1">
      <alignment horizontal="left" vertical="center"/>
    </xf>
    <xf numFmtId="3" fontId="9" fillId="0" borderId="0" xfId="1" applyNumberFormat="1" applyFont="1" applyAlignment="1">
      <alignment horizontal="center" vertical="center"/>
    </xf>
    <xf numFmtId="3" fontId="9" fillId="0" borderId="21" xfId="1" applyNumberFormat="1" applyFont="1" applyBorder="1" applyAlignment="1">
      <alignment horizontal="center" vertical="center"/>
    </xf>
    <xf numFmtId="0" fontId="0" fillId="0" borderId="16" xfId="0" pivotButton="1" applyBorder="1"/>
    <xf numFmtId="0" fontId="0" fillId="0" borderId="16" xfId="0" applyBorder="1" applyAlignment="1">
      <alignment horizontal="left"/>
    </xf>
    <xf numFmtId="0" fontId="1" fillId="7" borderId="16" xfId="1" applyFill="1" applyBorder="1" applyAlignment="1">
      <alignment horizontal="center" vertical="center"/>
    </xf>
    <xf numFmtId="0" fontId="45" fillId="0" borderId="16" xfId="1" applyFont="1" applyBorder="1" applyAlignment="1">
      <alignment horizontal="center" vertical="center" wrapText="1"/>
    </xf>
    <xf numFmtId="0" fontId="45" fillId="0" borderId="16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2" fontId="47" fillId="0" borderId="16" xfId="1" applyNumberFormat="1" applyFont="1" applyBorder="1" applyAlignment="1">
      <alignment horizontal="right" vertical="center"/>
    </xf>
    <xf numFmtId="2" fontId="47" fillId="0" borderId="16" xfId="1" applyNumberFormat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0" fontId="49" fillId="0" borderId="0" xfId="1" applyFont="1" applyAlignment="1">
      <alignment vertical="center"/>
    </xf>
    <xf numFmtId="4" fontId="47" fillId="0" borderId="4" xfId="1" applyNumberFormat="1" applyFont="1" applyBorder="1" applyAlignment="1">
      <alignment horizontal="left" vertical="center"/>
    </xf>
    <xf numFmtId="9" fontId="47" fillId="0" borderId="16" xfId="7" applyFont="1" applyBorder="1" applyAlignment="1">
      <alignment horizontal="center" vertical="center"/>
    </xf>
    <xf numFmtId="3" fontId="4" fillId="0" borderId="16" xfId="1" applyNumberFormat="1" applyFont="1" applyBorder="1" applyAlignment="1">
      <alignment horizontal="center" vertical="center" wrapText="1"/>
    </xf>
    <xf numFmtId="0" fontId="0" fillId="16" borderId="16" xfId="0" applyFill="1" applyBorder="1"/>
    <xf numFmtId="2" fontId="0" fillId="16" borderId="16" xfId="0" applyNumberFormat="1" applyFill="1" applyBorder="1"/>
    <xf numFmtId="0" fontId="0" fillId="5" borderId="16" xfId="0" applyFill="1" applyBorder="1"/>
    <xf numFmtId="2" fontId="0" fillId="5" borderId="16" xfId="0" applyNumberFormat="1" applyFill="1" applyBorder="1"/>
    <xf numFmtId="0" fontId="0" fillId="8" borderId="16" xfId="0" applyFill="1" applyBorder="1"/>
    <xf numFmtId="2" fontId="0" fillId="8" borderId="16" xfId="0" applyNumberFormat="1" applyFill="1" applyBorder="1"/>
    <xf numFmtId="165" fontId="4" fillId="0" borderId="16" xfId="1" applyNumberFormat="1" applyFont="1" applyBorder="1" applyAlignment="1">
      <alignment horizontal="center" vertical="center"/>
    </xf>
    <xf numFmtId="4" fontId="4" fillId="0" borderId="16" xfId="1" applyNumberFormat="1" applyFont="1" applyBorder="1" applyAlignment="1">
      <alignment horizontal="center" vertical="center"/>
    </xf>
    <xf numFmtId="0" fontId="1" fillId="17" borderId="16" xfId="1" applyFill="1" applyBorder="1" applyAlignment="1">
      <alignment horizontal="left" vertical="center"/>
    </xf>
    <xf numFmtId="0" fontId="1" fillId="14" borderId="16" xfId="1" applyFill="1" applyBorder="1" applyAlignment="1">
      <alignment horizontal="left" vertical="center"/>
    </xf>
    <xf numFmtId="4" fontId="6" fillId="7" borderId="16" xfId="1" applyNumberFormat="1" applyFont="1" applyFill="1" applyBorder="1" applyAlignment="1">
      <alignment horizontal="left" vertical="center"/>
    </xf>
    <xf numFmtId="4" fontId="6" fillId="21" borderId="16" xfId="1" applyNumberFormat="1" applyFont="1" applyFill="1" applyBorder="1" applyAlignment="1">
      <alignment horizontal="left" vertical="center"/>
    </xf>
    <xf numFmtId="4" fontId="6" fillId="19" borderId="16" xfId="1" applyNumberFormat="1" applyFont="1" applyFill="1" applyBorder="1" applyAlignment="1">
      <alignment horizontal="left" vertical="center"/>
    </xf>
    <xf numFmtId="2" fontId="6" fillId="0" borderId="16" xfId="1" applyNumberFormat="1" applyFont="1" applyBorder="1" applyAlignment="1">
      <alignment horizontal="center" vertical="center"/>
    </xf>
    <xf numFmtId="2" fontId="6" fillId="17" borderId="16" xfId="1" applyNumberFormat="1" applyFont="1" applyFill="1" applyBorder="1" applyAlignment="1">
      <alignment horizontal="left" vertical="center"/>
    </xf>
    <xf numFmtId="2" fontId="6" fillId="14" borderId="16" xfId="1" applyNumberFormat="1" applyFont="1" applyFill="1" applyBorder="1" applyAlignment="1">
      <alignment horizontal="left" vertical="center"/>
    </xf>
    <xf numFmtId="2" fontId="6" fillId="7" borderId="16" xfId="1" applyNumberFormat="1" applyFont="1" applyFill="1" applyBorder="1" applyAlignment="1">
      <alignment horizontal="center" vertical="center"/>
    </xf>
    <xf numFmtId="2" fontId="6" fillId="21" borderId="16" xfId="1" applyNumberFormat="1" applyFont="1" applyFill="1" applyBorder="1" applyAlignment="1">
      <alignment horizontal="center" vertical="center"/>
    </xf>
    <xf numFmtId="2" fontId="6" fillId="19" borderId="16" xfId="1" applyNumberFormat="1" applyFont="1" applyFill="1" applyBorder="1" applyAlignment="1">
      <alignment horizontal="center" vertical="center"/>
    </xf>
    <xf numFmtId="0" fontId="1" fillId="0" borderId="32" xfId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0" fontId="1" fillId="0" borderId="33" xfId="1" applyBorder="1" applyAlignment="1">
      <alignment horizontal="center" vertical="center"/>
    </xf>
    <xf numFmtId="4" fontId="13" fillId="0" borderId="0" xfId="1" applyNumberFormat="1" applyFont="1" applyAlignment="1">
      <alignment horizontal="center" vertical="center"/>
    </xf>
    <xf numFmtId="4" fontId="12" fillId="0" borderId="0" xfId="1" applyNumberFormat="1" applyFont="1" applyAlignment="1">
      <alignment horizontal="center" vertical="center"/>
    </xf>
    <xf numFmtId="3" fontId="12" fillId="0" borderId="0" xfId="1" quotePrefix="1" applyNumberFormat="1" applyFont="1" applyAlignment="1">
      <alignment horizontal="center" vertical="center"/>
    </xf>
    <xf numFmtId="3" fontId="25" fillId="0" borderId="0" xfId="1" applyNumberFormat="1" applyFont="1" applyAlignment="1">
      <alignment horizontal="center" vertical="center"/>
    </xf>
  </cellXfs>
  <cellStyles count="8">
    <cellStyle name="Normal" xfId="0" builtinId="0"/>
    <cellStyle name="Normal 2" xfId="1" xr:uid="{E407050A-B03F-4988-981D-5CD899E98422}"/>
    <cellStyle name="Normal 2 2" xfId="5" xr:uid="{0ED8D63C-E5A1-4F9A-BB12-900581F02A19}"/>
    <cellStyle name="Normal 3" xfId="2" xr:uid="{52BB560D-D37B-4815-ABBD-1EBA91C35E87}"/>
    <cellStyle name="Per cent 2" xfId="3" xr:uid="{663C3378-9759-4ADD-98F3-DBA5C391FCC7}"/>
    <cellStyle name="Per cent 2 2" xfId="6" xr:uid="{A474AFDB-90A5-4CFD-955C-910C4BB489E9}"/>
    <cellStyle name="Percent" xfId="7" builtinId="5"/>
    <cellStyle name="Percent 2" xfId="4" xr:uid="{9D48A9B0-E030-44DB-BAEB-9134ADD0E379}"/>
  </cellStyles>
  <dxfs count="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/>
        <right style="thin">
          <color theme="4"/>
        </right>
        <top style="thin">
          <color theme="4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/>
        </top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1" defaultTableStyle="TableStyleMedium2" defaultPivotStyle="PivotStyleLight16">
    <tableStyle name="Invisible" pivot="0" table="0" count="0" xr9:uid="{0EB2A0D4-A43E-4C99-8ED6-B902976F34AB}"/>
  </tableStyles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[MIS171_T2_s224741522_.xlsx]Q1.1!PivotTable1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2800" b="1"/>
              <a:t>WEATHER</a:t>
            </a:r>
          </a:p>
        </c:rich>
      </c:tx>
      <c:layout>
        <c:manualLayout>
          <c:xMode val="edge"/>
          <c:yMode val="edge"/>
          <c:x val="0.4622809008412887"/>
          <c:y val="3.46078857330672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6222368171996021E-2"/>
          <c:y val="0.11476311797906756"/>
          <c:w val="0.83932607153272232"/>
          <c:h val="0.83057627109388121"/>
        </c:manualLayout>
      </c:layout>
      <c:pie3DChart>
        <c:varyColors val="1"/>
        <c:ser>
          <c:idx val="0"/>
          <c:order val="0"/>
          <c:tx>
            <c:strRef>
              <c:f>'Q1.1'!$F$19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E40-4363-B3AB-0470B555A95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E40-4363-B3AB-0470B555A956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E40-4363-B3AB-0470B555A956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40-4363-B3AB-0470B555A956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E40-4363-B3AB-0470B555A956}"/>
                </c:ext>
              </c:extLst>
            </c:dLbl>
            <c:dLbl>
              <c:idx val="2"/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E40-4363-B3AB-0470B555A9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'Q1.1'!$E$20:$E$23</c:f>
              <c:strCache>
                <c:ptCount val="3"/>
                <c:pt idx="0">
                  <c:v>Clear</c:v>
                </c:pt>
                <c:pt idx="1">
                  <c:v>Cloudy</c:v>
                </c:pt>
                <c:pt idx="2">
                  <c:v>Rain</c:v>
                </c:pt>
              </c:strCache>
            </c:strRef>
          </c:cat>
          <c:val>
            <c:numRef>
              <c:f>'Q1.1'!$F$20:$F$23</c:f>
              <c:numCache>
                <c:formatCode>0.00%</c:formatCode>
                <c:ptCount val="3"/>
                <c:pt idx="0">
                  <c:v>0.61917808219178083</c:v>
                </c:pt>
                <c:pt idx="1">
                  <c:v>0.33972602739726027</c:v>
                </c:pt>
                <c:pt idx="2">
                  <c:v>4.1095890410958902E-2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AF-4BB0-9022-CD04D02738D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546489576054184"/>
          <c:y val="0.77437873406727109"/>
          <c:w val="0.12185951863675586"/>
          <c:h val="0.219447021358602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[MIS171_T2_s224741522_.xlsx]Q2.1!PivotTable3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rental acivities as per weather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'Q2.1'!$E$24:$E$25</c:f>
              <c:strCache>
                <c:ptCount val="1"/>
                <c:pt idx="0">
                  <c:v>Busy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'Q2.1'!$D$26:$D$29</c:f>
              <c:strCache>
                <c:ptCount val="3"/>
                <c:pt idx="0">
                  <c:v>Clear</c:v>
                </c:pt>
                <c:pt idx="1">
                  <c:v>Cloudy</c:v>
                </c:pt>
                <c:pt idx="2">
                  <c:v>Rain</c:v>
                </c:pt>
              </c:strCache>
            </c:strRef>
          </c:cat>
          <c:val>
            <c:numRef>
              <c:f>'Q2.1'!$E$26:$E$29</c:f>
              <c:numCache>
                <c:formatCode>0.00%</c:formatCode>
                <c:ptCount val="3"/>
                <c:pt idx="0">
                  <c:v>6.575342465753424E-2</c:v>
                </c:pt>
                <c:pt idx="1">
                  <c:v>3.287671232876712E-2</c:v>
                </c:pt>
                <c:pt idx="2">
                  <c:v>8.21917808219178E-3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51-4A8C-8333-F0E21804101C}"/>
            </c:ext>
          </c:extLst>
        </c:ser>
        <c:ser>
          <c:idx val="1"/>
          <c:order val="1"/>
          <c:tx>
            <c:strRef>
              <c:f>'Q2.1'!$F$24:$F$25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'Q2.1'!$D$26:$D$29</c:f>
              <c:strCache>
                <c:ptCount val="3"/>
                <c:pt idx="0">
                  <c:v>Clear</c:v>
                </c:pt>
                <c:pt idx="1">
                  <c:v>Cloudy</c:v>
                </c:pt>
                <c:pt idx="2">
                  <c:v>Rain</c:v>
                </c:pt>
              </c:strCache>
            </c:strRef>
          </c:cat>
          <c:val>
            <c:numRef>
              <c:f>'Q2.1'!$F$26:$F$29</c:f>
              <c:numCache>
                <c:formatCode>0.00%</c:formatCode>
                <c:ptCount val="3"/>
                <c:pt idx="0">
                  <c:v>0.27397260273972601</c:v>
                </c:pt>
                <c:pt idx="1">
                  <c:v>0.15616438356164383</c:v>
                </c:pt>
                <c:pt idx="2">
                  <c:v>2.1917808219178082E-2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51-4A8C-8333-F0E21804101C}"/>
            </c:ext>
          </c:extLst>
        </c:ser>
        <c:ser>
          <c:idx val="2"/>
          <c:order val="2"/>
          <c:tx>
            <c:strRef>
              <c:f>'Q2.1'!$G$24:$G$25</c:f>
              <c:strCache>
                <c:ptCount val="1"/>
                <c:pt idx="0">
                  <c:v>Modest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'Q2.1'!$D$26:$D$29</c:f>
              <c:strCache>
                <c:ptCount val="3"/>
                <c:pt idx="0">
                  <c:v>Clear</c:v>
                </c:pt>
                <c:pt idx="1">
                  <c:v>Cloudy</c:v>
                </c:pt>
                <c:pt idx="2">
                  <c:v>Rain</c:v>
                </c:pt>
              </c:strCache>
            </c:strRef>
          </c:cat>
          <c:val>
            <c:numRef>
              <c:f>'Q2.1'!$G$26:$G$29</c:f>
              <c:numCache>
                <c:formatCode>0.00%</c:formatCode>
                <c:ptCount val="3"/>
                <c:pt idx="0">
                  <c:v>0.12328767123287671</c:v>
                </c:pt>
                <c:pt idx="1">
                  <c:v>9.3150684931506855E-2</c:v>
                </c:pt>
                <c:pt idx="2">
                  <c:v>5.4794520547945206E-3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51-4A8C-8333-F0E21804101C}"/>
            </c:ext>
          </c:extLst>
        </c:ser>
        <c:ser>
          <c:idx val="3"/>
          <c:order val="3"/>
          <c:tx>
            <c:strRef>
              <c:f>'Q2.1'!$H$24:$H$25</c:f>
              <c:strCache>
                <c:ptCount val="1"/>
                <c:pt idx="0">
                  <c:v>Quiet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'Q2.1'!$D$26:$D$29</c:f>
              <c:strCache>
                <c:ptCount val="3"/>
                <c:pt idx="0">
                  <c:v>Clear</c:v>
                </c:pt>
                <c:pt idx="1">
                  <c:v>Cloudy</c:v>
                </c:pt>
                <c:pt idx="2">
                  <c:v>Rain</c:v>
                </c:pt>
              </c:strCache>
            </c:strRef>
          </c:cat>
          <c:val>
            <c:numRef>
              <c:f>'Q2.1'!$H$26:$H$29</c:f>
              <c:numCache>
                <c:formatCode>0.00%</c:formatCode>
                <c:ptCount val="3"/>
                <c:pt idx="0">
                  <c:v>0.15616438356164383</c:v>
                </c:pt>
                <c:pt idx="1">
                  <c:v>5.7534246575342465E-2</c:v>
                </c:pt>
                <c:pt idx="2">
                  <c:v>5.4794520547945206E-3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51-4A8C-8333-F0E218041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52934240"/>
        <c:axId val="952927520"/>
        <c:axId val="0"/>
      </c:bar3DChart>
      <c:catAx>
        <c:axId val="9529342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927520"/>
        <c:crosses val="autoZero"/>
        <c:auto val="1"/>
        <c:lblAlgn val="ctr"/>
        <c:lblOffset val="100"/>
        <c:noMultiLvlLbl val="0"/>
      </c:catAx>
      <c:valAx>
        <c:axId val="952927520"/>
        <c:scaling>
          <c:orientation val="minMax"/>
        </c:scaling>
        <c:delete val="0"/>
        <c:axPos val="b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93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403097699590471"/>
          <c:y val="0.31910935639100113"/>
          <c:w val="9.1860487544524819E-2"/>
          <c:h val="0.22120451003836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[MIS171_T2_s224741522_.xlsx]Q2.2!PivotTable4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bikeHired per season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'Q2.2'!$D$23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'Q2.2'!$C$24:$C$28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'Q2.2'!$D$24:$D$28</c:f>
              <c:numCache>
                <c:formatCode>General</c:formatCode>
                <c:ptCount val="4"/>
                <c:pt idx="0">
                  <c:v>7164</c:v>
                </c:pt>
                <c:pt idx="1">
                  <c:v>5889</c:v>
                </c:pt>
                <c:pt idx="2">
                  <c:v>8251</c:v>
                </c:pt>
                <c:pt idx="3">
                  <c:v>3554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31-4E0C-A2A6-7E987D860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71202912"/>
        <c:axId val="1071204352"/>
        <c:axId val="0"/>
      </c:bar3DChart>
      <c:catAx>
        <c:axId val="107120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204352"/>
        <c:crosses val="autoZero"/>
        <c:auto val="1"/>
        <c:lblAlgn val="ctr"/>
        <c:lblOffset val="100"/>
        <c:noMultiLvlLbl val="0"/>
      </c:catAx>
      <c:valAx>
        <c:axId val="107120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20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&amp; pBike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164130333025523E-2"/>
          <c:y val="0.11477709082961154"/>
          <c:w val="0.88024546705143003"/>
          <c:h val="0.8134345651210374"/>
        </c:manualLayout>
      </c:layout>
      <c:scatterChart>
        <c:scatterStyle val="lineMarker"/>
        <c:varyColors val="0"/>
        <c:ser>
          <c:idx val="0"/>
          <c:order val="0"/>
          <c:tx>
            <c:strRef>
              <c:f>'Q2.3'!$AC$1</c:f>
              <c:strCache>
                <c:ptCount val="1"/>
                <c:pt idx="0">
                  <c:v>pBike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5">
                  <a:shade val="76000"/>
                </a:schemeClr>
              </a:solidFill>
              <a:ln w="9525">
                <a:solidFill>
                  <a:schemeClr val="accent5">
                    <a:shade val="76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5">
                    <a:shade val="76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'Q2.3'!$AB$2:$AB$366</c:f>
              <c:numCache>
                <c:formatCode>0.00</c:formatCode>
                <c:ptCount val="365"/>
                <c:pt idx="0">
                  <c:v>32.250015000000005</c:v>
                </c:pt>
                <c:pt idx="1">
                  <c:v>32.700015</c:v>
                </c:pt>
                <c:pt idx="2">
                  <c:v>33.600014999999999</c:v>
                </c:pt>
                <c:pt idx="3">
                  <c:v>32.4</c:v>
                </c:pt>
                <c:pt idx="4">
                  <c:v>33.75</c:v>
                </c:pt>
                <c:pt idx="5">
                  <c:v>31.912514999999999</c:v>
                </c:pt>
                <c:pt idx="6">
                  <c:v>32.999985000000002</c:v>
                </c:pt>
                <c:pt idx="7">
                  <c:v>33.637500000000003</c:v>
                </c:pt>
                <c:pt idx="8">
                  <c:v>34.3125</c:v>
                </c:pt>
                <c:pt idx="9">
                  <c:v>35.737514999999995</c:v>
                </c:pt>
                <c:pt idx="10">
                  <c:v>33.600014999999999</c:v>
                </c:pt>
                <c:pt idx="11">
                  <c:v>30.637485000000002</c:v>
                </c:pt>
                <c:pt idx="12">
                  <c:v>29.849984999999997</c:v>
                </c:pt>
                <c:pt idx="13">
                  <c:v>30.900015</c:v>
                </c:pt>
                <c:pt idx="14">
                  <c:v>32.362515000000002</c:v>
                </c:pt>
                <c:pt idx="15">
                  <c:v>33.600014999999999</c:v>
                </c:pt>
                <c:pt idx="16">
                  <c:v>34.950015</c:v>
                </c:pt>
                <c:pt idx="17">
                  <c:v>34.574985000000005</c:v>
                </c:pt>
                <c:pt idx="18">
                  <c:v>36.674999999999997</c:v>
                </c:pt>
                <c:pt idx="19">
                  <c:v>38.174985</c:v>
                </c:pt>
                <c:pt idx="20">
                  <c:v>38.212515000000003</c:v>
                </c:pt>
                <c:pt idx="21">
                  <c:v>37.35</c:v>
                </c:pt>
                <c:pt idx="22">
                  <c:v>33.449984999999998</c:v>
                </c:pt>
                <c:pt idx="23">
                  <c:v>34.725014999999999</c:v>
                </c:pt>
                <c:pt idx="24">
                  <c:v>34.875</c:v>
                </c:pt>
                <c:pt idx="25">
                  <c:v>35.062515000000005</c:v>
                </c:pt>
                <c:pt idx="26">
                  <c:v>37.724984999999997</c:v>
                </c:pt>
                <c:pt idx="27">
                  <c:v>36.187514999999998</c:v>
                </c:pt>
                <c:pt idx="28">
                  <c:v>36.262484999999998</c:v>
                </c:pt>
                <c:pt idx="29">
                  <c:v>34.725014999999999</c:v>
                </c:pt>
                <c:pt idx="30">
                  <c:v>35.249984999999995</c:v>
                </c:pt>
                <c:pt idx="31">
                  <c:v>32.925014999999995</c:v>
                </c:pt>
                <c:pt idx="32">
                  <c:v>31.95</c:v>
                </c:pt>
                <c:pt idx="33">
                  <c:v>31.987485000000003</c:v>
                </c:pt>
                <c:pt idx="34">
                  <c:v>32.250015000000005</c:v>
                </c:pt>
                <c:pt idx="35">
                  <c:v>33.412500000000001</c:v>
                </c:pt>
                <c:pt idx="36">
                  <c:v>34.424999999999997</c:v>
                </c:pt>
                <c:pt idx="37">
                  <c:v>34.875</c:v>
                </c:pt>
                <c:pt idx="38">
                  <c:v>34.500014999999998</c:v>
                </c:pt>
                <c:pt idx="39">
                  <c:v>32.287500000000001</c:v>
                </c:pt>
                <c:pt idx="40">
                  <c:v>31.874984999999999</c:v>
                </c:pt>
                <c:pt idx="41">
                  <c:v>30.862485</c:v>
                </c:pt>
                <c:pt idx="42">
                  <c:v>30.450015</c:v>
                </c:pt>
                <c:pt idx="43">
                  <c:v>29.962485000000001</c:v>
                </c:pt>
                <c:pt idx="44">
                  <c:v>31.537485</c:v>
                </c:pt>
                <c:pt idx="45">
                  <c:v>32.549985</c:v>
                </c:pt>
                <c:pt idx="46">
                  <c:v>32.025015000000003</c:v>
                </c:pt>
                <c:pt idx="47">
                  <c:v>30.825000000000003</c:v>
                </c:pt>
                <c:pt idx="48">
                  <c:v>31.387499999999999</c:v>
                </c:pt>
                <c:pt idx="49">
                  <c:v>31.987485000000003</c:v>
                </c:pt>
                <c:pt idx="50">
                  <c:v>31.125015000000001</c:v>
                </c:pt>
                <c:pt idx="51">
                  <c:v>28.837485000000001</c:v>
                </c:pt>
                <c:pt idx="52">
                  <c:v>30.299985</c:v>
                </c:pt>
                <c:pt idx="53">
                  <c:v>30.787514999999999</c:v>
                </c:pt>
                <c:pt idx="54">
                  <c:v>31.499999999999996</c:v>
                </c:pt>
                <c:pt idx="55">
                  <c:v>30.6</c:v>
                </c:pt>
                <c:pt idx="56">
                  <c:v>31.817654999999998</c:v>
                </c:pt>
                <c:pt idx="57">
                  <c:v>28.650015</c:v>
                </c:pt>
                <c:pt idx="58">
                  <c:v>28.762515</c:v>
                </c:pt>
                <c:pt idx="59">
                  <c:v>29.550014999999998</c:v>
                </c:pt>
                <c:pt idx="60">
                  <c:v>29.475000000000001</c:v>
                </c:pt>
                <c:pt idx="61">
                  <c:v>28.949985000000002</c:v>
                </c:pt>
                <c:pt idx="62">
                  <c:v>30.112514999999998</c:v>
                </c:pt>
                <c:pt idx="63">
                  <c:v>31.912514999999999</c:v>
                </c:pt>
                <c:pt idx="64">
                  <c:v>30.299985</c:v>
                </c:pt>
                <c:pt idx="65">
                  <c:v>24.3</c:v>
                </c:pt>
                <c:pt idx="66">
                  <c:v>26.962515</c:v>
                </c:pt>
                <c:pt idx="67">
                  <c:v>28.526084999999998</c:v>
                </c:pt>
                <c:pt idx="68">
                  <c:v>29.25</c:v>
                </c:pt>
                <c:pt idx="69">
                  <c:v>29.700000000000003</c:v>
                </c:pt>
                <c:pt idx="70">
                  <c:v>29.399985000000001</c:v>
                </c:pt>
                <c:pt idx="71">
                  <c:v>28.995660000000001</c:v>
                </c:pt>
                <c:pt idx="72">
                  <c:v>29.287485</c:v>
                </c:pt>
                <c:pt idx="73">
                  <c:v>30.299985</c:v>
                </c:pt>
                <c:pt idx="74">
                  <c:v>25.987500000000001</c:v>
                </c:pt>
                <c:pt idx="75">
                  <c:v>21.112514999999998</c:v>
                </c:pt>
                <c:pt idx="76">
                  <c:v>22.125015000000001</c:v>
                </c:pt>
                <c:pt idx="77">
                  <c:v>22.837499999999999</c:v>
                </c:pt>
                <c:pt idx="78">
                  <c:v>24.712515</c:v>
                </c:pt>
                <c:pt idx="79">
                  <c:v>25.275015</c:v>
                </c:pt>
                <c:pt idx="80">
                  <c:v>26.774999999999999</c:v>
                </c:pt>
                <c:pt idx="81">
                  <c:v>28.274985000000001</c:v>
                </c:pt>
                <c:pt idx="82">
                  <c:v>27.412514999999999</c:v>
                </c:pt>
                <c:pt idx="83">
                  <c:v>27.300014999999998</c:v>
                </c:pt>
                <c:pt idx="84">
                  <c:v>28.537515000000003</c:v>
                </c:pt>
                <c:pt idx="85">
                  <c:v>29.212515000000003</c:v>
                </c:pt>
                <c:pt idx="86">
                  <c:v>28.650015</c:v>
                </c:pt>
                <c:pt idx="87">
                  <c:v>28.574999999999999</c:v>
                </c:pt>
                <c:pt idx="88">
                  <c:v>27.750014999999998</c:v>
                </c:pt>
                <c:pt idx="89">
                  <c:v>25.387515</c:v>
                </c:pt>
                <c:pt idx="90">
                  <c:v>18.45</c:v>
                </c:pt>
                <c:pt idx="91">
                  <c:v>16.050015000000002</c:v>
                </c:pt>
                <c:pt idx="92">
                  <c:v>17.287514999999999</c:v>
                </c:pt>
                <c:pt idx="93">
                  <c:v>21.787514999999999</c:v>
                </c:pt>
                <c:pt idx="94">
                  <c:v>24.224984999999997</c:v>
                </c:pt>
                <c:pt idx="95">
                  <c:v>22.237515000000002</c:v>
                </c:pt>
                <c:pt idx="96">
                  <c:v>22.987485</c:v>
                </c:pt>
                <c:pt idx="97">
                  <c:v>23.475014999999999</c:v>
                </c:pt>
                <c:pt idx="98">
                  <c:v>24.337485000000001</c:v>
                </c:pt>
                <c:pt idx="99">
                  <c:v>25.687485000000002</c:v>
                </c:pt>
                <c:pt idx="100">
                  <c:v>25.500015000000001</c:v>
                </c:pt>
                <c:pt idx="101">
                  <c:v>24.449984999999998</c:v>
                </c:pt>
                <c:pt idx="102">
                  <c:v>26.512515</c:v>
                </c:pt>
                <c:pt idx="103">
                  <c:v>24.787485</c:v>
                </c:pt>
                <c:pt idx="104">
                  <c:v>22.800014999999998</c:v>
                </c:pt>
                <c:pt idx="105">
                  <c:v>23.025015</c:v>
                </c:pt>
                <c:pt idx="106">
                  <c:v>24.037514999999999</c:v>
                </c:pt>
                <c:pt idx="107">
                  <c:v>23.962499999999999</c:v>
                </c:pt>
                <c:pt idx="108">
                  <c:v>24.378254999999999</c:v>
                </c:pt>
                <c:pt idx="109">
                  <c:v>21.412485</c:v>
                </c:pt>
                <c:pt idx="110">
                  <c:v>19.237500000000001</c:v>
                </c:pt>
                <c:pt idx="111">
                  <c:v>19.012499999999999</c:v>
                </c:pt>
                <c:pt idx="112">
                  <c:v>18.975014999999999</c:v>
                </c:pt>
                <c:pt idx="113">
                  <c:v>20.849985</c:v>
                </c:pt>
                <c:pt idx="114">
                  <c:v>21.225014999999999</c:v>
                </c:pt>
                <c:pt idx="115">
                  <c:v>21.787514999999999</c:v>
                </c:pt>
                <c:pt idx="116">
                  <c:v>21.15</c:v>
                </c:pt>
                <c:pt idx="117">
                  <c:v>14.887485</c:v>
                </c:pt>
                <c:pt idx="118">
                  <c:v>11.437514999999999</c:v>
                </c:pt>
                <c:pt idx="119">
                  <c:v>14.362514999999998</c:v>
                </c:pt>
                <c:pt idx="120">
                  <c:v>15.3</c:v>
                </c:pt>
                <c:pt idx="121">
                  <c:v>18.037485</c:v>
                </c:pt>
                <c:pt idx="122">
                  <c:v>16.987500000000001</c:v>
                </c:pt>
                <c:pt idx="123">
                  <c:v>18.374984999999999</c:v>
                </c:pt>
                <c:pt idx="124">
                  <c:v>18.149985000000001</c:v>
                </c:pt>
                <c:pt idx="125">
                  <c:v>14.700014999999999</c:v>
                </c:pt>
                <c:pt idx="126">
                  <c:v>15.674985</c:v>
                </c:pt>
                <c:pt idx="127">
                  <c:v>17.775000000000002</c:v>
                </c:pt>
                <c:pt idx="128">
                  <c:v>18.374984999999999</c:v>
                </c:pt>
                <c:pt idx="129">
                  <c:v>18</c:v>
                </c:pt>
                <c:pt idx="130">
                  <c:v>17.100000000000001</c:v>
                </c:pt>
                <c:pt idx="131">
                  <c:v>14.587515</c:v>
                </c:pt>
                <c:pt idx="132">
                  <c:v>16.050015000000002</c:v>
                </c:pt>
                <c:pt idx="133">
                  <c:v>19.837484999999997</c:v>
                </c:pt>
                <c:pt idx="134">
                  <c:v>23.85</c:v>
                </c:pt>
                <c:pt idx="135">
                  <c:v>23.85</c:v>
                </c:pt>
                <c:pt idx="136">
                  <c:v>20.550014999999998</c:v>
                </c:pt>
                <c:pt idx="137">
                  <c:v>15.375014999999999</c:v>
                </c:pt>
                <c:pt idx="138">
                  <c:v>12.337515</c:v>
                </c:pt>
                <c:pt idx="139">
                  <c:v>14.812514999999999</c:v>
                </c:pt>
                <c:pt idx="140">
                  <c:v>20.849985</c:v>
                </c:pt>
                <c:pt idx="141">
                  <c:v>20.137499999999999</c:v>
                </c:pt>
                <c:pt idx="142">
                  <c:v>18.750015000000001</c:v>
                </c:pt>
                <c:pt idx="143">
                  <c:v>19.837484999999997</c:v>
                </c:pt>
                <c:pt idx="144">
                  <c:v>16.799985</c:v>
                </c:pt>
                <c:pt idx="145">
                  <c:v>16.875</c:v>
                </c:pt>
                <c:pt idx="146">
                  <c:v>16.912485</c:v>
                </c:pt>
                <c:pt idx="147">
                  <c:v>20.662514999999999</c:v>
                </c:pt>
                <c:pt idx="148">
                  <c:v>22.656510000000001</c:v>
                </c:pt>
                <c:pt idx="149">
                  <c:v>20.624984999999999</c:v>
                </c:pt>
                <c:pt idx="150">
                  <c:v>14.625</c:v>
                </c:pt>
                <c:pt idx="151">
                  <c:v>14.0625</c:v>
                </c:pt>
                <c:pt idx="152">
                  <c:v>14.137514999999999</c:v>
                </c:pt>
                <c:pt idx="153">
                  <c:v>13.462515000000002</c:v>
                </c:pt>
                <c:pt idx="154">
                  <c:v>14.887485</c:v>
                </c:pt>
                <c:pt idx="155">
                  <c:v>17.362485</c:v>
                </c:pt>
                <c:pt idx="156">
                  <c:v>20.8125</c:v>
                </c:pt>
                <c:pt idx="157">
                  <c:v>18.45</c:v>
                </c:pt>
                <c:pt idx="158">
                  <c:v>11.962484999999999</c:v>
                </c:pt>
                <c:pt idx="159">
                  <c:v>13.087485000000001</c:v>
                </c:pt>
                <c:pt idx="160">
                  <c:v>12.375000000000002</c:v>
                </c:pt>
                <c:pt idx="161">
                  <c:v>9.9374850000000006</c:v>
                </c:pt>
                <c:pt idx="162">
                  <c:v>10.724985</c:v>
                </c:pt>
                <c:pt idx="163">
                  <c:v>12.712499999999999</c:v>
                </c:pt>
                <c:pt idx="164">
                  <c:v>14.2875</c:v>
                </c:pt>
                <c:pt idx="165">
                  <c:v>19.012499999999999</c:v>
                </c:pt>
                <c:pt idx="166">
                  <c:v>16.875</c:v>
                </c:pt>
                <c:pt idx="167">
                  <c:v>11.624984999999999</c:v>
                </c:pt>
                <c:pt idx="168">
                  <c:v>10.724985</c:v>
                </c:pt>
                <c:pt idx="169">
                  <c:v>12.450015</c:v>
                </c:pt>
                <c:pt idx="170">
                  <c:v>17.362485</c:v>
                </c:pt>
                <c:pt idx="171">
                  <c:v>19.274985000000001</c:v>
                </c:pt>
                <c:pt idx="172">
                  <c:v>19.049985</c:v>
                </c:pt>
                <c:pt idx="173">
                  <c:v>16.799985</c:v>
                </c:pt>
                <c:pt idx="174">
                  <c:v>13.612499999999999</c:v>
                </c:pt>
                <c:pt idx="175">
                  <c:v>12.365235</c:v>
                </c:pt>
                <c:pt idx="176">
                  <c:v>14.478255000000001</c:v>
                </c:pt>
                <c:pt idx="177">
                  <c:v>14.625</c:v>
                </c:pt>
                <c:pt idx="178">
                  <c:v>13.460850000000001</c:v>
                </c:pt>
                <c:pt idx="179">
                  <c:v>11.174985</c:v>
                </c:pt>
                <c:pt idx="180">
                  <c:v>14.025015000000002</c:v>
                </c:pt>
                <c:pt idx="181">
                  <c:v>18.45</c:v>
                </c:pt>
                <c:pt idx="182">
                  <c:v>15.487515</c:v>
                </c:pt>
                <c:pt idx="183">
                  <c:v>16.35651</c:v>
                </c:pt>
                <c:pt idx="184">
                  <c:v>8.8363800000000001</c:v>
                </c:pt>
                <c:pt idx="185">
                  <c:v>9</c:v>
                </c:pt>
                <c:pt idx="186">
                  <c:v>10.213065</c:v>
                </c:pt>
                <c:pt idx="187">
                  <c:v>9.1956600000000002</c:v>
                </c:pt>
                <c:pt idx="188">
                  <c:v>8.843490000000001</c:v>
                </c:pt>
                <c:pt idx="189">
                  <c:v>7.4250000000000007</c:v>
                </c:pt>
                <c:pt idx="190">
                  <c:v>6.2249850000000002</c:v>
                </c:pt>
                <c:pt idx="191">
                  <c:v>6.7874850000000002</c:v>
                </c:pt>
                <c:pt idx="192">
                  <c:v>7.6090949999999999</c:v>
                </c:pt>
                <c:pt idx="193">
                  <c:v>7.7727149999999998</c:v>
                </c:pt>
                <c:pt idx="194">
                  <c:v>7.4250000000000007</c:v>
                </c:pt>
                <c:pt idx="195">
                  <c:v>7.2391500000000004</c:v>
                </c:pt>
                <c:pt idx="196">
                  <c:v>10.499985000000001</c:v>
                </c:pt>
                <c:pt idx="197">
                  <c:v>10.425015</c:v>
                </c:pt>
                <c:pt idx="198">
                  <c:v>7.9124849999999993</c:v>
                </c:pt>
                <c:pt idx="199">
                  <c:v>9.7500149999999994</c:v>
                </c:pt>
                <c:pt idx="200">
                  <c:v>13.147829999999999</c:v>
                </c:pt>
                <c:pt idx="201">
                  <c:v>11.775015</c:v>
                </c:pt>
                <c:pt idx="202">
                  <c:v>7.9874999999999998</c:v>
                </c:pt>
                <c:pt idx="203">
                  <c:v>2.6608679999999998</c:v>
                </c:pt>
                <c:pt idx="204">
                  <c:v>4.3434765000000004</c:v>
                </c:pt>
                <c:pt idx="205">
                  <c:v>4.3826084999999999</c:v>
                </c:pt>
                <c:pt idx="206">
                  <c:v>10.056510000000001</c:v>
                </c:pt>
                <c:pt idx="207">
                  <c:v>9.7874999999999996</c:v>
                </c:pt>
                <c:pt idx="208">
                  <c:v>8.7750000000000004</c:v>
                </c:pt>
                <c:pt idx="209">
                  <c:v>9.156509999999999</c:v>
                </c:pt>
                <c:pt idx="210">
                  <c:v>8.843490000000001</c:v>
                </c:pt>
                <c:pt idx="211">
                  <c:v>9.7434899999999995</c:v>
                </c:pt>
                <c:pt idx="212">
                  <c:v>8.1374849999999999</c:v>
                </c:pt>
                <c:pt idx="213">
                  <c:v>8.6478300000000008</c:v>
                </c:pt>
                <c:pt idx="214">
                  <c:v>11.700000000000001</c:v>
                </c:pt>
                <c:pt idx="215">
                  <c:v>8.4130650000000013</c:v>
                </c:pt>
                <c:pt idx="216">
                  <c:v>9.50868</c:v>
                </c:pt>
                <c:pt idx="217">
                  <c:v>10.499985000000001</c:v>
                </c:pt>
                <c:pt idx="218">
                  <c:v>12.862485</c:v>
                </c:pt>
                <c:pt idx="219">
                  <c:v>12.225014999999999</c:v>
                </c:pt>
                <c:pt idx="220">
                  <c:v>9.9374850000000006</c:v>
                </c:pt>
                <c:pt idx="221">
                  <c:v>6.0652349999999995</c:v>
                </c:pt>
                <c:pt idx="222">
                  <c:v>6.49566</c:v>
                </c:pt>
                <c:pt idx="223">
                  <c:v>8.5090950000000003</c:v>
                </c:pt>
                <c:pt idx="224">
                  <c:v>10.012499999999999</c:v>
                </c:pt>
                <c:pt idx="225">
                  <c:v>14.243490000000001</c:v>
                </c:pt>
                <c:pt idx="226">
                  <c:v>18.675000000000001</c:v>
                </c:pt>
                <c:pt idx="227">
                  <c:v>11.973915000000002</c:v>
                </c:pt>
                <c:pt idx="228">
                  <c:v>14.321745</c:v>
                </c:pt>
                <c:pt idx="229">
                  <c:v>19.612485</c:v>
                </c:pt>
                <c:pt idx="230">
                  <c:v>23.475014999999999</c:v>
                </c:pt>
                <c:pt idx="231">
                  <c:v>17.962515</c:v>
                </c:pt>
                <c:pt idx="232">
                  <c:v>12.834764999999999</c:v>
                </c:pt>
                <c:pt idx="233">
                  <c:v>13.649985000000001</c:v>
                </c:pt>
                <c:pt idx="234">
                  <c:v>8.1999899999999997</c:v>
                </c:pt>
                <c:pt idx="235">
                  <c:v>9.978254999999999</c:v>
                </c:pt>
                <c:pt idx="236">
                  <c:v>13.304340000000002</c:v>
                </c:pt>
                <c:pt idx="237">
                  <c:v>16.395659999999999</c:v>
                </c:pt>
                <c:pt idx="238">
                  <c:v>12.712499999999999</c:v>
                </c:pt>
                <c:pt idx="239">
                  <c:v>15.45651</c:v>
                </c:pt>
                <c:pt idx="240">
                  <c:v>18.327285</c:v>
                </c:pt>
                <c:pt idx="241">
                  <c:v>12.000014999999999</c:v>
                </c:pt>
                <c:pt idx="242">
                  <c:v>15.075000000000001</c:v>
                </c:pt>
                <c:pt idx="243">
                  <c:v>8.9249850000000013</c:v>
                </c:pt>
                <c:pt idx="244">
                  <c:v>11.775015</c:v>
                </c:pt>
                <c:pt idx="245">
                  <c:v>17.287514999999999</c:v>
                </c:pt>
                <c:pt idx="246">
                  <c:v>16.943490000000001</c:v>
                </c:pt>
                <c:pt idx="247">
                  <c:v>11.778255</c:v>
                </c:pt>
                <c:pt idx="248">
                  <c:v>13.1625</c:v>
                </c:pt>
                <c:pt idx="249">
                  <c:v>13.312485000000001</c:v>
                </c:pt>
                <c:pt idx="250">
                  <c:v>17.509095000000002</c:v>
                </c:pt>
                <c:pt idx="251">
                  <c:v>14.243490000000001</c:v>
                </c:pt>
                <c:pt idx="252">
                  <c:v>14.812514999999999</c:v>
                </c:pt>
                <c:pt idx="253">
                  <c:v>17.295660000000002</c:v>
                </c:pt>
                <c:pt idx="254">
                  <c:v>14.634765</c:v>
                </c:pt>
                <c:pt idx="255">
                  <c:v>14.282594999999999</c:v>
                </c:pt>
                <c:pt idx="256">
                  <c:v>16.434765000000002</c:v>
                </c:pt>
                <c:pt idx="257">
                  <c:v>18.675000000000001</c:v>
                </c:pt>
                <c:pt idx="258">
                  <c:v>24.3</c:v>
                </c:pt>
                <c:pt idx="259">
                  <c:v>21.262499999999999</c:v>
                </c:pt>
                <c:pt idx="260">
                  <c:v>14.9625</c:v>
                </c:pt>
                <c:pt idx="261">
                  <c:v>19.369575000000001</c:v>
                </c:pt>
                <c:pt idx="262">
                  <c:v>19.875014999999998</c:v>
                </c:pt>
                <c:pt idx="263">
                  <c:v>15.613065000000001</c:v>
                </c:pt>
                <c:pt idx="264">
                  <c:v>12.824999999999999</c:v>
                </c:pt>
                <c:pt idx="265">
                  <c:v>11.887514999999999</c:v>
                </c:pt>
                <c:pt idx="266">
                  <c:v>11.962484999999999</c:v>
                </c:pt>
                <c:pt idx="267">
                  <c:v>11.386935000000001</c:v>
                </c:pt>
                <c:pt idx="268">
                  <c:v>11.895660000000001</c:v>
                </c:pt>
                <c:pt idx="269">
                  <c:v>13.612499999999999</c:v>
                </c:pt>
                <c:pt idx="270">
                  <c:v>13.5</c:v>
                </c:pt>
                <c:pt idx="271">
                  <c:v>12.074985</c:v>
                </c:pt>
                <c:pt idx="272">
                  <c:v>13.5</c:v>
                </c:pt>
                <c:pt idx="273">
                  <c:v>14.175000000000001</c:v>
                </c:pt>
                <c:pt idx="274">
                  <c:v>17.024984999999997</c:v>
                </c:pt>
                <c:pt idx="275">
                  <c:v>25.799985</c:v>
                </c:pt>
                <c:pt idx="276">
                  <c:v>18.637515</c:v>
                </c:pt>
                <c:pt idx="277">
                  <c:v>17.587485000000001</c:v>
                </c:pt>
                <c:pt idx="278">
                  <c:v>19.6875</c:v>
                </c:pt>
                <c:pt idx="279">
                  <c:v>15.112485</c:v>
                </c:pt>
                <c:pt idx="280">
                  <c:v>15.412500000000001</c:v>
                </c:pt>
                <c:pt idx="281">
                  <c:v>19.200015</c:v>
                </c:pt>
                <c:pt idx="282">
                  <c:v>26.80434</c:v>
                </c:pt>
                <c:pt idx="283">
                  <c:v>22.612499999999997</c:v>
                </c:pt>
                <c:pt idx="284">
                  <c:v>18.5625</c:v>
                </c:pt>
                <c:pt idx="285">
                  <c:v>21.037500000000001</c:v>
                </c:pt>
                <c:pt idx="286">
                  <c:v>20.100014999999999</c:v>
                </c:pt>
                <c:pt idx="287">
                  <c:v>19.387485000000002</c:v>
                </c:pt>
                <c:pt idx="288">
                  <c:v>20.550014999999998</c:v>
                </c:pt>
                <c:pt idx="289">
                  <c:v>23.062499999999996</c:v>
                </c:pt>
                <c:pt idx="290">
                  <c:v>22.762484999999998</c:v>
                </c:pt>
                <c:pt idx="291">
                  <c:v>26.774999999999999</c:v>
                </c:pt>
                <c:pt idx="292">
                  <c:v>20.662514999999999</c:v>
                </c:pt>
                <c:pt idx="293">
                  <c:v>15.150015</c:v>
                </c:pt>
                <c:pt idx="294">
                  <c:v>20.7</c:v>
                </c:pt>
                <c:pt idx="295">
                  <c:v>26.175015000000002</c:v>
                </c:pt>
                <c:pt idx="296">
                  <c:v>27.300014999999998</c:v>
                </c:pt>
                <c:pt idx="297">
                  <c:v>28.425014999999998</c:v>
                </c:pt>
                <c:pt idx="298">
                  <c:v>27.9</c:v>
                </c:pt>
                <c:pt idx="299">
                  <c:v>27.787500000000001</c:v>
                </c:pt>
                <c:pt idx="300">
                  <c:v>22.95</c:v>
                </c:pt>
                <c:pt idx="301">
                  <c:v>21.262499999999999</c:v>
                </c:pt>
                <c:pt idx="302">
                  <c:v>20.325015</c:v>
                </c:pt>
                <c:pt idx="303">
                  <c:v>24.712515</c:v>
                </c:pt>
                <c:pt idx="304">
                  <c:v>27.750014999999998</c:v>
                </c:pt>
                <c:pt idx="305">
                  <c:v>18.637515</c:v>
                </c:pt>
                <c:pt idx="306">
                  <c:v>20.662514999999999</c:v>
                </c:pt>
                <c:pt idx="307">
                  <c:v>21.562515000000001</c:v>
                </c:pt>
                <c:pt idx="308">
                  <c:v>23.400000000000002</c:v>
                </c:pt>
                <c:pt idx="309">
                  <c:v>23.774985000000001</c:v>
                </c:pt>
                <c:pt idx="310">
                  <c:v>23.962499999999999</c:v>
                </c:pt>
                <c:pt idx="311">
                  <c:v>23.962499999999999</c:v>
                </c:pt>
                <c:pt idx="312">
                  <c:v>24.412499999999998</c:v>
                </c:pt>
                <c:pt idx="313">
                  <c:v>24.075000000000003</c:v>
                </c:pt>
                <c:pt idx="314">
                  <c:v>23.062499999999996</c:v>
                </c:pt>
                <c:pt idx="315">
                  <c:v>23.437484999999999</c:v>
                </c:pt>
                <c:pt idx="316">
                  <c:v>25.3125</c:v>
                </c:pt>
                <c:pt idx="317">
                  <c:v>25.987500000000001</c:v>
                </c:pt>
                <c:pt idx="318">
                  <c:v>25.275015</c:v>
                </c:pt>
                <c:pt idx="319">
                  <c:v>24.750000000000004</c:v>
                </c:pt>
                <c:pt idx="320">
                  <c:v>23.887485000000002</c:v>
                </c:pt>
                <c:pt idx="321">
                  <c:v>24.150015</c:v>
                </c:pt>
                <c:pt idx="322">
                  <c:v>27.112500000000001</c:v>
                </c:pt>
                <c:pt idx="323">
                  <c:v>27.187515000000001</c:v>
                </c:pt>
                <c:pt idx="324">
                  <c:v>28.425014999999998</c:v>
                </c:pt>
                <c:pt idx="325">
                  <c:v>29.700000000000003</c:v>
                </c:pt>
                <c:pt idx="326">
                  <c:v>29.737485</c:v>
                </c:pt>
                <c:pt idx="327">
                  <c:v>31.874984999999999</c:v>
                </c:pt>
                <c:pt idx="328">
                  <c:v>30.675015000000002</c:v>
                </c:pt>
                <c:pt idx="329">
                  <c:v>29.512485000000002</c:v>
                </c:pt>
                <c:pt idx="330">
                  <c:v>30.037499999999998</c:v>
                </c:pt>
                <c:pt idx="331">
                  <c:v>32.999985000000002</c:v>
                </c:pt>
                <c:pt idx="332">
                  <c:v>34.875</c:v>
                </c:pt>
                <c:pt idx="333">
                  <c:v>34.387515</c:v>
                </c:pt>
                <c:pt idx="334">
                  <c:v>32.174999999999997</c:v>
                </c:pt>
                <c:pt idx="335">
                  <c:v>27.9</c:v>
                </c:pt>
                <c:pt idx="336">
                  <c:v>28.574999999999999</c:v>
                </c:pt>
                <c:pt idx="337">
                  <c:v>29.174985000000003</c:v>
                </c:pt>
                <c:pt idx="338">
                  <c:v>30.524984999999997</c:v>
                </c:pt>
                <c:pt idx="339">
                  <c:v>31.837500000000002</c:v>
                </c:pt>
                <c:pt idx="340">
                  <c:v>34.912484999999997</c:v>
                </c:pt>
                <c:pt idx="341">
                  <c:v>36.374984999999995</c:v>
                </c:pt>
                <c:pt idx="342">
                  <c:v>33.975000000000001</c:v>
                </c:pt>
                <c:pt idx="343">
                  <c:v>32.625</c:v>
                </c:pt>
                <c:pt idx="344">
                  <c:v>31.162500000000001</c:v>
                </c:pt>
                <c:pt idx="345">
                  <c:v>28.574999999999999</c:v>
                </c:pt>
                <c:pt idx="346">
                  <c:v>27.187515000000001</c:v>
                </c:pt>
                <c:pt idx="347">
                  <c:v>28.200015</c:v>
                </c:pt>
                <c:pt idx="348">
                  <c:v>28.274985000000001</c:v>
                </c:pt>
                <c:pt idx="349">
                  <c:v>29.212515000000003</c:v>
                </c:pt>
                <c:pt idx="350">
                  <c:v>31.350015000000003</c:v>
                </c:pt>
                <c:pt idx="351">
                  <c:v>31.462515</c:v>
                </c:pt>
                <c:pt idx="352">
                  <c:v>28.574999999999999</c:v>
                </c:pt>
                <c:pt idx="353">
                  <c:v>30.637485000000002</c:v>
                </c:pt>
                <c:pt idx="354">
                  <c:v>32.999985000000002</c:v>
                </c:pt>
                <c:pt idx="355">
                  <c:v>32.774985000000001</c:v>
                </c:pt>
                <c:pt idx="356">
                  <c:v>32.587515000000003</c:v>
                </c:pt>
                <c:pt idx="357">
                  <c:v>31.274999999999999</c:v>
                </c:pt>
                <c:pt idx="358">
                  <c:v>30.6</c:v>
                </c:pt>
                <c:pt idx="359">
                  <c:v>30.712499999999999</c:v>
                </c:pt>
                <c:pt idx="360">
                  <c:v>33.487515000000002</c:v>
                </c:pt>
                <c:pt idx="361">
                  <c:v>32.774985000000001</c:v>
                </c:pt>
                <c:pt idx="362">
                  <c:v>31.350015000000003</c:v>
                </c:pt>
                <c:pt idx="363">
                  <c:v>32.512500000000003</c:v>
                </c:pt>
                <c:pt idx="364">
                  <c:v>33.224985000000004</c:v>
                </c:pt>
              </c:numCache>
            </c:numRef>
          </c:xVal>
          <c:yVal>
            <c:numRef>
              <c:f>'Q2.3'!$AC$2:$AC$366</c:f>
              <c:numCache>
                <c:formatCode>0.00</c:formatCode>
                <c:ptCount val="365"/>
                <c:pt idx="0">
                  <c:v>47</c:v>
                </c:pt>
                <c:pt idx="1">
                  <c:v>60</c:v>
                </c:pt>
                <c:pt idx="2">
                  <c:v>73</c:v>
                </c:pt>
                <c:pt idx="3">
                  <c:v>77</c:v>
                </c:pt>
                <c:pt idx="4">
                  <c:v>77</c:v>
                </c:pt>
                <c:pt idx="5">
                  <c:v>67</c:v>
                </c:pt>
                <c:pt idx="6">
                  <c:v>67</c:v>
                </c:pt>
                <c:pt idx="7">
                  <c:v>63</c:v>
                </c:pt>
                <c:pt idx="8">
                  <c:v>67</c:v>
                </c:pt>
                <c:pt idx="9">
                  <c:v>72</c:v>
                </c:pt>
                <c:pt idx="10">
                  <c:v>72</c:v>
                </c:pt>
                <c:pt idx="11">
                  <c:v>84</c:v>
                </c:pt>
                <c:pt idx="12">
                  <c:v>84</c:v>
                </c:pt>
                <c:pt idx="13">
                  <c:v>70</c:v>
                </c:pt>
                <c:pt idx="14">
                  <c:v>66</c:v>
                </c:pt>
                <c:pt idx="15">
                  <c:v>72</c:v>
                </c:pt>
                <c:pt idx="16">
                  <c:v>76</c:v>
                </c:pt>
                <c:pt idx="17">
                  <c:v>74</c:v>
                </c:pt>
                <c:pt idx="18">
                  <c:v>63</c:v>
                </c:pt>
                <c:pt idx="19">
                  <c:v>57</c:v>
                </c:pt>
                <c:pt idx="20">
                  <c:v>46</c:v>
                </c:pt>
                <c:pt idx="21">
                  <c:v>51</c:v>
                </c:pt>
                <c:pt idx="22">
                  <c:v>65</c:v>
                </c:pt>
                <c:pt idx="23">
                  <c:v>77</c:v>
                </c:pt>
                <c:pt idx="24">
                  <c:v>78</c:v>
                </c:pt>
                <c:pt idx="25">
                  <c:v>76</c:v>
                </c:pt>
                <c:pt idx="26">
                  <c:v>64</c:v>
                </c:pt>
                <c:pt idx="27">
                  <c:v>58</c:v>
                </c:pt>
                <c:pt idx="28">
                  <c:v>56</c:v>
                </c:pt>
                <c:pt idx="29">
                  <c:v>71</c:v>
                </c:pt>
                <c:pt idx="30">
                  <c:v>81</c:v>
                </c:pt>
                <c:pt idx="31">
                  <c:v>62</c:v>
                </c:pt>
                <c:pt idx="32">
                  <c:v>76</c:v>
                </c:pt>
                <c:pt idx="33">
                  <c:v>77</c:v>
                </c:pt>
                <c:pt idx="34">
                  <c:v>55</c:v>
                </c:pt>
                <c:pt idx="35">
                  <c:v>50</c:v>
                </c:pt>
                <c:pt idx="36">
                  <c:v>70</c:v>
                </c:pt>
                <c:pt idx="37">
                  <c:v>74</c:v>
                </c:pt>
                <c:pt idx="38">
                  <c:v>78</c:v>
                </c:pt>
                <c:pt idx="39">
                  <c:v>80</c:v>
                </c:pt>
                <c:pt idx="40">
                  <c:v>77</c:v>
                </c:pt>
                <c:pt idx="41">
                  <c:v>53</c:v>
                </c:pt>
                <c:pt idx="42">
                  <c:v>50</c:v>
                </c:pt>
                <c:pt idx="43">
                  <c:v>71</c:v>
                </c:pt>
                <c:pt idx="44">
                  <c:v>80</c:v>
                </c:pt>
                <c:pt idx="45">
                  <c:v>81</c:v>
                </c:pt>
                <c:pt idx="46">
                  <c:v>63</c:v>
                </c:pt>
                <c:pt idx="47">
                  <c:v>67</c:v>
                </c:pt>
                <c:pt idx="48">
                  <c:v>66</c:v>
                </c:pt>
                <c:pt idx="49">
                  <c:v>52</c:v>
                </c:pt>
                <c:pt idx="50">
                  <c:v>79</c:v>
                </c:pt>
                <c:pt idx="51">
                  <c:v>92</c:v>
                </c:pt>
                <c:pt idx="52">
                  <c:v>84</c:v>
                </c:pt>
                <c:pt idx="53">
                  <c:v>62</c:v>
                </c:pt>
                <c:pt idx="54">
                  <c:v>78</c:v>
                </c:pt>
                <c:pt idx="55">
                  <c:v>18</c:v>
                </c:pt>
                <c:pt idx="56">
                  <c:v>58</c:v>
                </c:pt>
                <c:pt idx="57">
                  <c:v>78</c:v>
                </c:pt>
                <c:pt idx="58">
                  <c:v>89</c:v>
                </c:pt>
                <c:pt idx="59">
                  <c:v>87</c:v>
                </c:pt>
                <c:pt idx="60">
                  <c:v>87</c:v>
                </c:pt>
                <c:pt idx="61">
                  <c:v>77</c:v>
                </c:pt>
                <c:pt idx="62">
                  <c:v>51</c:v>
                </c:pt>
                <c:pt idx="63">
                  <c:v>48</c:v>
                </c:pt>
                <c:pt idx="64">
                  <c:v>42</c:v>
                </c:pt>
                <c:pt idx="65">
                  <c:v>50</c:v>
                </c:pt>
                <c:pt idx="66">
                  <c:v>38</c:v>
                </c:pt>
                <c:pt idx="67">
                  <c:v>34</c:v>
                </c:pt>
                <c:pt idx="68">
                  <c:v>63</c:v>
                </c:pt>
                <c:pt idx="69">
                  <c:v>72</c:v>
                </c:pt>
                <c:pt idx="70">
                  <c:v>68</c:v>
                </c:pt>
                <c:pt idx="71">
                  <c:v>80</c:v>
                </c:pt>
                <c:pt idx="72">
                  <c:v>81</c:v>
                </c:pt>
                <c:pt idx="73">
                  <c:v>83</c:v>
                </c:pt>
                <c:pt idx="74">
                  <c:v>65</c:v>
                </c:pt>
                <c:pt idx="75">
                  <c:v>80</c:v>
                </c:pt>
                <c:pt idx="76">
                  <c:v>62</c:v>
                </c:pt>
                <c:pt idx="77">
                  <c:v>58</c:v>
                </c:pt>
                <c:pt idx="78">
                  <c:v>77</c:v>
                </c:pt>
                <c:pt idx="79">
                  <c:v>64</c:v>
                </c:pt>
                <c:pt idx="80">
                  <c:v>76</c:v>
                </c:pt>
                <c:pt idx="81">
                  <c:v>85</c:v>
                </c:pt>
                <c:pt idx="82">
                  <c:v>43</c:v>
                </c:pt>
                <c:pt idx="83">
                  <c:v>73</c:v>
                </c:pt>
                <c:pt idx="84">
                  <c:v>69</c:v>
                </c:pt>
                <c:pt idx="85">
                  <c:v>79</c:v>
                </c:pt>
                <c:pt idx="86">
                  <c:v>73</c:v>
                </c:pt>
                <c:pt idx="87">
                  <c:v>69</c:v>
                </c:pt>
                <c:pt idx="88">
                  <c:v>84</c:v>
                </c:pt>
                <c:pt idx="89">
                  <c:v>87</c:v>
                </c:pt>
                <c:pt idx="90">
                  <c:v>39</c:v>
                </c:pt>
                <c:pt idx="91">
                  <c:v>46</c:v>
                </c:pt>
                <c:pt idx="92">
                  <c:v>65</c:v>
                </c:pt>
                <c:pt idx="93">
                  <c:v>79</c:v>
                </c:pt>
                <c:pt idx="94">
                  <c:v>85</c:v>
                </c:pt>
                <c:pt idx="95">
                  <c:v>83</c:v>
                </c:pt>
                <c:pt idx="96">
                  <c:v>81</c:v>
                </c:pt>
                <c:pt idx="97">
                  <c:v>63</c:v>
                </c:pt>
                <c:pt idx="98">
                  <c:v>62</c:v>
                </c:pt>
                <c:pt idx="99">
                  <c:v>72</c:v>
                </c:pt>
                <c:pt idx="100">
                  <c:v>78</c:v>
                </c:pt>
                <c:pt idx="101">
                  <c:v>44</c:v>
                </c:pt>
                <c:pt idx="102">
                  <c:v>52</c:v>
                </c:pt>
                <c:pt idx="103">
                  <c:v>62</c:v>
                </c:pt>
                <c:pt idx="104">
                  <c:v>66</c:v>
                </c:pt>
                <c:pt idx="105">
                  <c:v>66</c:v>
                </c:pt>
                <c:pt idx="106">
                  <c:v>77</c:v>
                </c:pt>
                <c:pt idx="107">
                  <c:v>82</c:v>
                </c:pt>
                <c:pt idx="108">
                  <c:v>43</c:v>
                </c:pt>
                <c:pt idx="109">
                  <c:v>74</c:v>
                </c:pt>
                <c:pt idx="110">
                  <c:v>73</c:v>
                </c:pt>
                <c:pt idx="111">
                  <c:v>56</c:v>
                </c:pt>
                <c:pt idx="112">
                  <c:v>55</c:v>
                </c:pt>
                <c:pt idx="113">
                  <c:v>70</c:v>
                </c:pt>
                <c:pt idx="114">
                  <c:v>80</c:v>
                </c:pt>
                <c:pt idx="115">
                  <c:v>70</c:v>
                </c:pt>
                <c:pt idx="116">
                  <c:v>48</c:v>
                </c:pt>
                <c:pt idx="117">
                  <c:v>66</c:v>
                </c:pt>
                <c:pt idx="118">
                  <c:v>11</c:v>
                </c:pt>
                <c:pt idx="119">
                  <c:v>49</c:v>
                </c:pt>
                <c:pt idx="120">
                  <c:v>66</c:v>
                </c:pt>
                <c:pt idx="121">
                  <c:v>73</c:v>
                </c:pt>
                <c:pt idx="122">
                  <c:v>76</c:v>
                </c:pt>
                <c:pt idx="123">
                  <c:v>73</c:v>
                </c:pt>
                <c:pt idx="124">
                  <c:v>72</c:v>
                </c:pt>
                <c:pt idx="125">
                  <c:v>55</c:v>
                </c:pt>
                <c:pt idx="126">
                  <c:v>54</c:v>
                </c:pt>
                <c:pt idx="127">
                  <c:v>73</c:v>
                </c:pt>
                <c:pt idx="128">
                  <c:v>77</c:v>
                </c:pt>
                <c:pt idx="129">
                  <c:v>76</c:v>
                </c:pt>
                <c:pt idx="130">
                  <c:v>55</c:v>
                </c:pt>
                <c:pt idx="131">
                  <c:v>59</c:v>
                </c:pt>
                <c:pt idx="132">
                  <c:v>56</c:v>
                </c:pt>
                <c:pt idx="133">
                  <c:v>54</c:v>
                </c:pt>
                <c:pt idx="134">
                  <c:v>78</c:v>
                </c:pt>
                <c:pt idx="135">
                  <c:v>75</c:v>
                </c:pt>
                <c:pt idx="136">
                  <c:v>33</c:v>
                </c:pt>
                <c:pt idx="137">
                  <c:v>58</c:v>
                </c:pt>
                <c:pt idx="138">
                  <c:v>63</c:v>
                </c:pt>
                <c:pt idx="139">
                  <c:v>54</c:v>
                </c:pt>
                <c:pt idx="140">
                  <c:v>55</c:v>
                </c:pt>
                <c:pt idx="141">
                  <c:v>51</c:v>
                </c:pt>
                <c:pt idx="142">
                  <c:v>31</c:v>
                </c:pt>
                <c:pt idx="143">
                  <c:v>49</c:v>
                </c:pt>
                <c:pt idx="144">
                  <c:v>19</c:v>
                </c:pt>
                <c:pt idx="145">
                  <c:v>34</c:v>
                </c:pt>
                <c:pt idx="146">
                  <c:v>36</c:v>
                </c:pt>
                <c:pt idx="147">
                  <c:v>45</c:v>
                </c:pt>
                <c:pt idx="148">
                  <c:v>72</c:v>
                </c:pt>
                <c:pt idx="149">
                  <c:v>56</c:v>
                </c:pt>
                <c:pt idx="150">
                  <c:v>69</c:v>
                </c:pt>
                <c:pt idx="151">
                  <c:v>71</c:v>
                </c:pt>
                <c:pt idx="152">
                  <c:v>73</c:v>
                </c:pt>
                <c:pt idx="153">
                  <c:v>58</c:v>
                </c:pt>
                <c:pt idx="154">
                  <c:v>57</c:v>
                </c:pt>
                <c:pt idx="155">
                  <c:v>72</c:v>
                </c:pt>
                <c:pt idx="156">
                  <c:v>49</c:v>
                </c:pt>
                <c:pt idx="157">
                  <c:v>13</c:v>
                </c:pt>
                <c:pt idx="158">
                  <c:v>63</c:v>
                </c:pt>
                <c:pt idx="159">
                  <c:v>67</c:v>
                </c:pt>
                <c:pt idx="160">
                  <c:v>54</c:v>
                </c:pt>
                <c:pt idx="161">
                  <c:v>47</c:v>
                </c:pt>
                <c:pt idx="162">
                  <c:v>63</c:v>
                </c:pt>
                <c:pt idx="163">
                  <c:v>67</c:v>
                </c:pt>
                <c:pt idx="164">
                  <c:v>71</c:v>
                </c:pt>
                <c:pt idx="165">
                  <c:v>71</c:v>
                </c:pt>
                <c:pt idx="166">
                  <c:v>68</c:v>
                </c:pt>
                <c:pt idx="167">
                  <c:v>49</c:v>
                </c:pt>
                <c:pt idx="168">
                  <c:v>44</c:v>
                </c:pt>
                <c:pt idx="169">
                  <c:v>63</c:v>
                </c:pt>
                <c:pt idx="170">
                  <c:v>71</c:v>
                </c:pt>
                <c:pt idx="171">
                  <c:v>51</c:v>
                </c:pt>
                <c:pt idx="172">
                  <c:v>57</c:v>
                </c:pt>
                <c:pt idx="173">
                  <c:v>41</c:v>
                </c:pt>
                <c:pt idx="174">
                  <c:v>17</c:v>
                </c:pt>
                <c:pt idx="175">
                  <c:v>9</c:v>
                </c:pt>
                <c:pt idx="176">
                  <c:v>18</c:v>
                </c:pt>
                <c:pt idx="177">
                  <c:v>21</c:v>
                </c:pt>
                <c:pt idx="178">
                  <c:v>41</c:v>
                </c:pt>
                <c:pt idx="179">
                  <c:v>43</c:v>
                </c:pt>
                <c:pt idx="180">
                  <c:v>50</c:v>
                </c:pt>
                <c:pt idx="181">
                  <c:v>36</c:v>
                </c:pt>
                <c:pt idx="182">
                  <c:v>13</c:v>
                </c:pt>
                <c:pt idx="183">
                  <c:v>13</c:v>
                </c:pt>
                <c:pt idx="184">
                  <c:v>25</c:v>
                </c:pt>
                <c:pt idx="185">
                  <c:v>29</c:v>
                </c:pt>
                <c:pt idx="186">
                  <c:v>30</c:v>
                </c:pt>
                <c:pt idx="187">
                  <c:v>30</c:v>
                </c:pt>
                <c:pt idx="188">
                  <c:v>27</c:v>
                </c:pt>
                <c:pt idx="189">
                  <c:v>18</c:v>
                </c:pt>
                <c:pt idx="190">
                  <c:v>15</c:v>
                </c:pt>
                <c:pt idx="191">
                  <c:v>26</c:v>
                </c:pt>
                <c:pt idx="192">
                  <c:v>24</c:v>
                </c:pt>
                <c:pt idx="193">
                  <c:v>23</c:v>
                </c:pt>
                <c:pt idx="194">
                  <c:v>27</c:v>
                </c:pt>
                <c:pt idx="195">
                  <c:v>27</c:v>
                </c:pt>
                <c:pt idx="196">
                  <c:v>21</c:v>
                </c:pt>
                <c:pt idx="197">
                  <c:v>19</c:v>
                </c:pt>
                <c:pt idx="198">
                  <c:v>18</c:v>
                </c:pt>
                <c:pt idx="199">
                  <c:v>13</c:v>
                </c:pt>
                <c:pt idx="200">
                  <c:v>31</c:v>
                </c:pt>
                <c:pt idx="201">
                  <c:v>37</c:v>
                </c:pt>
                <c:pt idx="202">
                  <c:v>29</c:v>
                </c:pt>
                <c:pt idx="203">
                  <c:v>18</c:v>
                </c:pt>
                <c:pt idx="204">
                  <c:v>17</c:v>
                </c:pt>
                <c:pt idx="205">
                  <c:v>27</c:v>
                </c:pt>
                <c:pt idx="206">
                  <c:v>36</c:v>
                </c:pt>
                <c:pt idx="207">
                  <c:v>9</c:v>
                </c:pt>
                <c:pt idx="208">
                  <c:v>8</c:v>
                </c:pt>
                <c:pt idx="209">
                  <c:v>23</c:v>
                </c:pt>
                <c:pt idx="210">
                  <c:v>20</c:v>
                </c:pt>
                <c:pt idx="211">
                  <c:v>19</c:v>
                </c:pt>
                <c:pt idx="212">
                  <c:v>29</c:v>
                </c:pt>
                <c:pt idx="213">
                  <c:v>26</c:v>
                </c:pt>
                <c:pt idx="214">
                  <c:v>29</c:v>
                </c:pt>
                <c:pt idx="215">
                  <c:v>30</c:v>
                </c:pt>
                <c:pt idx="216">
                  <c:v>32</c:v>
                </c:pt>
                <c:pt idx="217">
                  <c:v>18</c:v>
                </c:pt>
                <c:pt idx="218">
                  <c:v>25</c:v>
                </c:pt>
                <c:pt idx="219">
                  <c:v>32</c:v>
                </c:pt>
                <c:pt idx="220">
                  <c:v>29</c:v>
                </c:pt>
                <c:pt idx="221">
                  <c:v>31</c:v>
                </c:pt>
                <c:pt idx="222">
                  <c:v>30</c:v>
                </c:pt>
                <c:pt idx="223">
                  <c:v>32</c:v>
                </c:pt>
                <c:pt idx="224">
                  <c:v>24</c:v>
                </c:pt>
                <c:pt idx="225">
                  <c:v>24</c:v>
                </c:pt>
                <c:pt idx="226">
                  <c:v>34</c:v>
                </c:pt>
                <c:pt idx="227">
                  <c:v>34</c:v>
                </c:pt>
                <c:pt idx="228">
                  <c:v>38</c:v>
                </c:pt>
                <c:pt idx="229">
                  <c:v>44</c:v>
                </c:pt>
                <c:pt idx="230">
                  <c:v>47</c:v>
                </c:pt>
                <c:pt idx="231">
                  <c:v>22</c:v>
                </c:pt>
                <c:pt idx="232">
                  <c:v>23</c:v>
                </c:pt>
                <c:pt idx="233">
                  <c:v>18</c:v>
                </c:pt>
                <c:pt idx="234">
                  <c:v>28</c:v>
                </c:pt>
                <c:pt idx="235">
                  <c:v>36</c:v>
                </c:pt>
                <c:pt idx="236">
                  <c:v>34</c:v>
                </c:pt>
                <c:pt idx="237">
                  <c:v>27</c:v>
                </c:pt>
                <c:pt idx="238">
                  <c:v>31</c:v>
                </c:pt>
                <c:pt idx="239">
                  <c:v>34</c:v>
                </c:pt>
                <c:pt idx="240">
                  <c:v>27</c:v>
                </c:pt>
                <c:pt idx="241">
                  <c:v>34</c:v>
                </c:pt>
                <c:pt idx="242">
                  <c:v>38</c:v>
                </c:pt>
                <c:pt idx="243">
                  <c:v>31</c:v>
                </c:pt>
                <c:pt idx="244">
                  <c:v>35</c:v>
                </c:pt>
                <c:pt idx="245">
                  <c:v>29</c:v>
                </c:pt>
                <c:pt idx="246">
                  <c:v>10</c:v>
                </c:pt>
                <c:pt idx="247">
                  <c:v>33</c:v>
                </c:pt>
                <c:pt idx="248">
                  <c:v>36</c:v>
                </c:pt>
                <c:pt idx="249">
                  <c:v>34</c:v>
                </c:pt>
                <c:pt idx="250">
                  <c:v>12</c:v>
                </c:pt>
                <c:pt idx="251">
                  <c:v>35</c:v>
                </c:pt>
                <c:pt idx="252">
                  <c:v>28</c:v>
                </c:pt>
                <c:pt idx="253">
                  <c:v>29</c:v>
                </c:pt>
                <c:pt idx="254">
                  <c:v>34</c:v>
                </c:pt>
                <c:pt idx="255">
                  <c:v>35</c:v>
                </c:pt>
                <c:pt idx="256">
                  <c:v>37</c:v>
                </c:pt>
                <c:pt idx="257">
                  <c:v>46</c:v>
                </c:pt>
                <c:pt idx="258">
                  <c:v>47</c:v>
                </c:pt>
                <c:pt idx="259">
                  <c:v>34</c:v>
                </c:pt>
                <c:pt idx="260">
                  <c:v>28</c:v>
                </c:pt>
                <c:pt idx="261">
                  <c:v>34</c:v>
                </c:pt>
                <c:pt idx="262">
                  <c:v>45</c:v>
                </c:pt>
                <c:pt idx="263">
                  <c:v>38</c:v>
                </c:pt>
                <c:pt idx="264">
                  <c:v>34</c:v>
                </c:pt>
                <c:pt idx="265">
                  <c:v>38</c:v>
                </c:pt>
                <c:pt idx="266">
                  <c:v>30</c:v>
                </c:pt>
                <c:pt idx="267">
                  <c:v>24</c:v>
                </c:pt>
                <c:pt idx="268">
                  <c:v>36</c:v>
                </c:pt>
                <c:pt idx="269">
                  <c:v>42</c:v>
                </c:pt>
                <c:pt idx="270">
                  <c:v>27</c:v>
                </c:pt>
                <c:pt idx="271">
                  <c:v>30</c:v>
                </c:pt>
                <c:pt idx="272">
                  <c:v>38</c:v>
                </c:pt>
                <c:pt idx="273">
                  <c:v>27</c:v>
                </c:pt>
                <c:pt idx="274">
                  <c:v>32</c:v>
                </c:pt>
                <c:pt idx="275">
                  <c:v>48</c:v>
                </c:pt>
                <c:pt idx="276">
                  <c:v>33</c:v>
                </c:pt>
                <c:pt idx="277">
                  <c:v>48</c:v>
                </c:pt>
                <c:pt idx="278">
                  <c:v>51</c:v>
                </c:pt>
                <c:pt idx="279">
                  <c:v>26</c:v>
                </c:pt>
                <c:pt idx="280">
                  <c:v>32</c:v>
                </c:pt>
                <c:pt idx="281">
                  <c:v>34</c:v>
                </c:pt>
                <c:pt idx="282">
                  <c:v>50</c:v>
                </c:pt>
                <c:pt idx="283">
                  <c:v>36</c:v>
                </c:pt>
                <c:pt idx="284">
                  <c:v>39</c:v>
                </c:pt>
                <c:pt idx="285">
                  <c:v>55</c:v>
                </c:pt>
                <c:pt idx="286">
                  <c:v>50</c:v>
                </c:pt>
                <c:pt idx="287">
                  <c:v>13</c:v>
                </c:pt>
                <c:pt idx="288">
                  <c:v>44</c:v>
                </c:pt>
                <c:pt idx="289">
                  <c:v>55</c:v>
                </c:pt>
                <c:pt idx="290">
                  <c:v>56</c:v>
                </c:pt>
                <c:pt idx="291">
                  <c:v>67</c:v>
                </c:pt>
                <c:pt idx="292">
                  <c:v>69</c:v>
                </c:pt>
                <c:pt idx="293">
                  <c:v>30</c:v>
                </c:pt>
                <c:pt idx="294">
                  <c:v>51</c:v>
                </c:pt>
                <c:pt idx="295">
                  <c:v>50</c:v>
                </c:pt>
                <c:pt idx="296">
                  <c:v>66</c:v>
                </c:pt>
                <c:pt idx="297">
                  <c:v>74</c:v>
                </c:pt>
                <c:pt idx="298">
                  <c:v>67</c:v>
                </c:pt>
                <c:pt idx="299">
                  <c:v>70</c:v>
                </c:pt>
                <c:pt idx="300">
                  <c:v>74</c:v>
                </c:pt>
                <c:pt idx="301">
                  <c:v>67</c:v>
                </c:pt>
                <c:pt idx="302">
                  <c:v>44</c:v>
                </c:pt>
                <c:pt idx="303">
                  <c:v>71</c:v>
                </c:pt>
                <c:pt idx="304">
                  <c:v>77</c:v>
                </c:pt>
                <c:pt idx="305">
                  <c:v>48</c:v>
                </c:pt>
                <c:pt idx="306">
                  <c:v>76</c:v>
                </c:pt>
                <c:pt idx="307">
                  <c:v>74</c:v>
                </c:pt>
                <c:pt idx="308">
                  <c:v>62</c:v>
                </c:pt>
                <c:pt idx="309">
                  <c:v>59</c:v>
                </c:pt>
                <c:pt idx="310">
                  <c:v>74</c:v>
                </c:pt>
                <c:pt idx="311">
                  <c:v>82</c:v>
                </c:pt>
                <c:pt idx="312">
                  <c:v>73</c:v>
                </c:pt>
                <c:pt idx="313">
                  <c:v>83</c:v>
                </c:pt>
                <c:pt idx="314">
                  <c:v>68</c:v>
                </c:pt>
                <c:pt idx="315">
                  <c:v>50</c:v>
                </c:pt>
                <c:pt idx="316">
                  <c:v>59</c:v>
                </c:pt>
                <c:pt idx="317">
                  <c:v>64</c:v>
                </c:pt>
                <c:pt idx="318">
                  <c:v>69</c:v>
                </c:pt>
                <c:pt idx="319">
                  <c:v>66</c:v>
                </c:pt>
                <c:pt idx="320">
                  <c:v>77</c:v>
                </c:pt>
                <c:pt idx="321">
                  <c:v>80</c:v>
                </c:pt>
                <c:pt idx="322">
                  <c:v>71</c:v>
                </c:pt>
                <c:pt idx="323">
                  <c:v>62</c:v>
                </c:pt>
                <c:pt idx="324">
                  <c:v>69</c:v>
                </c:pt>
                <c:pt idx="325">
                  <c:v>77</c:v>
                </c:pt>
                <c:pt idx="326">
                  <c:v>85</c:v>
                </c:pt>
                <c:pt idx="327">
                  <c:v>78</c:v>
                </c:pt>
                <c:pt idx="328">
                  <c:v>76</c:v>
                </c:pt>
                <c:pt idx="329">
                  <c:v>55</c:v>
                </c:pt>
                <c:pt idx="330">
                  <c:v>49</c:v>
                </c:pt>
                <c:pt idx="331">
                  <c:v>51</c:v>
                </c:pt>
                <c:pt idx="332">
                  <c:v>66</c:v>
                </c:pt>
                <c:pt idx="333">
                  <c:v>69</c:v>
                </c:pt>
                <c:pt idx="334">
                  <c:v>85</c:v>
                </c:pt>
                <c:pt idx="335">
                  <c:v>88</c:v>
                </c:pt>
                <c:pt idx="336">
                  <c:v>69</c:v>
                </c:pt>
                <c:pt idx="337">
                  <c:v>64</c:v>
                </c:pt>
                <c:pt idx="338">
                  <c:v>78</c:v>
                </c:pt>
                <c:pt idx="339">
                  <c:v>81</c:v>
                </c:pt>
                <c:pt idx="340">
                  <c:v>75</c:v>
                </c:pt>
                <c:pt idx="341">
                  <c:v>67</c:v>
                </c:pt>
                <c:pt idx="342">
                  <c:v>75</c:v>
                </c:pt>
                <c:pt idx="343">
                  <c:v>65</c:v>
                </c:pt>
                <c:pt idx="344">
                  <c:v>60</c:v>
                </c:pt>
                <c:pt idx="345">
                  <c:v>83</c:v>
                </c:pt>
                <c:pt idx="346">
                  <c:v>83</c:v>
                </c:pt>
                <c:pt idx="347">
                  <c:v>88</c:v>
                </c:pt>
                <c:pt idx="348">
                  <c:v>64</c:v>
                </c:pt>
                <c:pt idx="349">
                  <c:v>80</c:v>
                </c:pt>
                <c:pt idx="350">
                  <c:v>66</c:v>
                </c:pt>
                <c:pt idx="351">
                  <c:v>62</c:v>
                </c:pt>
                <c:pt idx="352">
                  <c:v>66</c:v>
                </c:pt>
                <c:pt idx="353">
                  <c:v>81</c:v>
                </c:pt>
                <c:pt idx="354">
                  <c:v>77</c:v>
                </c:pt>
                <c:pt idx="355">
                  <c:v>81</c:v>
                </c:pt>
                <c:pt idx="356">
                  <c:v>80</c:v>
                </c:pt>
                <c:pt idx="357">
                  <c:v>68</c:v>
                </c:pt>
                <c:pt idx="358">
                  <c:v>68</c:v>
                </c:pt>
                <c:pt idx="359">
                  <c:v>77</c:v>
                </c:pt>
                <c:pt idx="360">
                  <c:v>78</c:v>
                </c:pt>
                <c:pt idx="361">
                  <c:v>88</c:v>
                </c:pt>
                <c:pt idx="362">
                  <c:v>90</c:v>
                </c:pt>
                <c:pt idx="363">
                  <c:v>82</c:v>
                </c:pt>
                <c:pt idx="364">
                  <c:v>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F6-4780-8713-3562EC203E06}"/>
            </c:ext>
          </c:extLst>
        </c:ser>
        <c:ser>
          <c:idx val="1"/>
          <c:order val="1"/>
          <c:tx>
            <c:v>temperature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tint val="77000"/>
                </a:schemeClr>
              </a:solidFill>
              <a:ln w="9525">
                <a:solidFill>
                  <a:schemeClr val="accent5">
                    <a:tint val="77000"/>
                  </a:schemeClr>
                </a:solidFill>
                <a:round/>
              </a:ln>
              <a:effectLst/>
            </c:spPr>
          </c:marker>
          <c:xVal>
            <c:numRef>
              <c:f>'Q2.3'!$AB$2:$AB$366</c:f>
              <c:numCache>
                <c:formatCode>0.00</c:formatCode>
                <c:ptCount val="365"/>
                <c:pt idx="0">
                  <c:v>32.250015000000005</c:v>
                </c:pt>
                <c:pt idx="1">
                  <c:v>32.700015</c:v>
                </c:pt>
                <c:pt idx="2">
                  <c:v>33.600014999999999</c:v>
                </c:pt>
                <c:pt idx="3">
                  <c:v>32.4</c:v>
                </c:pt>
                <c:pt idx="4">
                  <c:v>33.75</c:v>
                </c:pt>
                <c:pt idx="5">
                  <c:v>31.912514999999999</c:v>
                </c:pt>
                <c:pt idx="6">
                  <c:v>32.999985000000002</c:v>
                </c:pt>
                <c:pt idx="7">
                  <c:v>33.637500000000003</c:v>
                </c:pt>
                <c:pt idx="8">
                  <c:v>34.3125</c:v>
                </c:pt>
                <c:pt idx="9">
                  <c:v>35.737514999999995</c:v>
                </c:pt>
                <c:pt idx="10">
                  <c:v>33.600014999999999</c:v>
                </c:pt>
                <c:pt idx="11">
                  <c:v>30.637485000000002</c:v>
                </c:pt>
                <c:pt idx="12">
                  <c:v>29.849984999999997</c:v>
                </c:pt>
                <c:pt idx="13">
                  <c:v>30.900015</c:v>
                </c:pt>
                <c:pt idx="14">
                  <c:v>32.362515000000002</c:v>
                </c:pt>
                <c:pt idx="15">
                  <c:v>33.600014999999999</c:v>
                </c:pt>
                <c:pt idx="16">
                  <c:v>34.950015</c:v>
                </c:pt>
                <c:pt idx="17">
                  <c:v>34.574985000000005</c:v>
                </c:pt>
                <c:pt idx="18">
                  <c:v>36.674999999999997</c:v>
                </c:pt>
                <c:pt idx="19">
                  <c:v>38.174985</c:v>
                </c:pt>
                <c:pt idx="20">
                  <c:v>38.212515000000003</c:v>
                </c:pt>
                <c:pt idx="21">
                  <c:v>37.35</c:v>
                </c:pt>
                <c:pt idx="22">
                  <c:v>33.449984999999998</c:v>
                </c:pt>
                <c:pt idx="23">
                  <c:v>34.725014999999999</c:v>
                </c:pt>
                <c:pt idx="24">
                  <c:v>34.875</c:v>
                </c:pt>
                <c:pt idx="25">
                  <c:v>35.062515000000005</c:v>
                </c:pt>
                <c:pt idx="26">
                  <c:v>37.724984999999997</c:v>
                </c:pt>
                <c:pt idx="27">
                  <c:v>36.187514999999998</c:v>
                </c:pt>
                <c:pt idx="28">
                  <c:v>36.262484999999998</c:v>
                </c:pt>
                <c:pt idx="29">
                  <c:v>34.725014999999999</c:v>
                </c:pt>
                <c:pt idx="30">
                  <c:v>35.249984999999995</c:v>
                </c:pt>
                <c:pt idx="31">
                  <c:v>32.925014999999995</c:v>
                </c:pt>
                <c:pt idx="32">
                  <c:v>31.95</c:v>
                </c:pt>
                <c:pt idx="33">
                  <c:v>31.987485000000003</c:v>
                </c:pt>
                <c:pt idx="34">
                  <c:v>32.250015000000005</c:v>
                </c:pt>
                <c:pt idx="35">
                  <c:v>33.412500000000001</c:v>
                </c:pt>
                <c:pt idx="36">
                  <c:v>34.424999999999997</c:v>
                </c:pt>
                <c:pt idx="37">
                  <c:v>34.875</c:v>
                </c:pt>
                <c:pt idx="38">
                  <c:v>34.500014999999998</c:v>
                </c:pt>
                <c:pt idx="39">
                  <c:v>32.287500000000001</c:v>
                </c:pt>
                <c:pt idx="40">
                  <c:v>31.874984999999999</c:v>
                </c:pt>
                <c:pt idx="41">
                  <c:v>30.862485</c:v>
                </c:pt>
                <c:pt idx="42">
                  <c:v>30.450015</c:v>
                </c:pt>
                <c:pt idx="43">
                  <c:v>29.962485000000001</c:v>
                </c:pt>
                <c:pt idx="44">
                  <c:v>31.537485</c:v>
                </c:pt>
                <c:pt idx="45">
                  <c:v>32.549985</c:v>
                </c:pt>
                <c:pt idx="46">
                  <c:v>32.025015000000003</c:v>
                </c:pt>
                <c:pt idx="47">
                  <c:v>30.825000000000003</c:v>
                </c:pt>
                <c:pt idx="48">
                  <c:v>31.387499999999999</c:v>
                </c:pt>
                <c:pt idx="49">
                  <c:v>31.987485000000003</c:v>
                </c:pt>
                <c:pt idx="50">
                  <c:v>31.125015000000001</c:v>
                </c:pt>
                <c:pt idx="51">
                  <c:v>28.837485000000001</c:v>
                </c:pt>
                <c:pt idx="52">
                  <c:v>30.299985</c:v>
                </c:pt>
                <c:pt idx="53">
                  <c:v>30.787514999999999</c:v>
                </c:pt>
                <c:pt idx="54">
                  <c:v>31.499999999999996</c:v>
                </c:pt>
                <c:pt idx="55">
                  <c:v>30.6</c:v>
                </c:pt>
                <c:pt idx="56">
                  <c:v>31.817654999999998</c:v>
                </c:pt>
                <c:pt idx="57">
                  <c:v>28.650015</c:v>
                </c:pt>
                <c:pt idx="58">
                  <c:v>28.762515</c:v>
                </c:pt>
                <c:pt idx="59">
                  <c:v>29.550014999999998</c:v>
                </c:pt>
                <c:pt idx="60">
                  <c:v>29.475000000000001</c:v>
                </c:pt>
                <c:pt idx="61">
                  <c:v>28.949985000000002</c:v>
                </c:pt>
                <c:pt idx="62">
                  <c:v>30.112514999999998</c:v>
                </c:pt>
                <c:pt idx="63">
                  <c:v>31.912514999999999</c:v>
                </c:pt>
                <c:pt idx="64">
                  <c:v>30.299985</c:v>
                </c:pt>
                <c:pt idx="65">
                  <c:v>24.3</c:v>
                </c:pt>
                <c:pt idx="66">
                  <c:v>26.962515</c:v>
                </c:pt>
                <c:pt idx="67">
                  <c:v>28.526084999999998</c:v>
                </c:pt>
                <c:pt idx="68">
                  <c:v>29.25</c:v>
                </c:pt>
                <c:pt idx="69">
                  <c:v>29.700000000000003</c:v>
                </c:pt>
                <c:pt idx="70">
                  <c:v>29.399985000000001</c:v>
                </c:pt>
                <c:pt idx="71">
                  <c:v>28.995660000000001</c:v>
                </c:pt>
                <c:pt idx="72">
                  <c:v>29.287485</c:v>
                </c:pt>
                <c:pt idx="73">
                  <c:v>30.299985</c:v>
                </c:pt>
                <c:pt idx="74">
                  <c:v>25.987500000000001</c:v>
                </c:pt>
                <c:pt idx="75">
                  <c:v>21.112514999999998</c:v>
                </c:pt>
                <c:pt idx="76">
                  <c:v>22.125015000000001</c:v>
                </c:pt>
                <c:pt idx="77">
                  <c:v>22.837499999999999</c:v>
                </c:pt>
                <c:pt idx="78">
                  <c:v>24.712515</c:v>
                </c:pt>
                <c:pt idx="79">
                  <c:v>25.275015</c:v>
                </c:pt>
                <c:pt idx="80">
                  <c:v>26.774999999999999</c:v>
                </c:pt>
                <c:pt idx="81">
                  <c:v>28.274985000000001</c:v>
                </c:pt>
                <c:pt idx="82">
                  <c:v>27.412514999999999</c:v>
                </c:pt>
                <c:pt idx="83">
                  <c:v>27.300014999999998</c:v>
                </c:pt>
                <c:pt idx="84">
                  <c:v>28.537515000000003</c:v>
                </c:pt>
                <c:pt idx="85">
                  <c:v>29.212515000000003</c:v>
                </c:pt>
                <c:pt idx="86">
                  <c:v>28.650015</c:v>
                </c:pt>
                <c:pt idx="87">
                  <c:v>28.574999999999999</c:v>
                </c:pt>
                <c:pt idx="88">
                  <c:v>27.750014999999998</c:v>
                </c:pt>
                <c:pt idx="89">
                  <c:v>25.387515</c:v>
                </c:pt>
                <c:pt idx="90">
                  <c:v>18.45</c:v>
                </c:pt>
                <c:pt idx="91">
                  <c:v>16.050015000000002</c:v>
                </c:pt>
                <c:pt idx="92">
                  <c:v>17.287514999999999</c:v>
                </c:pt>
                <c:pt idx="93">
                  <c:v>21.787514999999999</c:v>
                </c:pt>
                <c:pt idx="94">
                  <c:v>24.224984999999997</c:v>
                </c:pt>
                <c:pt idx="95">
                  <c:v>22.237515000000002</c:v>
                </c:pt>
                <c:pt idx="96">
                  <c:v>22.987485</c:v>
                </c:pt>
                <c:pt idx="97">
                  <c:v>23.475014999999999</c:v>
                </c:pt>
                <c:pt idx="98">
                  <c:v>24.337485000000001</c:v>
                </c:pt>
                <c:pt idx="99">
                  <c:v>25.687485000000002</c:v>
                </c:pt>
                <c:pt idx="100">
                  <c:v>25.500015000000001</c:v>
                </c:pt>
                <c:pt idx="101">
                  <c:v>24.449984999999998</c:v>
                </c:pt>
                <c:pt idx="102">
                  <c:v>26.512515</c:v>
                </c:pt>
                <c:pt idx="103">
                  <c:v>24.787485</c:v>
                </c:pt>
                <c:pt idx="104">
                  <c:v>22.800014999999998</c:v>
                </c:pt>
                <c:pt idx="105">
                  <c:v>23.025015</c:v>
                </c:pt>
                <c:pt idx="106">
                  <c:v>24.037514999999999</c:v>
                </c:pt>
                <c:pt idx="107">
                  <c:v>23.962499999999999</c:v>
                </c:pt>
                <c:pt idx="108">
                  <c:v>24.378254999999999</c:v>
                </c:pt>
                <c:pt idx="109">
                  <c:v>21.412485</c:v>
                </c:pt>
                <c:pt idx="110">
                  <c:v>19.237500000000001</c:v>
                </c:pt>
                <c:pt idx="111">
                  <c:v>19.012499999999999</c:v>
                </c:pt>
                <c:pt idx="112">
                  <c:v>18.975014999999999</c:v>
                </c:pt>
                <c:pt idx="113">
                  <c:v>20.849985</c:v>
                </c:pt>
                <c:pt idx="114">
                  <c:v>21.225014999999999</c:v>
                </c:pt>
                <c:pt idx="115">
                  <c:v>21.787514999999999</c:v>
                </c:pt>
                <c:pt idx="116">
                  <c:v>21.15</c:v>
                </c:pt>
                <c:pt idx="117">
                  <c:v>14.887485</c:v>
                </c:pt>
                <c:pt idx="118">
                  <c:v>11.437514999999999</c:v>
                </c:pt>
                <c:pt idx="119">
                  <c:v>14.362514999999998</c:v>
                </c:pt>
                <c:pt idx="120">
                  <c:v>15.3</c:v>
                </c:pt>
                <c:pt idx="121">
                  <c:v>18.037485</c:v>
                </c:pt>
                <c:pt idx="122">
                  <c:v>16.987500000000001</c:v>
                </c:pt>
                <c:pt idx="123">
                  <c:v>18.374984999999999</c:v>
                </c:pt>
                <c:pt idx="124">
                  <c:v>18.149985000000001</c:v>
                </c:pt>
                <c:pt idx="125">
                  <c:v>14.700014999999999</c:v>
                </c:pt>
                <c:pt idx="126">
                  <c:v>15.674985</c:v>
                </c:pt>
                <c:pt idx="127">
                  <c:v>17.775000000000002</c:v>
                </c:pt>
                <c:pt idx="128">
                  <c:v>18.374984999999999</c:v>
                </c:pt>
                <c:pt idx="129">
                  <c:v>18</c:v>
                </c:pt>
                <c:pt idx="130">
                  <c:v>17.100000000000001</c:v>
                </c:pt>
                <c:pt idx="131">
                  <c:v>14.587515</c:v>
                </c:pt>
                <c:pt idx="132">
                  <c:v>16.050015000000002</c:v>
                </c:pt>
                <c:pt idx="133">
                  <c:v>19.837484999999997</c:v>
                </c:pt>
                <c:pt idx="134">
                  <c:v>23.85</c:v>
                </c:pt>
                <c:pt idx="135">
                  <c:v>23.85</c:v>
                </c:pt>
                <c:pt idx="136">
                  <c:v>20.550014999999998</c:v>
                </c:pt>
                <c:pt idx="137">
                  <c:v>15.375014999999999</c:v>
                </c:pt>
                <c:pt idx="138">
                  <c:v>12.337515</c:v>
                </c:pt>
                <c:pt idx="139">
                  <c:v>14.812514999999999</c:v>
                </c:pt>
                <c:pt idx="140">
                  <c:v>20.849985</c:v>
                </c:pt>
                <c:pt idx="141">
                  <c:v>20.137499999999999</c:v>
                </c:pt>
                <c:pt idx="142">
                  <c:v>18.750015000000001</c:v>
                </c:pt>
                <c:pt idx="143">
                  <c:v>19.837484999999997</c:v>
                </c:pt>
                <c:pt idx="144">
                  <c:v>16.799985</c:v>
                </c:pt>
                <c:pt idx="145">
                  <c:v>16.875</c:v>
                </c:pt>
                <c:pt idx="146">
                  <c:v>16.912485</c:v>
                </c:pt>
                <c:pt idx="147">
                  <c:v>20.662514999999999</c:v>
                </c:pt>
                <c:pt idx="148">
                  <c:v>22.656510000000001</c:v>
                </c:pt>
                <c:pt idx="149">
                  <c:v>20.624984999999999</c:v>
                </c:pt>
                <c:pt idx="150">
                  <c:v>14.625</c:v>
                </c:pt>
                <c:pt idx="151">
                  <c:v>14.0625</c:v>
                </c:pt>
                <c:pt idx="152">
                  <c:v>14.137514999999999</c:v>
                </c:pt>
                <c:pt idx="153">
                  <c:v>13.462515000000002</c:v>
                </c:pt>
                <c:pt idx="154">
                  <c:v>14.887485</c:v>
                </c:pt>
                <c:pt idx="155">
                  <c:v>17.362485</c:v>
                </c:pt>
                <c:pt idx="156">
                  <c:v>20.8125</c:v>
                </c:pt>
                <c:pt idx="157">
                  <c:v>18.45</c:v>
                </c:pt>
                <c:pt idx="158">
                  <c:v>11.962484999999999</c:v>
                </c:pt>
                <c:pt idx="159">
                  <c:v>13.087485000000001</c:v>
                </c:pt>
                <c:pt idx="160">
                  <c:v>12.375000000000002</c:v>
                </c:pt>
                <c:pt idx="161">
                  <c:v>9.9374850000000006</c:v>
                </c:pt>
                <c:pt idx="162">
                  <c:v>10.724985</c:v>
                </c:pt>
                <c:pt idx="163">
                  <c:v>12.712499999999999</c:v>
                </c:pt>
                <c:pt idx="164">
                  <c:v>14.2875</c:v>
                </c:pt>
                <c:pt idx="165">
                  <c:v>19.012499999999999</c:v>
                </c:pt>
                <c:pt idx="166">
                  <c:v>16.875</c:v>
                </c:pt>
                <c:pt idx="167">
                  <c:v>11.624984999999999</c:v>
                </c:pt>
                <c:pt idx="168">
                  <c:v>10.724985</c:v>
                </c:pt>
                <c:pt idx="169">
                  <c:v>12.450015</c:v>
                </c:pt>
                <c:pt idx="170">
                  <c:v>17.362485</c:v>
                </c:pt>
                <c:pt idx="171">
                  <c:v>19.274985000000001</c:v>
                </c:pt>
                <c:pt idx="172">
                  <c:v>19.049985</c:v>
                </c:pt>
                <c:pt idx="173">
                  <c:v>16.799985</c:v>
                </c:pt>
                <c:pt idx="174">
                  <c:v>13.612499999999999</c:v>
                </c:pt>
                <c:pt idx="175">
                  <c:v>12.365235</c:v>
                </c:pt>
                <c:pt idx="176">
                  <c:v>14.478255000000001</c:v>
                </c:pt>
                <c:pt idx="177">
                  <c:v>14.625</c:v>
                </c:pt>
                <c:pt idx="178">
                  <c:v>13.460850000000001</c:v>
                </c:pt>
                <c:pt idx="179">
                  <c:v>11.174985</c:v>
                </c:pt>
                <c:pt idx="180">
                  <c:v>14.025015000000002</c:v>
                </c:pt>
                <c:pt idx="181">
                  <c:v>18.45</c:v>
                </c:pt>
                <c:pt idx="182">
                  <c:v>15.487515</c:v>
                </c:pt>
                <c:pt idx="183">
                  <c:v>16.35651</c:v>
                </c:pt>
                <c:pt idx="184">
                  <c:v>8.8363800000000001</c:v>
                </c:pt>
                <c:pt idx="185">
                  <c:v>9</c:v>
                </c:pt>
                <c:pt idx="186">
                  <c:v>10.213065</c:v>
                </c:pt>
                <c:pt idx="187">
                  <c:v>9.1956600000000002</c:v>
                </c:pt>
                <c:pt idx="188">
                  <c:v>8.843490000000001</c:v>
                </c:pt>
                <c:pt idx="189">
                  <c:v>7.4250000000000007</c:v>
                </c:pt>
                <c:pt idx="190">
                  <c:v>6.2249850000000002</c:v>
                </c:pt>
                <c:pt idx="191">
                  <c:v>6.7874850000000002</c:v>
                </c:pt>
                <c:pt idx="192">
                  <c:v>7.6090949999999999</c:v>
                </c:pt>
                <c:pt idx="193">
                  <c:v>7.7727149999999998</c:v>
                </c:pt>
                <c:pt idx="194">
                  <c:v>7.4250000000000007</c:v>
                </c:pt>
                <c:pt idx="195">
                  <c:v>7.2391500000000004</c:v>
                </c:pt>
                <c:pt idx="196">
                  <c:v>10.499985000000001</c:v>
                </c:pt>
                <c:pt idx="197">
                  <c:v>10.425015</c:v>
                </c:pt>
                <c:pt idx="198">
                  <c:v>7.9124849999999993</c:v>
                </c:pt>
                <c:pt idx="199">
                  <c:v>9.7500149999999994</c:v>
                </c:pt>
                <c:pt idx="200">
                  <c:v>13.147829999999999</c:v>
                </c:pt>
                <c:pt idx="201">
                  <c:v>11.775015</c:v>
                </c:pt>
                <c:pt idx="202">
                  <c:v>7.9874999999999998</c:v>
                </c:pt>
                <c:pt idx="203">
                  <c:v>2.6608679999999998</c:v>
                </c:pt>
                <c:pt idx="204">
                  <c:v>4.3434765000000004</c:v>
                </c:pt>
                <c:pt idx="205">
                  <c:v>4.3826084999999999</c:v>
                </c:pt>
                <c:pt idx="206">
                  <c:v>10.056510000000001</c:v>
                </c:pt>
                <c:pt idx="207">
                  <c:v>9.7874999999999996</c:v>
                </c:pt>
                <c:pt idx="208">
                  <c:v>8.7750000000000004</c:v>
                </c:pt>
                <c:pt idx="209">
                  <c:v>9.156509999999999</c:v>
                </c:pt>
                <c:pt idx="210">
                  <c:v>8.843490000000001</c:v>
                </c:pt>
                <c:pt idx="211">
                  <c:v>9.7434899999999995</c:v>
                </c:pt>
                <c:pt idx="212">
                  <c:v>8.1374849999999999</c:v>
                </c:pt>
                <c:pt idx="213">
                  <c:v>8.6478300000000008</c:v>
                </c:pt>
                <c:pt idx="214">
                  <c:v>11.700000000000001</c:v>
                </c:pt>
                <c:pt idx="215">
                  <c:v>8.4130650000000013</c:v>
                </c:pt>
                <c:pt idx="216">
                  <c:v>9.50868</c:v>
                </c:pt>
                <c:pt idx="217">
                  <c:v>10.499985000000001</c:v>
                </c:pt>
                <c:pt idx="218">
                  <c:v>12.862485</c:v>
                </c:pt>
                <c:pt idx="219">
                  <c:v>12.225014999999999</c:v>
                </c:pt>
                <c:pt idx="220">
                  <c:v>9.9374850000000006</c:v>
                </c:pt>
                <c:pt idx="221">
                  <c:v>6.0652349999999995</c:v>
                </c:pt>
                <c:pt idx="222">
                  <c:v>6.49566</c:v>
                </c:pt>
                <c:pt idx="223">
                  <c:v>8.5090950000000003</c:v>
                </c:pt>
                <c:pt idx="224">
                  <c:v>10.012499999999999</c:v>
                </c:pt>
                <c:pt idx="225">
                  <c:v>14.243490000000001</c:v>
                </c:pt>
                <c:pt idx="226">
                  <c:v>18.675000000000001</c:v>
                </c:pt>
                <c:pt idx="227">
                  <c:v>11.973915000000002</c:v>
                </c:pt>
                <c:pt idx="228">
                  <c:v>14.321745</c:v>
                </c:pt>
                <c:pt idx="229">
                  <c:v>19.612485</c:v>
                </c:pt>
                <c:pt idx="230">
                  <c:v>23.475014999999999</c:v>
                </c:pt>
                <c:pt idx="231">
                  <c:v>17.962515</c:v>
                </c:pt>
                <c:pt idx="232">
                  <c:v>12.834764999999999</c:v>
                </c:pt>
                <c:pt idx="233">
                  <c:v>13.649985000000001</c:v>
                </c:pt>
                <c:pt idx="234">
                  <c:v>8.1999899999999997</c:v>
                </c:pt>
                <c:pt idx="235">
                  <c:v>9.978254999999999</c:v>
                </c:pt>
                <c:pt idx="236">
                  <c:v>13.304340000000002</c:v>
                </c:pt>
                <c:pt idx="237">
                  <c:v>16.395659999999999</c:v>
                </c:pt>
                <c:pt idx="238">
                  <c:v>12.712499999999999</c:v>
                </c:pt>
                <c:pt idx="239">
                  <c:v>15.45651</c:v>
                </c:pt>
                <c:pt idx="240">
                  <c:v>18.327285</c:v>
                </c:pt>
                <c:pt idx="241">
                  <c:v>12.000014999999999</c:v>
                </c:pt>
                <c:pt idx="242">
                  <c:v>15.075000000000001</c:v>
                </c:pt>
                <c:pt idx="243">
                  <c:v>8.9249850000000013</c:v>
                </c:pt>
                <c:pt idx="244">
                  <c:v>11.775015</c:v>
                </c:pt>
                <c:pt idx="245">
                  <c:v>17.287514999999999</c:v>
                </c:pt>
                <c:pt idx="246">
                  <c:v>16.943490000000001</c:v>
                </c:pt>
                <c:pt idx="247">
                  <c:v>11.778255</c:v>
                </c:pt>
                <c:pt idx="248">
                  <c:v>13.1625</c:v>
                </c:pt>
                <c:pt idx="249">
                  <c:v>13.312485000000001</c:v>
                </c:pt>
                <c:pt idx="250">
                  <c:v>17.509095000000002</c:v>
                </c:pt>
                <c:pt idx="251">
                  <c:v>14.243490000000001</c:v>
                </c:pt>
                <c:pt idx="252">
                  <c:v>14.812514999999999</c:v>
                </c:pt>
                <c:pt idx="253">
                  <c:v>17.295660000000002</c:v>
                </c:pt>
                <c:pt idx="254">
                  <c:v>14.634765</c:v>
                </c:pt>
                <c:pt idx="255">
                  <c:v>14.282594999999999</c:v>
                </c:pt>
                <c:pt idx="256">
                  <c:v>16.434765000000002</c:v>
                </c:pt>
                <c:pt idx="257">
                  <c:v>18.675000000000001</c:v>
                </c:pt>
                <c:pt idx="258">
                  <c:v>24.3</c:v>
                </c:pt>
                <c:pt idx="259">
                  <c:v>21.262499999999999</c:v>
                </c:pt>
                <c:pt idx="260">
                  <c:v>14.9625</c:v>
                </c:pt>
                <c:pt idx="261">
                  <c:v>19.369575000000001</c:v>
                </c:pt>
                <c:pt idx="262">
                  <c:v>19.875014999999998</c:v>
                </c:pt>
                <c:pt idx="263">
                  <c:v>15.613065000000001</c:v>
                </c:pt>
                <c:pt idx="264">
                  <c:v>12.824999999999999</c:v>
                </c:pt>
                <c:pt idx="265">
                  <c:v>11.887514999999999</c:v>
                </c:pt>
                <c:pt idx="266">
                  <c:v>11.962484999999999</c:v>
                </c:pt>
                <c:pt idx="267">
                  <c:v>11.386935000000001</c:v>
                </c:pt>
                <c:pt idx="268">
                  <c:v>11.895660000000001</c:v>
                </c:pt>
                <c:pt idx="269">
                  <c:v>13.612499999999999</c:v>
                </c:pt>
                <c:pt idx="270">
                  <c:v>13.5</c:v>
                </c:pt>
                <c:pt idx="271">
                  <c:v>12.074985</c:v>
                </c:pt>
                <c:pt idx="272">
                  <c:v>13.5</c:v>
                </c:pt>
                <c:pt idx="273">
                  <c:v>14.175000000000001</c:v>
                </c:pt>
                <c:pt idx="274">
                  <c:v>17.024984999999997</c:v>
                </c:pt>
                <c:pt idx="275">
                  <c:v>25.799985</c:v>
                </c:pt>
                <c:pt idx="276">
                  <c:v>18.637515</c:v>
                </c:pt>
                <c:pt idx="277">
                  <c:v>17.587485000000001</c:v>
                </c:pt>
                <c:pt idx="278">
                  <c:v>19.6875</c:v>
                </c:pt>
                <c:pt idx="279">
                  <c:v>15.112485</c:v>
                </c:pt>
                <c:pt idx="280">
                  <c:v>15.412500000000001</c:v>
                </c:pt>
                <c:pt idx="281">
                  <c:v>19.200015</c:v>
                </c:pt>
                <c:pt idx="282">
                  <c:v>26.80434</c:v>
                </c:pt>
                <c:pt idx="283">
                  <c:v>22.612499999999997</c:v>
                </c:pt>
                <c:pt idx="284">
                  <c:v>18.5625</c:v>
                </c:pt>
                <c:pt idx="285">
                  <c:v>21.037500000000001</c:v>
                </c:pt>
                <c:pt idx="286">
                  <c:v>20.100014999999999</c:v>
                </c:pt>
                <c:pt idx="287">
                  <c:v>19.387485000000002</c:v>
                </c:pt>
                <c:pt idx="288">
                  <c:v>20.550014999999998</c:v>
                </c:pt>
                <c:pt idx="289">
                  <c:v>23.062499999999996</c:v>
                </c:pt>
                <c:pt idx="290">
                  <c:v>22.762484999999998</c:v>
                </c:pt>
                <c:pt idx="291">
                  <c:v>26.774999999999999</c:v>
                </c:pt>
                <c:pt idx="292">
                  <c:v>20.662514999999999</c:v>
                </c:pt>
                <c:pt idx="293">
                  <c:v>15.150015</c:v>
                </c:pt>
                <c:pt idx="294">
                  <c:v>20.7</c:v>
                </c:pt>
                <c:pt idx="295">
                  <c:v>26.175015000000002</c:v>
                </c:pt>
                <c:pt idx="296">
                  <c:v>27.300014999999998</c:v>
                </c:pt>
                <c:pt idx="297">
                  <c:v>28.425014999999998</c:v>
                </c:pt>
                <c:pt idx="298">
                  <c:v>27.9</c:v>
                </c:pt>
                <c:pt idx="299">
                  <c:v>27.787500000000001</c:v>
                </c:pt>
                <c:pt idx="300">
                  <c:v>22.95</c:v>
                </c:pt>
                <c:pt idx="301">
                  <c:v>21.262499999999999</c:v>
                </c:pt>
                <c:pt idx="302">
                  <c:v>20.325015</c:v>
                </c:pt>
                <c:pt idx="303">
                  <c:v>24.712515</c:v>
                </c:pt>
                <c:pt idx="304">
                  <c:v>27.750014999999998</c:v>
                </c:pt>
                <c:pt idx="305">
                  <c:v>18.637515</c:v>
                </c:pt>
                <c:pt idx="306">
                  <c:v>20.662514999999999</c:v>
                </c:pt>
                <c:pt idx="307">
                  <c:v>21.562515000000001</c:v>
                </c:pt>
                <c:pt idx="308">
                  <c:v>23.400000000000002</c:v>
                </c:pt>
                <c:pt idx="309">
                  <c:v>23.774985000000001</c:v>
                </c:pt>
                <c:pt idx="310">
                  <c:v>23.962499999999999</c:v>
                </c:pt>
                <c:pt idx="311">
                  <c:v>23.962499999999999</c:v>
                </c:pt>
                <c:pt idx="312">
                  <c:v>24.412499999999998</c:v>
                </c:pt>
                <c:pt idx="313">
                  <c:v>24.075000000000003</c:v>
                </c:pt>
                <c:pt idx="314">
                  <c:v>23.062499999999996</c:v>
                </c:pt>
                <c:pt idx="315">
                  <c:v>23.437484999999999</c:v>
                </c:pt>
                <c:pt idx="316">
                  <c:v>25.3125</c:v>
                </c:pt>
                <c:pt idx="317">
                  <c:v>25.987500000000001</c:v>
                </c:pt>
                <c:pt idx="318">
                  <c:v>25.275015</c:v>
                </c:pt>
                <c:pt idx="319">
                  <c:v>24.750000000000004</c:v>
                </c:pt>
                <c:pt idx="320">
                  <c:v>23.887485000000002</c:v>
                </c:pt>
                <c:pt idx="321">
                  <c:v>24.150015</c:v>
                </c:pt>
                <c:pt idx="322">
                  <c:v>27.112500000000001</c:v>
                </c:pt>
                <c:pt idx="323">
                  <c:v>27.187515000000001</c:v>
                </c:pt>
                <c:pt idx="324">
                  <c:v>28.425014999999998</c:v>
                </c:pt>
                <c:pt idx="325">
                  <c:v>29.700000000000003</c:v>
                </c:pt>
                <c:pt idx="326">
                  <c:v>29.737485</c:v>
                </c:pt>
                <c:pt idx="327">
                  <c:v>31.874984999999999</c:v>
                </c:pt>
                <c:pt idx="328">
                  <c:v>30.675015000000002</c:v>
                </c:pt>
                <c:pt idx="329">
                  <c:v>29.512485000000002</c:v>
                </c:pt>
                <c:pt idx="330">
                  <c:v>30.037499999999998</c:v>
                </c:pt>
                <c:pt idx="331">
                  <c:v>32.999985000000002</c:v>
                </c:pt>
                <c:pt idx="332">
                  <c:v>34.875</c:v>
                </c:pt>
                <c:pt idx="333">
                  <c:v>34.387515</c:v>
                </c:pt>
                <c:pt idx="334">
                  <c:v>32.174999999999997</c:v>
                </c:pt>
                <c:pt idx="335">
                  <c:v>27.9</c:v>
                </c:pt>
                <c:pt idx="336">
                  <c:v>28.574999999999999</c:v>
                </c:pt>
                <c:pt idx="337">
                  <c:v>29.174985000000003</c:v>
                </c:pt>
                <c:pt idx="338">
                  <c:v>30.524984999999997</c:v>
                </c:pt>
                <c:pt idx="339">
                  <c:v>31.837500000000002</c:v>
                </c:pt>
                <c:pt idx="340">
                  <c:v>34.912484999999997</c:v>
                </c:pt>
                <c:pt idx="341">
                  <c:v>36.374984999999995</c:v>
                </c:pt>
                <c:pt idx="342">
                  <c:v>33.975000000000001</c:v>
                </c:pt>
                <c:pt idx="343">
                  <c:v>32.625</c:v>
                </c:pt>
                <c:pt idx="344">
                  <c:v>31.162500000000001</c:v>
                </c:pt>
                <c:pt idx="345">
                  <c:v>28.574999999999999</c:v>
                </c:pt>
                <c:pt idx="346">
                  <c:v>27.187515000000001</c:v>
                </c:pt>
                <c:pt idx="347">
                  <c:v>28.200015</c:v>
                </c:pt>
                <c:pt idx="348">
                  <c:v>28.274985000000001</c:v>
                </c:pt>
                <c:pt idx="349">
                  <c:v>29.212515000000003</c:v>
                </c:pt>
                <c:pt idx="350">
                  <c:v>31.350015000000003</c:v>
                </c:pt>
                <c:pt idx="351">
                  <c:v>31.462515</c:v>
                </c:pt>
                <c:pt idx="352">
                  <c:v>28.574999999999999</c:v>
                </c:pt>
                <c:pt idx="353">
                  <c:v>30.637485000000002</c:v>
                </c:pt>
                <c:pt idx="354">
                  <c:v>32.999985000000002</c:v>
                </c:pt>
                <c:pt idx="355">
                  <c:v>32.774985000000001</c:v>
                </c:pt>
                <c:pt idx="356">
                  <c:v>32.587515000000003</c:v>
                </c:pt>
                <c:pt idx="357">
                  <c:v>31.274999999999999</c:v>
                </c:pt>
                <c:pt idx="358">
                  <c:v>30.6</c:v>
                </c:pt>
                <c:pt idx="359">
                  <c:v>30.712499999999999</c:v>
                </c:pt>
                <c:pt idx="360">
                  <c:v>33.487515000000002</c:v>
                </c:pt>
                <c:pt idx="361">
                  <c:v>32.774985000000001</c:v>
                </c:pt>
                <c:pt idx="362">
                  <c:v>31.350015000000003</c:v>
                </c:pt>
                <c:pt idx="363">
                  <c:v>32.512500000000003</c:v>
                </c:pt>
                <c:pt idx="364">
                  <c:v>33.224985000000004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DD3-43F1-981A-5C8582238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4176720"/>
        <c:axId val="1484176240"/>
      </c:scatterChart>
      <c:valAx>
        <c:axId val="148417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176240"/>
        <c:crosses val="autoZero"/>
        <c:crossBetween val="midCat"/>
      </c:valAx>
      <c:valAx>
        <c:axId val="148417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176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Humidity &amp; pbike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'Q2.3'!$AD$1</c:f>
              <c:strCache>
                <c:ptCount val="1"/>
                <c:pt idx="0">
                  <c:v>Humidity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4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'Q2.3'!$AC$2:$AC$366</c:f>
              <c:numCache>
                <c:formatCode>0.00</c:formatCode>
                <c:ptCount val="365"/>
                <c:pt idx="0">
                  <c:v>47</c:v>
                </c:pt>
                <c:pt idx="1">
                  <c:v>60</c:v>
                </c:pt>
                <c:pt idx="2">
                  <c:v>73</c:v>
                </c:pt>
                <c:pt idx="3">
                  <c:v>77</c:v>
                </c:pt>
                <c:pt idx="4">
                  <c:v>77</c:v>
                </c:pt>
                <c:pt idx="5">
                  <c:v>67</c:v>
                </c:pt>
                <c:pt idx="6">
                  <c:v>67</c:v>
                </c:pt>
                <c:pt idx="7">
                  <c:v>63</c:v>
                </c:pt>
                <c:pt idx="8">
                  <c:v>67</c:v>
                </c:pt>
                <c:pt idx="9">
                  <c:v>72</c:v>
                </c:pt>
                <c:pt idx="10">
                  <c:v>72</c:v>
                </c:pt>
                <c:pt idx="11">
                  <c:v>84</c:v>
                </c:pt>
                <c:pt idx="12">
                  <c:v>84</c:v>
                </c:pt>
                <c:pt idx="13">
                  <c:v>70</c:v>
                </c:pt>
                <c:pt idx="14">
                  <c:v>66</c:v>
                </c:pt>
                <c:pt idx="15">
                  <c:v>72</c:v>
                </c:pt>
                <c:pt idx="16">
                  <c:v>76</c:v>
                </c:pt>
                <c:pt idx="17">
                  <c:v>74</c:v>
                </c:pt>
                <c:pt idx="18">
                  <c:v>63</c:v>
                </c:pt>
                <c:pt idx="19">
                  <c:v>57</c:v>
                </c:pt>
                <c:pt idx="20">
                  <c:v>46</c:v>
                </c:pt>
                <c:pt idx="21">
                  <c:v>51</c:v>
                </c:pt>
                <c:pt idx="22">
                  <c:v>65</c:v>
                </c:pt>
                <c:pt idx="23">
                  <c:v>77</c:v>
                </c:pt>
                <c:pt idx="24">
                  <c:v>78</c:v>
                </c:pt>
                <c:pt idx="25">
                  <c:v>76</c:v>
                </c:pt>
                <c:pt idx="26">
                  <c:v>64</c:v>
                </c:pt>
                <c:pt idx="27">
                  <c:v>58</c:v>
                </c:pt>
                <c:pt idx="28">
                  <c:v>56</c:v>
                </c:pt>
                <c:pt idx="29">
                  <c:v>71</c:v>
                </c:pt>
                <c:pt idx="30">
                  <c:v>81</c:v>
                </c:pt>
                <c:pt idx="31">
                  <c:v>62</c:v>
                </c:pt>
                <c:pt idx="32">
                  <c:v>76</c:v>
                </c:pt>
                <c:pt idx="33">
                  <c:v>77</c:v>
                </c:pt>
                <c:pt idx="34">
                  <c:v>55</c:v>
                </c:pt>
                <c:pt idx="35">
                  <c:v>50</c:v>
                </c:pt>
                <c:pt idx="36">
                  <c:v>70</c:v>
                </c:pt>
                <c:pt idx="37">
                  <c:v>74</c:v>
                </c:pt>
                <c:pt idx="38">
                  <c:v>78</c:v>
                </c:pt>
                <c:pt idx="39">
                  <c:v>80</c:v>
                </c:pt>
                <c:pt idx="40">
                  <c:v>77</c:v>
                </c:pt>
                <c:pt idx="41">
                  <c:v>53</c:v>
                </c:pt>
                <c:pt idx="42">
                  <c:v>50</c:v>
                </c:pt>
                <c:pt idx="43">
                  <c:v>71</c:v>
                </c:pt>
                <c:pt idx="44">
                  <c:v>80</c:v>
                </c:pt>
                <c:pt idx="45">
                  <c:v>81</c:v>
                </c:pt>
                <c:pt idx="46">
                  <c:v>63</c:v>
                </c:pt>
                <c:pt idx="47">
                  <c:v>67</c:v>
                </c:pt>
                <c:pt idx="48">
                  <c:v>66</c:v>
                </c:pt>
                <c:pt idx="49">
                  <c:v>52</c:v>
                </c:pt>
                <c:pt idx="50">
                  <c:v>79</c:v>
                </c:pt>
                <c:pt idx="51">
                  <c:v>92</c:v>
                </c:pt>
                <c:pt idx="52">
                  <c:v>84</c:v>
                </c:pt>
                <c:pt idx="53">
                  <c:v>62</c:v>
                </c:pt>
                <c:pt idx="54">
                  <c:v>78</c:v>
                </c:pt>
                <c:pt idx="55">
                  <c:v>18</c:v>
                </c:pt>
                <c:pt idx="56">
                  <c:v>58</c:v>
                </c:pt>
                <c:pt idx="57">
                  <c:v>78</c:v>
                </c:pt>
                <c:pt idx="58">
                  <c:v>89</c:v>
                </c:pt>
                <c:pt idx="59">
                  <c:v>87</c:v>
                </c:pt>
                <c:pt idx="60">
                  <c:v>87</c:v>
                </c:pt>
                <c:pt idx="61">
                  <c:v>77</c:v>
                </c:pt>
                <c:pt idx="62">
                  <c:v>51</c:v>
                </c:pt>
                <c:pt idx="63">
                  <c:v>48</c:v>
                </c:pt>
                <c:pt idx="64">
                  <c:v>42</c:v>
                </c:pt>
                <c:pt idx="65">
                  <c:v>50</c:v>
                </c:pt>
                <c:pt idx="66">
                  <c:v>38</c:v>
                </c:pt>
                <c:pt idx="67">
                  <c:v>34</c:v>
                </c:pt>
                <c:pt idx="68">
                  <c:v>63</c:v>
                </c:pt>
                <c:pt idx="69">
                  <c:v>72</c:v>
                </c:pt>
                <c:pt idx="70">
                  <c:v>68</c:v>
                </c:pt>
                <c:pt idx="71">
                  <c:v>80</c:v>
                </c:pt>
                <c:pt idx="72">
                  <c:v>81</c:v>
                </c:pt>
                <c:pt idx="73">
                  <c:v>83</c:v>
                </c:pt>
                <c:pt idx="74">
                  <c:v>65</c:v>
                </c:pt>
                <c:pt idx="75">
                  <c:v>80</c:v>
                </c:pt>
                <c:pt idx="76">
                  <c:v>62</c:v>
                </c:pt>
                <c:pt idx="77">
                  <c:v>58</c:v>
                </c:pt>
                <c:pt idx="78">
                  <c:v>77</c:v>
                </c:pt>
                <c:pt idx="79">
                  <c:v>64</c:v>
                </c:pt>
                <c:pt idx="80">
                  <c:v>76</c:v>
                </c:pt>
                <c:pt idx="81">
                  <c:v>85</c:v>
                </c:pt>
                <c:pt idx="82">
                  <c:v>43</c:v>
                </c:pt>
                <c:pt idx="83">
                  <c:v>73</c:v>
                </c:pt>
                <c:pt idx="84">
                  <c:v>69</c:v>
                </c:pt>
                <c:pt idx="85">
                  <c:v>79</c:v>
                </c:pt>
                <c:pt idx="86">
                  <c:v>73</c:v>
                </c:pt>
                <c:pt idx="87">
                  <c:v>69</c:v>
                </c:pt>
                <c:pt idx="88">
                  <c:v>84</c:v>
                </c:pt>
                <c:pt idx="89">
                  <c:v>87</c:v>
                </c:pt>
                <c:pt idx="90">
                  <c:v>39</c:v>
                </c:pt>
                <c:pt idx="91">
                  <c:v>46</c:v>
                </c:pt>
                <c:pt idx="92">
                  <c:v>65</c:v>
                </c:pt>
                <c:pt idx="93">
                  <c:v>79</c:v>
                </c:pt>
                <c:pt idx="94">
                  <c:v>85</c:v>
                </c:pt>
                <c:pt idx="95">
                  <c:v>83</c:v>
                </c:pt>
                <c:pt idx="96">
                  <c:v>81</c:v>
                </c:pt>
                <c:pt idx="97">
                  <c:v>63</c:v>
                </c:pt>
                <c:pt idx="98">
                  <c:v>62</c:v>
                </c:pt>
                <c:pt idx="99">
                  <c:v>72</c:v>
                </c:pt>
                <c:pt idx="100">
                  <c:v>78</c:v>
                </c:pt>
                <c:pt idx="101">
                  <c:v>44</c:v>
                </c:pt>
                <c:pt idx="102">
                  <c:v>52</c:v>
                </c:pt>
                <c:pt idx="103">
                  <c:v>62</c:v>
                </c:pt>
                <c:pt idx="104">
                  <c:v>66</c:v>
                </c:pt>
                <c:pt idx="105">
                  <c:v>66</c:v>
                </c:pt>
                <c:pt idx="106">
                  <c:v>77</c:v>
                </c:pt>
                <c:pt idx="107">
                  <c:v>82</c:v>
                </c:pt>
                <c:pt idx="108">
                  <c:v>43</c:v>
                </c:pt>
                <c:pt idx="109">
                  <c:v>74</c:v>
                </c:pt>
                <c:pt idx="110">
                  <c:v>73</c:v>
                </c:pt>
                <c:pt idx="111">
                  <c:v>56</c:v>
                </c:pt>
                <c:pt idx="112">
                  <c:v>55</c:v>
                </c:pt>
                <c:pt idx="113">
                  <c:v>70</c:v>
                </c:pt>
                <c:pt idx="114">
                  <c:v>80</c:v>
                </c:pt>
                <c:pt idx="115">
                  <c:v>70</c:v>
                </c:pt>
                <c:pt idx="116">
                  <c:v>48</c:v>
                </c:pt>
                <c:pt idx="117">
                  <c:v>66</c:v>
                </c:pt>
                <c:pt idx="118">
                  <c:v>11</c:v>
                </c:pt>
                <c:pt idx="119">
                  <c:v>49</c:v>
                </c:pt>
                <c:pt idx="120">
                  <c:v>66</c:v>
                </c:pt>
                <c:pt idx="121">
                  <c:v>73</c:v>
                </c:pt>
                <c:pt idx="122">
                  <c:v>76</c:v>
                </c:pt>
                <c:pt idx="123">
                  <c:v>73</c:v>
                </c:pt>
                <c:pt idx="124">
                  <c:v>72</c:v>
                </c:pt>
                <c:pt idx="125">
                  <c:v>55</c:v>
                </c:pt>
                <c:pt idx="126">
                  <c:v>54</c:v>
                </c:pt>
                <c:pt idx="127">
                  <c:v>73</c:v>
                </c:pt>
                <c:pt idx="128">
                  <c:v>77</c:v>
                </c:pt>
                <c:pt idx="129">
                  <c:v>76</c:v>
                </c:pt>
                <c:pt idx="130">
                  <c:v>55</c:v>
                </c:pt>
                <c:pt idx="131">
                  <c:v>59</c:v>
                </c:pt>
                <c:pt idx="132">
                  <c:v>56</c:v>
                </c:pt>
                <c:pt idx="133">
                  <c:v>54</c:v>
                </c:pt>
                <c:pt idx="134">
                  <c:v>78</c:v>
                </c:pt>
                <c:pt idx="135">
                  <c:v>75</c:v>
                </c:pt>
                <c:pt idx="136">
                  <c:v>33</c:v>
                </c:pt>
                <c:pt idx="137">
                  <c:v>58</c:v>
                </c:pt>
                <c:pt idx="138">
                  <c:v>63</c:v>
                </c:pt>
                <c:pt idx="139">
                  <c:v>54</c:v>
                </c:pt>
                <c:pt idx="140">
                  <c:v>55</c:v>
                </c:pt>
                <c:pt idx="141">
                  <c:v>51</c:v>
                </c:pt>
                <c:pt idx="142">
                  <c:v>31</c:v>
                </c:pt>
                <c:pt idx="143">
                  <c:v>49</c:v>
                </c:pt>
                <c:pt idx="144">
                  <c:v>19</c:v>
                </c:pt>
                <c:pt idx="145">
                  <c:v>34</c:v>
                </c:pt>
                <c:pt idx="146">
                  <c:v>36</c:v>
                </c:pt>
                <c:pt idx="147">
                  <c:v>45</c:v>
                </c:pt>
                <c:pt idx="148">
                  <c:v>72</c:v>
                </c:pt>
                <c:pt idx="149">
                  <c:v>56</c:v>
                </c:pt>
                <c:pt idx="150">
                  <c:v>69</c:v>
                </c:pt>
                <c:pt idx="151">
                  <c:v>71</c:v>
                </c:pt>
                <c:pt idx="152">
                  <c:v>73</c:v>
                </c:pt>
                <c:pt idx="153">
                  <c:v>58</c:v>
                </c:pt>
                <c:pt idx="154">
                  <c:v>57</c:v>
                </c:pt>
                <c:pt idx="155">
                  <c:v>72</c:v>
                </c:pt>
                <c:pt idx="156">
                  <c:v>49</c:v>
                </c:pt>
                <c:pt idx="157">
                  <c:v>13</c:v>
                </c:pt>
                <c:pt idx="158">
                  <c:v>63</c:v>
                </c:pt>
                <c:pt idx="159">
                  <c:v>67</c:v>
                </c:pt>
                <c:pt idx="160">
                  <c:v>54</c:v>
                </c:pt>
                <c:pt idx="161">
                  <c:v>47</c:v>
                </c:pt>
                <c:pt idx="162">
                  <c:v>63</c:v>
                </c:pt>
                <c:pt idx="163">
                  <c:v>67</c:v>
                </c:pt>
                <c:pt idx="164">
                  <c:v>71</c:v>
                </c:pt>
                <c:pt idx="165">
                  <c:v>71</c:v>
                </c:pt>
                <c:pt idx="166">
                  <c:v>68</c:v>
                </c:pt>
                <c:pt idx="167">
                  <c:v>49</c:v>
                </c:pt>
                <c:pt idx="168">
                  <c:v>44</c:v>
                </c:pt>
                <c:pt idx="169">
                  <c:v>63</c:v>
                </c:pt>
                <c:pt idx="170">
                  <c:v>71</c:v>
                </c:pt>
                <c:pt idx="171">
                  <c:v>51</c:v>
                </c:pt>
                <c:pt idx="172">
                  <c:v>57</c:v>
                </c:pt>
                <c:pt idx="173">
                  <c:v>41</c:v>
                </c:pt>
                <c:pt idx="174">
                  <c:v>17</c:v>
                </c:pt>
                <c:pt idx="175">
                  <c:v>9</c:v>
                </c:pt>
                <c:pt idx="176">
                  <c:v>18</c:v>
                </c:pt>
                <c:pt idx="177">
                  <c:v>21</c:v>
                </c:pt>
                <c:pt idx="178">
                  <c:v>41</c:v>
                </c:pt>
                <c:pt idx="179">
                  <c:v>43</c:v>
                </c:pt>
                <c:pt idx="180">
                  <c:v>50</c:v>
                </c:pt>
                <c:pt idx="181">
                  <c:v>36</c:v>
                </c:pt>
                <c:pt idx="182">
                  <c:v>13</c:v>
                </c:pt>
                <c:pt idx="183">
                  <c:v>13</c:v>
                </c:pt>
                <c:pt idx="184">
                  <c:v>25</c:v>
                </c:pt>
                <c:pt idx="185">
                  <c:v>29</c:v>
                </c:pt>
                <c:pt idx="186">
                  <c:v>30</c:v>
                </c:pt>
                <c:pt idx="187">
                  <c:v>30</c:v>
                </c:pt>
                <c:pt idx="188">
                  <c:v>27</c:v>
                </c:pt>
                <c:pt idx="189">
                  <c:v>18</c:v>
                </c:pt>
                <c:pt idx="190">
                  <c:v>15</c:v>
                </c:pt>
                <c:pt idx="191">
                  <c:v>26</c:v>
                </c:pt>
                <c:pt idx="192">
                  <c:v>24</c:v>
                </c:pt>
                <c:pt idx="193">
                  <c:v>23</c:v>
                </c:pt>
                <c:pt idx="194">
                  <c:v>27</c:v>
                </c:pt>
                <c:pt idx="195">
                  <c:v>27</c:v>
                </c:pt>
                <c:pt idx="196">
                  <c:v>21</c:v>
                </c:pt>
                <c:pt idx="197">
                  <c:v>19</c:v>
                </c:pt>
                <c:pt idx="198">
                  <c:v>18</c:v>
                </c:pt>
                <c:pt idx="199">
                  <c:v>13</c:v>
                </c:pt>
                <c:pt idx="200">
                  <c:v>31</c:v>
                </c:pt>
                <c:pt idx="201">
                  <c:v>37</c:v>
                </c:pt>
                <c:pt idx="202">
                  <c:v>29</c:v>
                </c:pt>
                <c:pt idx="203">
                  <c:v>18</c:v>
                </c:pt>
                <c:pt idx="204">
                  <c:v>17</c:v>
                </c:pt>
                <c:pt idx="205">
                  <c:v>27</c:v>
                </c:pt>
                <c:pt idx="206">
                  <c:v>36</c:v>
                </c:pt>
                <c:pt idx="207">
                  <c:v>9</c:v>
                </c:pt>
                <c:pt idx="208">
                  <c:v>8</c:v>
                </c:pt>
                <c:pt idx="209">
                  <c:v>23</c:v>
                </c:pt>
                <c:pt idx="210">
                  <c:v>20</c:v>
                </c:pt>
                <c:pt idx="211">
                  <c:v>19</c:v>
                </c:pt>
                <c:pt idx="212">
                  <c:v>29</c:v>
                </c:pt>
                <c:pt idx="213">
                  <c:v>26</c:v>
                </c:pt>
                <c:pt idx="214">
                  <c:v>29</c:v>
                </c:pt>
                <c:pt idx="215">
                  <c:v>30</c:v>
                </c:pt>
                <c:pt idx="216">
                  <c:v>32</c:v>
                </c:pt>
                <c:pt idx="217">
                  <c:v>18</c:v>
                </c:pt>
                <c:pt idx="218">
                  <c:v>25</c:v>
                </c:pt>
                <c:pt idx="219">
                  <c:v>32</c:v>
                </c:pt>
                <c:pt idx="220">
                  <c:v>29</c:v>
                </c:pt>
                <c:pt idx="221">
                  <c:v>31</c:v>
                </c:pt>
                <c:pt idx="222">
                  <c:v>30</c:v>
                </c:pt>
                <c:pt idx="223">
                  <c:v>32</c:v>
                </c:pt>
                <c:pt idx="224">
                  <c:v>24</c:v>
                </c:pt>
                <c:pt idx="225">
                  <c:v>24</c:v>
                </c:pt>
                <c:pt idx="226">
                  <c:v>34</c:v>
                </c:pt>
                <c:pt idx="227">
                  <c:v>34</c:v>
                </c:pt>
                <c:pt idx="228">
                  <c:v>38</c:v>
                </c:pt>
                <c:pt idx="229">
                  <c:v>44</c:v>
                </c:pt>
                <c:pt idx="230">
                  <c:v>47</c:v>
                </c:pt>
                <c:pt idx="231">
                  <c:v>22</c:v>
                </c:pt>
                <c:pt idx="232">
                  <c:v>23</c:v>
                </c:pt>
                <c:pt idx="233">
                  <c:v>18</c:v>
                </c:pt>
                <c:pt idx="234">
                  <c:v>28</c:v>
                </c:pt>
                <c:pt idx="235">
                  <c:v>36</c:v>
                </c:pt>
                <c:pt idx="236">
                  <c:v>34</c:v>
                </c:pt>
                <c:pt idx="237">
                  <c:v>27</c:v>
                </c:pt>
                <c:pt idx="238">
                  <c:v>31</c:v>
                </c:pt>
                <c:pt idx="239">
                  <c:v>34</c:v>
                </c:pt>
                <c:pt idx="240">
                  <c:v>27</c:v>
                </c:pt>
                <c:pt idx="241">
                  <c:v>34</c:v>
                </c:pt>
                <c:pt idx="242">
                  <c:v>38</c:v>
                </c:pt>
                <c:pt idx="243">
                  <c:v>31</c:v>
                </c:pt>
                <c:pt idx="244">
                  <c:v>35</c:v>
                </c:pt>
                <c:pt idx="245">
                  <c:v>29</c:v>
                </c:pt>
                <c:pt idx="246">
                  <c:v>10</c:v>
                </c:pt>
                <c:pt idx="247">
                  <c:v>33</c:v>
                </c:pt>
                <c:pt idx="248">
                  <c:v>36</c:v>
                </c:pt>
                <c:pt idx="249">
                  <c:v>34</c:v>
                </c:pt>
                <c:pt idx="250">
                  <c:v>12</c:v>
                </c:pt>
                <c:pt idx="251">
                  <c:v>35</c:v>
                </c:pt>
                <c:pt idx="252">
                  <c:v>28</c:v>
                </c:pt>
                <c:pt idx="253">
                  <c:v>29</c:v>
                </c:pt>
                <c:pt idx="254">
                  <c:v>34</c:v>
                </c:pt>
                <c:pt idx="255">
                  <c:v>35</c:v>
                </c:pt>
                <c:pt idx="256">
                  <c:v>37</c:v>
                </c:pt>
                <c:pt idx="257">
                  <c:v>46</c:v>
                </c:pt>
                <c:pt idx="258">
                  <c:v>47</c:v>
                </c:pt>
                <c:pt idx="259">
                  <c:v>34</c:v>
                </c:pt>
                <c:pt idx="260">
                  <c:v>28</c:v>
                </c:pt>
                <c:pt idx="261">
                  <c:v>34</c:v>
                </c:pt>
                <c:pt idx="262">
                  <c:v>45</c:v>
                </c:pt>
                <c:pt idx="263">
                  <c:v>38</c:v>
                </c:pt>
                <c:pt idx="264">
                  <c:v>34</c:v>
                </c:pt>
                <c:pt idx="265">
                  <c:v>38</c:v>
                </c:pt>
                <c:pt idx="266">
                  <c:v>30</c:v>
                </c:pt>
                <c:pt idx="267">
                  <c:v>24</c:v>
                </c:pt>
                <c:pt idx="268">
                  <c:v>36</c:v>
                </c:pt>
                <c:pt idx="269">
                  <c:v>42</c:v>
                </c:pt>
                <c:pt idx="270">
                  <c:v>27</c:v>
                </c:pt>
                <c:pt idx="271">
                  <c:v>30</c:v>
                </c:pt>
                <c:pt idx="272">
                  <c:v>38</c:v>
                </c:pt>
                <c:pt idx="273">
                  <c:v>27</c:v>
                </c:pt>
                <c:pt idx="274">
                  <c:v>32</c:v>
                </c:pt>
                <c:pt idx="275">
                  <c:v>48</c:v>
                </c:pt>
                <c:pt idx="276">
                  <c:v>33</c:v>
                </c:pt>
                <c:pt idx="277">
                  <c:v>48</c:v>
                </c:pt>
                <c:pt idx="278">
                  <c:v>51</c:v>
                </c:pt>
                <c:pt idx="279">
                  <c:v>26</c:v>
                </c:pt>
                <c:pt idx="280">
                  <c:v>32</c:v>
                </c:pt>
                <c:pt idx="281">
                  <c:v>34</c:v>
                </c:pt>
                <c:pt idx="282">
                  <c:v>50</c:v>
                </c:pt>
                <c:pt idx="283">
                  <c:v>36</c:v>
                </c:pt>
                <c:pt idx="284">
                  <c:v>39</c:v>
                </c:pt>
                <c:pt idx="285">
                  <c:v>55</c:v>
                </c:pt>
                <c:pt idx="286">
                  <c:v>50</c:v>
                </c:pt>
                <c:pt idx="287">
                  <c:v>13</c:v>
                </c:pt>
                <c:pt idx="288">
                  <c:v>44</c:v>
                </c:pt>
                <c:pt idx="289">
                  <c:v>55</c:v>
                </c:pt>
                <c:pt idx="290">
                  <c:v>56</c:v>
                </c:pt>
                <c:pt idx="291">
                  <c:v>67</c:v>
                </c:pt>
                <c:pt idx="292">
                  <c:v>69</c:v>
                </c:pt>
                <c:pt idx="293">
                  <c:v>30</c:v>
                </c:pt>
                <c:pt idx="294">
                  <c:v>51</c:v>
                </c:pt>
                <c:pt idx="295">
                  <c:v>50</c:v>
                </c:pt>
                <c:pt idx="296">
                  <c:v>66</c:v>
                </c:pt>
                <c:pt idx="297">
                  <c:v>74</c:v>
                </c:pt>
                <c:pt idx="298">
                  <c:v>67</c:v>
                </c:pt>
                <c:pt idx="299">
                  <c:v>70</c:v>
                </c:pt>
                <c:pt idx="300">
                  <c:v>74</c:v>
                </c:pt>
                <c:pt idx="301">
                  <c:v>67</c:v>
                </c:pt>
                <c:pt idx="302">
                  <c:v>44</c:v>
                </c:pt>
                <c:pt idx="303">
                  <c:v>71</c:v>
                </c:pt>
                <c:pt idx="304">
                  <c:v>77</c:v>
                </c:pt>
                <c:pt idx="305">
                  <c:v>48</c:v>
                </c:pt>
                <c:pt idx="306">
                  <c:v>76</c:v>
                </c:pt>
                <c:pt idx="307">
                  <c:v>74</c:v>
                </c:pt>
                <c:pt idx="308">
                  <c:v>62</c:v>
                </c:pt>
                <c:pt idx="309">
                  <c:v>59</c:v>
                </c:pt>
                <c:pt idx="310">
                  <c:v>74</c:v>
                </c:pt>
                <c:pt idx="311">
                  <c:v>82</c:v>
                </c:pt>
                <c:pt idx="312">
                  <c:v>73</c:v>
                </c:pt>
                <c:pt idx="313">
                  <c:v>83</c:v>
                </c:pt>
                <c:pt idx="314">
                  <c:v>68</c:v>
                </c:pt>
                <c:pt idx="315">
                  <c:v>50</c:v>
                </c:pt>
                <c:pt idx="316">
                  <c:v>59</c:v>
                </c:pt>
                <c:pt idx="317">
                  <c:v>64</c:v>
                </c:pt>
                <c:pt idx="318">
                  <c:v>69</c:v>
                </c:pt>
                <c:pt idx="319">
                  <c:v>66</c:v>
                </c:pt>
                <c:pt idx="320">
                  <c:v>77</c:v>
                </c:pt>
                <c:pt idx="321">
                  <c:v>80</c:v>
                </c:pt>
                <c:pt idx="322">
                  <c:v>71</c:v>
                </c:pt>
                <c:pt idx="323">
                  <c:v>62</c:v>
                </c:pt>
                <c:pt idx="324">
                  <c:v>69</c:v>
                </c:pt>
                <c:pt idx="325">
                  <c:v>77</c:v>
                </c:pt>
                <c:pt idx="326">
                  <c:v>85</c:v>
                </c:pt>
                <c:pt idx="327">
                  <c:v>78</c:v>
                </c:pt>
                <c:pt idx="328">
                  <c:v>76</c:v>
                </c:pt>
                <c:pt idx="329">
                  <c:v>55</c:v>
                </c:pt>
                <c:pt idx="330">
                  <c:v>49</c:v>
                </c:pt>
                <c:pt idx="331">
                  <c:v>51</c:v>
                </c:pt>
                <c:pt idx="332">
                  <c:v>66</c:v>
                </c:pt>
                <c:pt idx="333">
                  <c:v>69</c:v>
                </c:pt>
                <c:pt idx="334">
                  <c:v>85</c:v>
                </c:pt>
                <c:pt idx="335">
                  <c:v>88</c:v>
                </c:pt>
                <c:pt idx="336">
                  <c:v>69</c:v>
                </c:pt>
                <c:pt idx="337">
                  <c:v>64</c:v>
                </c:pt>
                <c:pt idx="338">
                  <c:v>78</c:v>
                </c:pt>
                <c:pt idx="339">
                  <c:v>81</c:v>
                </c:pt>
                <c:pt idx="340">
                  <c:v>75</c:v>
                </c:pt>
                <c:pt idx="341">
                  <c:v>67</c:v>
                </c:pt>
                <c:pt idx="342">
                  <c:v>75</c:v>
                </c:pt>
                <c:pt idx="343">
                  <c:v>65</c:v>
                </c:pt>
                <c:pt idx="344">
                  <c:v>60</c:v>
                </c:pt>
                <c:pt idx="345">
                  <c:v>83</c:v>
                </c:pt>
                <c:pt idx="346">
                  <c:v>83</c:v>
                </c:pt>
                <c:pt idx="347">
                  <c:v>88</c:v>
                </c:pt>
                <c:pt idx="348">
                  <c:v>64</c:v>
                </c:pt>
                <c:pt idx="349">
                  <c:v>80</c:v>
                </c:pt>
                <c:pt idx="350">
                  <c:v>66</c:v>
                </c:pt>
                <c:pt idx="351">
                  <c:v>62</c:v>
                </c:pt>
                <c:pt idx="352">
                  <c:v>66</c:v>
                </c:pt>
                <c:pt idx="353">
                  <c:v>81</c:v>
                </c:pt>
                <c:pt idx="354">
                  <c:v>77</c:v>
                </c:pt>
                <c:pt idx="355">
                  <c:v>81</c:v>
                </c:pt>
                <c:pt idx="356">
                  <c:v>80</c:v>
                </c:pt>
                <c:pt idx="357">
                  <c:v>68</c:v>
                </c:pt>
                <c:pt idx="358">
                  <c:v>68</c:v>
                </c:pt>
                <c:pt idx="359">
                  <c:v>77</c:v>
                </c:pt>
                <c:pt idx="360">
                  <c:v>78</c:v>
                </c:pt>
                <c:pt idx="361">
                  <c:v>88</c:v>
                </c:pt>
                <c:pt idx="362">
                  <c:v>90</c:v>
                </c:pt>
                <c:pt idx="363">
                  <c:v>82</c:v>
                </c:pt>
                <c:pt idx="364">
                  <c:v>58</c:v>
                </c:pt>
              </c:numCache>
            </c:numRef>
          </c:xVal>
          <c:yVal>
            <c:numRef>
              <c:f>'Q2.3'!$AD$2:$AD$366</c:f>
              <c:numCache>
                <c:formatCode>0.00</c:formatCode>
                <c:ptCount val="365"/>
                <c:pt idx="0">
                  <c:v>80.583300000000008</c:v>
                </c:pt>
                <c:pt idx="1">
                  <c:v>69.608699999999999</c:v>
                </c:pt>
                <c:pt idx="2">
                  <c:v>43.7273</c:v>
                </c:pt>
                <c:pt idx="3">
                  <c:v>59.043500000000002</c:v>
                </c:pt>
                <c:pt idx="4">
                  <c:v>43.695699999999995</c:v>
                </c:pt>
                <c:pt idx="5">
                  <c:v>51.826099999999997</c:v>
                </c:pt>
                <c:pt idx="6">
                  <c:v>49.869599999999998</c:v>
                </c:pt>
                <c:pt idx="7">
                  <c:v>53.583300000000001</c:v>
                </c:pt>
                <c:pt idx="8">
                  <c:v>43.416700000000006</c:v>
                </c:pt>
                <c:pt idx="9">
                  <c:v>48.291699999999999</c:v>
                </c:pt>
                <c:pt idx="10">
                  <c:v>68.636399999999995</c:v>
                </c:pt>
                <c:pt idx="11">
                  <c:v>59.954499999999996</c:v>
                </c:pt>
                <c:pt idx="12">
                  <c:v>47.041699999999999</c:v>
                </c:pt>
                <c:pt idx="13">
                  <c:v>53.782600000000002</c:v>
                </c:pt>
                <c:pt idx="14">
                  <c:v>49.875</c:v>
                </c:pt>
                <c:pt idx="15">
                  <c:v>48.375</c:v>
                </c:pt>
                <c:pt idx="16">
                  <c:v>53.75</c:v>
                </c:pt>
                <c:pt idx="17">
                  <c:v>86.166699999999992</c:v>
                </c:pt>
                <c:pt idx="18">
                  <c:v>74.173900000000003</c:v>
                </c:pt>
                <c:pt idx="19">
                  <c:v>53.833299999999994</c:v>
                </c:pt>
                <c:pt idx="20">
                  <c:v>45.708300000000001</c:v>
                </c:pt>
                <c:pt idx="21">
                  <c:v>40</c:v>
                </c:pt>
                <c:pt idx="22">
                  <c:v>43.652200000000001</c:v>
                </c:pt>
                <c:pt idx="23">
                  <c:v>49.173899999999996</c:v>
                </c:pt>
                <c:pt idx="24">
                  <c:v>61.695699999999995</c:v>
                </c:pt>
                <c:pt idx="25">
                  <c:v>86.25</c:v>
                </c:pt>
                <c:pt idx="26">
                  <c:v>68.75</c:v>
                </c:pt>
                <c:pt idx="27">
                  <c:v>79.304300000000012</c:v>
                </c:pt>
                <c:pt idx="28">
                  <c:v>65.173899999999989</c:v>
                </c:pt>
                <c:pt idx="29">
                  <c:v>72.217399999999998</c:v>
                </c:pt>
                <c:pt idx="30">
                  <c:v>60.375</c:v>
                </c:pt>
                <c:pt idx="31">
                  <c:v>82.956500000000005</c:v>
                </c:pt>
                <c:pt idx="32">
                  <c:v>77.541700000000006</c:v>
                </c:pt>
                <c:pt idx="33">
                  <c:v>43.782600000000002</c:v>
                </c:pt>
                <c:pt idx="34">
                  <c:v>58.521699999999996</c:v>
                </c:pt>
                <c:pt idx="35">
                  <c:v>92.916699999999992</c:v>
                </c:pt>
                <c:pt idx="36">
                  <c:v>56.833299999999994</c:v>
                </c:pt>
                <c:pt idx="37">
                  <c:v>73.833300000000008</c:v>
                </c:pt>
                <c:pt idx="38">
                  <c:v>53.791699999999999</c:v>
                </c:pt>
                <c:pt idx="39">
                  <c:v>49.478299999999997</c:v>
                </c:pt>
                <c:pt idx="40">
                  <c:v>43.739100000000001</c:v>
                </c:pt>
                <c:pt idx="41">
                  <c:v>50.636400000000002</c:v>
                </c:pt>
                <c:pt idx="42">
                  <c:v>54.416699999999999</c:v>
                </c:pt>
                <c:pt idx="43">
                  <c:v>45.739100000000001</c:v>
                </c:pt>
                <c:pt idx="44">
                  <c:v>37.583299999999994</c:v>
                </c:pt>
                <c:pt idx="45">
                  <c:v>31.434800000000003</c:v>
                </c:pt>
                <c:pt idx="46">
                  <c:v>42.347799999999999</c:v>
                </c:pt>
                <c:pt idx="47">
                  <c:v>50.5</c:v>
                </c:pt>
                <c:pt idx="48">
                  <c:v>51.666699999999999</c:v>
                </c:pt>
                <c:pt idx="49">
                  <c:v>18.791699999999999</c:v>
                </c:pt>
                <c:pt idx="50">
                  <c:v>40.782600000000002</c:v>
                </c:pt>
                <c:pt idx="51">
                  <c:v>60.5</c:v>
                </c:pt>
                <c:pt idx="52">
                  <c:v>57.777799999999999</c:v>
                </c:pt>
                <c:pt idx="53">
                  <c:v>42.304299999999998</c:v>
                </c:pt>
                <c:pt idx="54">
                  <c:v>69.739099999999993</c:v>
                </c:pt>
                <c:pt idx="55">
                  <c:v>71.217399999999998</c:v>
                </c:pt>
                <c:pt idx="56">
                  <c:v>53.791699999999999</c:v>
                </c:pt>
                <c:pt idx="57">
                  <c:v>68</c:v>
                </c:pt>
                <c:pt idx="58">
                  <c:v>87.636400000000009</c:v>
                </c:pt>
                <c:pt idx="59">
                  <c:v>53.5</c:v>
                </c:pt>
                <c:pt idx="60">
                  <c:v>44.958300000000001</c:v>
                </c:pt>
                <c:pt idx="61">
                  <c:v>31.833299999999998</c:v>
                </c:pt>
                <c:pt idx="62">
                  <c:v>61.041699999999999</c:v>
                </c:pt>
                <c:pt idx="63">
                  <c:v>78.916699999999992</c:v>
                </c:pt>
                <c:pt idx="64">
                  <c:v>94.826099999999997</c:v>
                </c:pt>
                <c:pt idx="65">
                  <c:v>55.130400000000002</c:v>
                </c:pt>
                <c:pt idx="66">
                  <c:v>42.083300000000001</c:v>
                </c:pt>
                <c:pt idx="67">
                  <c:v>77.541700000000006</c:v>
                </c:pt>
                <c:pt idx="68">
                  <c:v>0</c:v>
                </c:pt>
                <c:pt idx="69">
                  <c:v>64.956499999999991</c:v>
                </c:pt>
                <c:pt idx="70">
                  <c:v>59.458299999999994</c:v>
                </c:pt>
                <c:pt idx="71">
                  <c:v>52.739100000000008</c:v>
                </c:pt>
                <c:pt idx="72">
                  <c:v>49.695699999999995</c:v>
                </c:pt>
                <c:pt idx="73">
                  <c:v>65.565200000000004</c:v>
                </c:pt>
                <c:pt idx="74">
                  <c:v>77.652200000000008</c:v>
                </c:pt>
                <c:pt idx="75">
                  <c:v>60.291700000000006</c:v>
                </c:pt>
                <c:pt idx="76">
                  <c:v>52.521700000000003</c:v>
                </c:pt>
                <c:pt idx="77">
                  <c:v>37.916699999999999</c:v>
                </c:pt>
                <c:pt idx="78">
                  <c:v>47.375</c:v>
                </c:pt>
                <c:pt idx="79">
                  <c:v>73.739100000000008</c:v>
                </c:pt>
                <c:pt idx="80">
                  <c:v>62.458300000000001</c:v>
                </c:pt>
                <c:pt idx="81">
                  <c:v>83.956500000000005</c:v>
                </c:pt>
                <c:pt idx="82">
                  <c:v>80.583300000000008</c:v>
                </c:pt>
                <c:pt idx="83">
                  <c:v>49.5</c:v>
                </c:pt>
                <c:pt idx="84">
                  <c:v>39.416699999999999</c:v>
                </c:pt>
                <c:pt idx="85">
                  <c:v>49.391300000000001</c:v>
                </c:pt>
                <c:pt idx="86">
                  <c:v>30.217400000000001</c:v>
                </c:pt>
                <c:pt idx="87">
                  <c:v>31.416699999999999</c:v>
                </c:pt>
                <c:pt idx="88">
                  <c:v>64.666700000000006</c:v>
                </c:pt>
                <c:pt idx="89">
                  <c:v>91.833299999999994</c:v>
                </c:pt>
                <c:pt idx="90">
                  <c:v>68.625</c:v>
                </c:pt>
                <c:pt idx="91">
                  <c:v>65.375</c:v>
                </c:pt>
                <c:pt idx="92">
                  <c:v>48</c:v>
                </c:pt>
                <c:pt idx="93">
                  <c:v>42.625</c:v>
                </c:pt>
                <c:pt idx="94">
                  <c:v>64.208299999999994</c:v>
                </c:pt>
                <c:pt idx="95">
                  <c:v>47.083300000000001</c:v>
                </c:pt>
                <c:pt idx="96">
                  <c:v>60.291700000000006</c:v>
                </c:pt>
                <c:pt idx="97">
                  <c:v>83.625</c:v>
                </c:pt>
                <c:pt idx="98">
                  <c:v>87.75</c:v>
                </c:pt>
                <c:pt idx="99">
                  <c:v>85.75</c:v>
                </c:pt>
                <c:pt idx="100">
                  <c:v>71.695599999999999</c:v>
                </c:pt>
                <c:pt idx="101">
                  <c:v>73.916700000000006</c:v>
                </c:pt>
                <c:pt idx="102">
                  <c:v>81.916699999999992</c:v>
                </c:pt>
                <c:pt idx="103">
                  <c:v>54.041700000000006</c:v>
                </c:pt>
                <c:pt idx="104">
                  <c:v>67.125</c:v>
                </c:pt>
                <c:pt idx="105">
                  <c:v>88.833300000000008</c:v>
                </c:pt>
                <c:pt idx="106">
                  <c:v>47.958300000000001</c:v>
                </c:pt>
                <c:pt idx="107">
                  <c:v>54.25</c:v>
                </c:pt>
                <c:pt idx="108">
                  <c:v>66.583299999999994</c:v>
                </c:pt>
                <c:pt idx="109">
                  <c:v>61.416699999999999</c:v>
                </c:pt>
                <c:pt idx="110">
                  <c:v>40.708299999999994</c:v>
                </c:pt>
                <c:pt idx="111">
                  <c:v>72.958299999999994</c:v>
                </c:pt>
                <c:pt idx="112">
                  <c:v>88.791699999999992</c:v>
                </c:pt>
                <c:pt idx="113">
                  <c:v>81.083300000000008</c:v>
                </c:pt>
                <c:pt idx="114">
                  <c:v>77.666700000000006</c:v>
                </c:pt>
                <c:pt idx="115">
                  <c:v>72.916700000000006</c:v>
                </c:pt>
                <c:pt idx="116">
                  <c:v>83.541699999999992</c:v>
                </c:pt>
                <c:pt idx="117">
                  <c:v>70.083300000000008</c:v>
                </c:pt>
                <c:pt idx="118">
                  <c:v>45.708300000000001</c:v>
                </c:pt>
                <c:pt idx="119">
                  <c:v>50.333300000000001</c:v>
                </c:pt>
                <c:pt idx="120">
                  <c:v>76.208299999999994</c:v>
                </c:pt>
                <c:pt idx="121">
                  <c:v>73</c:v>
                </c:pt>
                <c:pt idx="122">
                  <c:v>69.708299999999994</c:v>
                </c:pt>
                <c:pt idx="123">
                  <c:v>73.708300000000008</c:v>
                </c:pt>
                <c:pt idx="124">
                  <c:v>44.416699999999999</c:v>
                </c:pt>
                <c:pt idx="125">
                  <c:v>59</c:v>
                </c:pt>
                <c:pt idx="126">
                  <c:v>54.125</c:v>
                </c:pt>
                <c:pt idx="127">
                  <c:v>63.166699999999999</c:v>
                </c:pt>
                <c:pt idx="128">
                  <c:v>58.875</c:v>
                </c:pt>
                <c:pt idx="129">
                  <c:v>48.916699999999999</c:v>
                </c:pt>
                <c:pt idx="130">
                  <c:v>63.291699999999992</c:v>
                </c:pt>
                <c:pt idx="131">
                  <c:v>74.75</c:v>
                </c:pt>
                <c:pt idx="132">
                  <c:v>86.333300000000008</c:v>
                </c:pt>
                <c:pt idx="133">
                  <c:v>92.25</c:v>
                </c:pt>
                <c:pt idx="134">
                  <c:v>86.708300000000008</c:v>
                </c:pt>
                <c:pt idx="135">
                  <c:v>78.791699999999992</c:v>
                </c:pt>
                <c:pt idx="136">
                  <c:v>83.791700000000006</c:v>
                </c:pt>
                <c:pt idx="137">
                  <c:v>87</c:v>
                </c:pt>
                <c:pt idx="138">
                  <c:v>82.958299999999994</c:v>
                </c:pt>
                <c:pt idx="139">
                  <c:v>71.958299999999994</c:v>
                </c:pt>
                <c:pt idx="140">
                  <c:v>62.666699999999999</c:v>
                </c:pt>
                <c:pt idx="141">
                  <c:v>74.958299999999994</c:v>
                </c:pt>
                <c:pt idx="142">
                  <c:v>81</c:v>
                </c:pt>
                <c:pt idx="143">
                  <c:v>74.083299999999994</c:v>
                </c:pt>
                <c:pt idx="144">
                  <c:v>69.625</c:v>
                </c:pt>
                <c:pt idx="145">
                  <c:v>67.75</c:v>
                </c:pt>
                <c:pt idx="146">
                  <c:v>65.375</c:v>
                </c:pt>
                <c:pt idx="147">
                  <c:v>72.958299999999994</c:v>
                </c:pt>
                <c:pt idx="148">
                  <c:v>81.875</c:v>
                </c:pt>
                <c:pt idx="149">
                  <c:v>68.5</c:v>
                </c:pt>
                <c:pt idx="150">
                  <c:v>63.666699999999999</c:v>
                </c:pt>
                <c:pt idx="151">
                  <c:v>67.708299999999994</c:v>
                </c:pt>
                <c:pt idx="152">
                  <c:v>30.5</c:v>
                </c:pt>
                <c:pt idx="153">
                  <c:v>35.416699999999999</c:v>
                </c:pt>
                <c:pt idx="154">
                  <c:v>45.625</c:v>
                </c:pt>
                <c:pt idx="155">
                  <c:v>65.25</c:v>
                </c:pt>
                <c:pt idx="156">
                  <c:v>60</c:v>
                </c:pt>
                <c:pt idx="157">
                  <c:v>59.791700000000006</c:v>
                </c:pt>
                <c:pt idx="158">
                  <c:v>62.208300000000008</c:v>
                </c:pt>
                <c:pt idx="159">
                  <c:v>56.833299999999994</c:v>
                </c:pt>
                <c:pt idx="160">
                  <c:v>60.5</c:v>
                </c:pt>
                <c:pt idx="161">
                  <c:v>65.458300000000008</c:v>
                </c:pt>
                <c:pt idx="162">
                  <c:v>74.791700000000006</c:v>
                </c:pt>
                <c:pt idx="163">
                  <c:v>49.458300000000001</c:v>
                </c:pt>
                <c:pt idx="164">
                  <c:v>50.708299999999994</c:v>
                </c:pt>
                <c:pt idx="165">
                  <c:v>47.166699999999999</c:v>
                </c:pt>
                <c:pt idx="166">
                  <c:v>68.833299999999994</c:v>
                </c:pt>
                <c:pt idx="167">
                  <c:v>73.583299999999994</c:v>
                </c:pt>
                <c:pt idx="168">
                  <c:v>67.041700000000006</c:v>
                </c:pt>
                <c:pt idx="169">
                  <c:v>66.666700000000006</c:v>
                </c:pt>
                <c:pt idx="170">
                  <c:v>74.625</c:v>
                </c:pt>
                <c:pt idx="171">
                  <c:v>77.041700000000006</c:v>
                </c:pt>
                <c:pt idx="172">
                  <c:v>70.75</c:v>
                </c:pt>
                <c:pt idx="173">
                  <c:v>70.333299999999994</c:v>
                </c:pt>
                <c:pt idx="174">
                  <c:v>57.333300000000001</c:v>
                </c:pt>
                <c:pt idx="175">
                  <c:v>48.333300000000001</c:v>
                </c:pt>
                <c:pt idx="176">
                  <c:v>51.333300000000001</c:v>
                </c:pt>
                <c:pt idx="177">
                  <c:v>65.833299999999994</c:v>
                </c:pt>
                <c:pt idx="178">
                  <c:v>63.416700000000006</c:v>
                </c:pt>
                <c:pt idx="179">
                  <c:v>49.791699999999999</c:v>
                </c:pt>
                <c:pt idx="180">
                  <c:v>43.416700000000006</c:v>
                </c:pt>
                <c:pt idx="181">
                  <c:v>39.625</c:v>
                </c:pt>
                <c:pt idx="182">
                  <c:v>44.458300000000001</c:v>
                </c:pt>
                <c:pt idx="183">
                  <c:v>68.25</c:v>
                </c:pt>
                <c:pt idx="184">
                  <c:v>63.791699999999999</c:v>
                </c:pt>
                <c:pt idx="185">
                  <c:v>59.041699999999999</c:v>
                </c:pt>
                <c:pt idx="186">
                  <c:v>74.333300000000008</c:v>
                </c:pt>
                <c:pt idx="187">
                  <c:v>65.125</c:v>
                </c:pt>
                <c:pt idx="188">
                  <c:v>75.791699999999992</c:v>
                </c:pt>
                <c:pt idx="189">
                  <c:v>60.916699999999999</c:v>
                </c:pt>
                <c:pt idx="190">
                  <c:v>57.833300000000001</c:v>
                </c:pt>
                <c:pt idx="191">
                  <c:v>63.583300000000001</c:v>
                </c:pt>
                <c:pt idx="192">
                  <c:v>55.916699999999999</c:v>
                </c:pt>
                <c:pt idx="193">
                  <c:v>63.166699999999999</c:v>
                </c:pt>
                <c:pt idx="194">
                  <c:v>47.625</c:v>
                </c:pt>
                <c:pt idx="195">
                  <c:v>59.125000000000007</c:v>
                </c:pt>
                <c:pt idx="196">
                  <c:v>58.5</c:v>
                </c:pt>
                <c:pt idx="197">
                  <c:v>60.416699999999999</c:v>
                </c:pt>
                <c:pt idx="198">
                  <c:v>65.125</c:v>
                </c:pt>
                <c:pt idx="199">
                  <c:v>65.041700000000006</c:v>
                </c:pt>
                <c:pt idx="200">
                  <c:v>70.708300000000008</c:v>
                </c:pt>
                <c:pt idx="201">
                  <c:v>69.125</c:v>
                </c:pt>
                <c:pt idx="202">
                  <c:v>58.041699999999999</c:v>
                </c:pt>
                <c:pt idx="203">
                  <c:v>50</c:v>
                </c:pt>
                <c:pt idx="204">
                  <c:v>55.083300000000001</c:v>
                </c:pt>
                <c:pt idx="205">
                  <c:v>75.708299999999994</c:v>
                </c:pt>
                <c:pt idx="206">
                  <c:v>54.083300000000001</c:v>
                </c:pt>
                <c:pt idx="207">
                  <c:v>40.291700000000006</c:v>
                </c:pt>
                <c:pt idx="208">
                  <c:v>58.333300000000001</c:v>
                </c:pt>
                <c:pt idx="209">
                  <c:v>54.25</c:v>
                </c:pt>
                <c:pt idx="210">
                  <c:v>46.583300000000001</c:v>
                </c:pt>
                <c:pt idx="211">
                  <c:v>48.083300000000001</c:v>
                </c:pt>
                <c:pt idx="212">
                  <c:v>55.083300000000001</c:v>
                </c:pt>
                <c:pt idx="213">
                  <c:v>49.125</c:v>
                </c:pt>
                <c:pt idx="214">
                  <c:v>65.75</c:v>
                </c:pt>
                <c:pt idx="215">
                  <c:v>75.75</c:v>
                </c:pt>
                <c:pt idx="216">
                  <c:v>63.083299999999994</c:v>
                </c:pt>
                <c:pt idx="217">
                  <c:v>75.5</c:v>
                </c:pt>
                <c:pt idx="218">
                  <c:v>75.291699999999992</c:v>
                </c:pt>
                <c:pt idx="219">
                  <c:v>59.208300000000001</c:v>
                </c:pt>
                <c:pt idx="220">
                  <c:v>57.041699999999992</c:v>
                </c:pt>
                <c:pt idx="221">
                  <c:v>42.416699999999999</c:v>
                </c:pt>
                <c:pt idx="222">
                  <c:v>42.375</c:v>
                </c:pt>
                <c:pt idx="223">
                  <c:v>41.5</c:v>
                </c:pt>
                <c:pt idx="224">
                  <c:v>72.958299999999994</c:v>
                </c:pt>
                <c:pt idx="225">
                  <c:v>81.75</c:v>
                </c:pt>
                <c:pt idx="226">
                  <c:v>71.208300000000008</c:v>
                </c:pt>
                <c:pt idx="227">
                  <c:v>57.833300000000001</c:v>
                </c:pt>
                <c:pt idx="228">
                  <c:v>57.541699999999999</c:v>
                </c:pt>
                <c:pt idx="229">
                  <c:v>65.458300000000008</c:v>
                </c:pt>
                <c:pt idx="230">
                  <c:v>72.291700000000006</c:v>
                </c:pt>
                <c:pt idx="231">
                  <c:v>67.416699999999992</c:v>
                </c:pt>
                <c:pt idx="232">
                  <c:v>77</c:v>
                </c:pt>
                <c:pt idx="233">
                  <c:v>47</c:v>
                </c:pt>
                <c:pt idx="234">
                  <c:v>45.541699999999999</c:v>
                </c:pt>
                <c:pt idx="235">
                  <c:v>60.5</c:v>
                </c:pt>
                <c:pt idx="236">
                  <c:v>77.166700000000006</c:v>
                </c:pt>
                <c:pt idx="237">
                  <c:v>76.125</c:v>
                </c:pt>
                <c:pt idx="238">
                  <c:v>85</c:v>
                </c:pt>
                <c:pt idx="239">
                  <c:v>56.176499999999997</c:v>
                </c:pt>
                <c:pt idx="240">
                  <c:v>55.458300000000008</c:v>
                </c:pt>
                <c:pt idx="241">
                  <c:v>54.833299999999994</c:v>
                </c:pt>
                <c:pt idx="242">
                  <c:v>59.791700000000006</c:v>
                </c:pt>
                <c:pt idx="243">
                  <c:v>63.916700000000006</c:v>
                </c:pt>
                <c:pt idx="244">
                  <c:v>72.708300000000008</c:v>
                </c:pt>
                <c:pt idx="245">
                  <c:v>71.666700000000006</c:v>
                </c:pt>
                <c:pt idx="246">
                  <c:v>74.208300000000008</c:v>
                </c:pt>
                <c:pt idx="247">
                  <c:v>79.041700000000006</c:v>
                </c:pt>
                <c:pt idx="248">
                  <c:v>88.695700000000002</c:v>
                </c:pt>
                <c:pt idx="249">
                  <c:v>91.708299999999994</c:v>
                </c:pt>
                <c:pt idx="250">
                  <c:v>93.956500000000005</c:v>
                </c:pt>
                <c:pt idx="251">
                  <c:v>89.791699999999992</c:v>
                </c:pt>
                <c:pt idx="252">
                  <c:v>75.375</c:v>
                </c:pt>
                <c:pt idx="253">
                  <c:v>71.375</c:v>
                </c:pt>
                <c:pt idx="254">
                  <c:v>69.217399999999998</c:v>
                </c:pt>
                <c:pt idx="255">
                  <c:v>71.25</c:v>
                </c:pt>
                <c:pt idx="256">
                  <c:v>69.708299999999994</c:v>
                </c:pt>
                <c:pt idx="257">
                  <c:v>70.916700000000006</c:v>
                </c:pt>
                <c:pt idx="258">
                  <c:v>59.041699999999999</c:v>
                </c:pt>
                <c:pt idx="259">
                  <c:v>71.833299999999994</c:v>
                </c:pt>
                <c:pt idx="260">
                  <c:v>69.5</c:v>
                </c:pt>
                <c:pt idx="261">
                  <c:v>69</c:v>
                </c:pt>
                <c:pt idx="262">
                  <c:v>88.125</c:v>
                </c:pt>
                <c:pt idx="263">
                  <c:v>90</c:v>
                </c:pt>
                <c:pt idx="264">
                  <c:v>90.208299999999994</c:v>
                </c:pt>
                <c:pt idx="265">
                  <c:v>97.25</c:v>
                </c:pt>
                <c:pt idx="266">
                  <c:v>86.25</c:v>
                </c:pt>
                <c:pt idx="267">
                  <c:v>84.5</c:v>
                </c:pt>
                <c:pt idx="268">
                  <c:v>84.833299999999994</c:v>
                </c:pt>
                <c:pt idx="269">
                  <c:v>88.541700000000006</c:v>
                </c:pt>
                <c:pt idx="270">
                  <c:v>84.875</c:v>
                </c:pt>
                <c:pt idx="271">
                  <c:v>69.916699999999992</c:v>
                </c:pt>
                <c:pt idx="272">
                  <c:v>64.75</c:v>
                </c:pt>
                <c:pt idx="273">
                  <c:v>75.375</c:v>
                </c:pt>
                <c:pt idx="274">
                  <c:v>79.166700000000006</c:v>
                </c:pt>
                <c:pt idx="275">
                  <c:v>76.083299999999994</c:v>
                </c:pt>
                <c:pt idx="276">
                  <c:v>71</c:v>
                </c:pt>
                <c:pt idx="277">
                  <c:v>64.791699999999992</c:v>
                </c:pt>
                <c:pt idx="278">
                  <c:v>62.083299999999994</c:v>
                </c:pt>
                <c:pt idx="279">
                  <c:v>68.416699999999992</c:v>
                </c:pt>
                <c:pt idx="280">
                  <c:v>70.125</c:v>
                </c:pt>
                <c:pt idx="281">
                  <c:v>72.75</c:v>
                </c:pt>
                <c:pt idx="282">
                  <c:v>73.375</c:v>
                </c:pt>
                <c:pt idx="283">
                  <c:v>80.875</c:v>
                </c:pt>
                <c:pt idx="284">
                  <c:v>90.625</c:v>
                </c:pt>
                <c:pt idx="285">
                  <c:v>89.666700000000006</c:v>
                </c:pt>
                <c:pt idx="286">
                  <c:v>71.625</c:v>
                </c:pt>
                <c:pt idx="287">
                  <c:v>48.333300000000001</c:v>
                </c:pt>
                <c:pt idx="288">
                  <c:v>48.666699999999999</c:v>
                </c:pt>
                <c:pt idx="289">
                  <c:v>57.958299999999994</c:v>
                </c:pt>
                <c:pt idx="290">
                  <c:v>70.166700000000006</c:v>
                </c:pt>
                <c:pt idx="291">
                  <c:v>89.52170000000001</c:v>
                </c:pt>
                <c:pt idx="292">
                  <c:v>63.625</c:v>
                </c:pt>
                <c:pt idx="293">
                  <c:v>57.416699999999999</c:v>
                </c:pt>
                <c:pt idx="294">
                  <c:v>62.916700000000006</c:v>
                </c:pt>
                <c:pt idx="295">
                  <c:v>74.125</c:v>
                </c:pt>
                <c:pt idx="296">
                  <c:v>77.208299999999994</c:v>
                </c:pt>
                <c:pt idx="297">
                  <c:v>62.291700000000006</c:v>
                </c:pt>
                <c:pt idx="298">
                  <c:v>72.041699999999992</c:v>
                </c:pt>
                <c:pt idx="299">
                  <c:v>81.291700000000006</c:v>
                </c:pt>
                <c:pt idx="300">
                  <c:v>58.583300000000008</c:v>
                </c:pt>
                <c:pt idx="301">
                  <c:v>88.25</c:v>
                </c:pt>
                <c:pt idx="302">
                  <c:v>62.375</c:v>
                </c:pt>
                <c:pt idx="303">
                  <c:v>70.333299999999994</c:v>
                </c:pt>
                <c:pt idx="304">
                  <c:v>68.375</c:v>
                </c:pt>
                <c:pt idx="305">
                  <c:v>71.875</c:v>
                </c:pt>
                <c:pt idx="306">
                  <c:v>70.208300000000008</c:v>
                </c:pt>
                <c:pt idx="307">
                  <c:v>62.250000000000007</c:v>
                </c:pt>
                <c:pt idx="308">
                  <c:v>51.916700000000006</c:v>
                </c:pt>
                <c:pt idx="309">
                  <c:v>73.458299999999994</c:v>
                </c:pt>
                <c:pt idx="310">
                  <c:v>75.875</c:v>
                </c:pt>
                <c:pt idx="311">
                  <c:v>72.166699999999992</c:v>
                </c:pt>
                <c:pt idx="312">
                  <c:v>75.833300000000008</c:v>
                </c:pt>
                <c:pt idx="313">
                  <c:v>81.333299999999994</c:v>
                </c:pt>
                <c:pt idx="314">
                  <c:v>44.625</c:v>
                </c:pt>
                <c:pt idx="315">
                  <c:v>55.291699999999999</c:v>
                </c:pt>
                <c:pt idx="316">
                  <c:v>45.833300000000001</c:v>
                </c:pt>
                <c:pt idx="317">
                  <c:v>58.708300000000001</c:v>
                </c:pt>
                <c:pt idx="318">
                  <c:v>68.875</c:v>
                </c:pt>
                <c:pt idx="319">
                  <c:v>93</c:v>
                </c:pt>
                <c:pt idx="320">
                  <c:v>57.583300000000001</c:v>
                </c:pt>
                <c:pt idx="321">
                  <c:v>41</c:v>
                </c:pt>
                <c:pt idx="322">
                  <c:v>50.208299999999994</c:v>
                </c:pt>
                <c:pt idx="323">
                  <c:v>68.458300000000008</c:v>
                </c:pt>
                <c:pt idx="324">
                  <c:v>91</c:v>
                </c:pt>
                <c:pt idx="325">
                  <c:v>96.25</c:v>
                </c:pt>
                <c:pt idx="326">
                  <c:v>75.791699999999992</c:v>
                </c:pt>
                <c:pt idx="327">
                  <c:v>54.916699999999999</c:v>
                </c:pt>
                <c:pt idx="328">
                  <c:v>64.375</c:v>
                </c:pt>
                <c:pt idx="329">
                  <c:v>68.166700000000006</c:v>
                </c:pt>
                <c:pt idx="330">
                  <c:v>69.833299999999994</c:v>
                </c:pt>
                <c:pt idx="331">
                  <c:v>74.304299999999998</c:v>
                </c:pt>
                <c:pt idx="332">
                  <c:v>83.083300000000008</c:v>
                </c:pt>
                <c:pt idx="333">
                  <c:v>61.333300000000001</c:v>
                </c:pt>
                <c:pt idx="334">
                  <c:v>52.458300000000001</c:v>
                </c:pt>
                <c:pt idx="335">
                  <c:v>62.583299999999994</c:v>
                </c:pt>
                <c:pt idx="336">
                  <c:v>61.291700000000006</c:v>
                </c:pt>
                <c:pt idx="337">
                  <c:v>77.583299999999994</c:v>
                </c:pt>
                <c:pt idx="338">
                  <c:v>82.708300000000008</c:v>
                </c:pt>
                <c:pt idx="339">
                  <c:v>94.958299999999994</c:v>
                </c:pt>
                <c:pt idx="340">
                  <c:v>97.041699999999992</c:v>
                </c:pt>
                <c:pt idx="341">
                  <c:v>57.999999999999993</c:v>
                </c:pt>
                <c:pt idx="342">
                  <c:v>69.583300000000008</c:v>
                </c:pt>
                <c:pt idx="343">
                  <c:v>50.749999999999993</c:v>
                </c:pt>
                <c:pt idx="344">
                  <c:v>49</c:v>
                </c:pt>
                <c:pt idx="345">
                  <c:v>67.083300000000008</c:v>
                </c:pt>
                <c:pt idx="346">
                  <c:v>59</c:v>
                </c:pt>
                <c:pt idx="347">
                  <c:v>66.375</c:v>
                </c:pt>
                <c:pt idx="348">
                  <c:v>63.416700000000006</c:v>
                </c:pt>
                <c:pt idx="349">
                  <c:v>50.041699999999999</c:v>
                </c:pt>
                <c:pt idx="350">
                  <c:v>56.083300000000001</c:v>
                </c:pt>
                <c:pt idx="351">
                  <c:v>58.625000000000007</c:v>
                </c:pt>
                <c:pt idx="352">
                  <c:v>63.749999999999993</c:v>
                </c:pt>
                <c:pt idx="353">
                  <c:v>59.541699999999999</c:v>
                </c:pt>
                <c:pt idx="354">
                  <c:v>85.833300000000008</c:v>
                </c:pt>
                <c:pt idx="355">
                  <c:v>75.75</c:v>
                </c:pt>
                <c:pt idx="356">
                  <c:v>68.625</c:v>
                </c:pt>
                <c:pt idx="357">
                  <c:v>54.25</c:v>
                </c:pt>
                <c:pt idx="358">
                  <c:v>68.130400000000009</c:v>
                </c:pt>
                <c:pt idx="359">
                  <c:v>50.695700000000002</c:v>
                </c:pt>
                <c:pt idx="360">
                  <c:v>76.25</c:v>
                </c:pt>
                <c:pt idx="361">
                  <c:v>50.391300000000008</c:v>
                </c:pt>
                <c:pt idx="362">
                  <c:v>57.416699999999999</c:v>
                </c:pt>
                <c:pt idx="363">
                  <c:v>63.666699999999999</c:v>
                </c:pt>
                <c:pt idx="364">
                  <c:v>61.583299999999994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67-4CAC-97FB-3C828B617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9051600"/>
        <c:axId val="1559052080"/>
      </c:scatterChart>
      <c:valAx>
        <c:axId val="155905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052080"/>
        <c:crosses val="autoZero"/>
        <c:crossBetween val="midCat"/>
      </c:valAx>
      <c:valAx>
        <c:axId val="155905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05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windspeed &amp; pBike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'Q2.3'!$Y$1</c:f>
              <c:strCache>
                <c:ptCount val="1"/>
                <c:pt idx="0">
                  <c:v>pBike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'Q2.3'!$X$2:$X$366</c:f>
              <c:numCache>
                <c:formatCode>0.00</c:formatCode>
                <c:ptCount val="365"/>
                <c:pt idx="0">
                  <c:v>46</c:v>
                </c:pt>
                <c:pt idx="1">
                  <c:v>61</c:v>
                </c:pt>
                <c:pt idx="2">
                  <c:v>21</c:v>
                </c:pt>
                <c:pt idx="3">
                  <c:v>16</c:v>
                </c:pt>
                <c:pt idx="4">
                  <c:v>15</c:v>
                </c:pt>
                <c:pt idx="5">
                  <c:v>14</c:v>
                </c:pt>
                <c:pt idx="6">
                  <c:v>40</c:v>
                </c:pt>
                <c:pt idx="7">
                  <c:v>35</c:v>
                </c:pt>
                <c:pt idx="8">
                  <c:v>14</c:v>
                </c:pt>
                <c:pt idx="9">
                  <c:v>13</c:v>
                </c:pt>
                <c:pt idx="10">
                  <c:v>15</c:v>
                </c:pt>
                <c:pt idx="11">
                  <c:v>18</c:v>
                </c:pt>
                <c:pt idx="12">
                  <c:v>26</c:v>
                </c:pt>
                <c:pt idx="13">
                  <c:v>48</c:v>
                </c:pt>
                <c:pt idx="14">
                  <c:v>40</c:v>
                </c:pt>
                <c:pt idx="15">
                  <c:v>17</c:v>
                </c:pt>
                <c:pt idx="16">
                  <c:v>15</c:v>
                </c:pt>
                <c:pt idx="17">
                  <c:v>13</c:v>
                </c:pt>
                <c:pt idx="18">
                  <c:v>13</c:v>
                </c:pt>
                <c:pt idx="19">
                  <c:v>11</c:v>
                </c:pt>
                <c:pt idx="20">
                  <c:v>20</c:v>
                </c:pt>
                <c:pt idx="21">
                  <c:v>21</c:v>
                </c:pt>
                <c:pt idx="22">
                  <c:v>11</c:v>
                </c:pt>
                <c:pt idx="23">
                  <c:v>15</c:v>
                </c:pt>
                <c:pt idx="24">
                  <c:v>15</c:v>
                </c:pt>
                <c:pt idx="25">
                  <c:v>12</c:v>
                </c:pt>
                <c:pt idx="26">
                  <c:v>13</c:v>
                </c:pt>
                <c:pt idx="27">
                  <c:v>31</c:v>
                </c:pt>
                <c:pt idx="28">
                  <c:v>30</c:v>
                </c:pt>
                <c:pt idx="29">
                  <c:v>15</c:v>
                </c:pt>
                <c:pt idx="30">
                  <c:v>16</c:v>
                </c:pt>
                <c:pt idx="31">
                  <c:v>9</c:v>
                </c:pt>
                <c:pt idx="32">
                  <c:v>16</c:v>
                </c:pt>
                <c:pt idx="33">
                  <c:v>20</c:v>
                </c:pt>
                <c:pt idx="34">
                  <c:v>30</c:v>
                </c:pt>
                <c:pt idx="35">
                  <c:v>26</c:v>
                </c:pt>
                <c:pt idx="36">
                  <c:v>17</c:v>
                </c:pt>
                <c:pt idx="37">
                  <c:v>18</c:v>
                </c:pt>
                <c:pt idx="38">
                  <c:v>18</c:v>
                </c:pt>
                <c:pt idx="39">
                  <c:v>16</c:v>
                </c:pt>
                <c:pt idx="40">
                  <c:v>21</c:v>
                </c:pt>
                <c:pt idx="41">
                  <c:v>30</c:v>
                </c:pt>
                <c:pt idx="42">
                  <c:v>27</c:v>
                </c:pt>
                <c:pt idx="43">
                  <c:v>16</c:v>
                </c:pt>
                <c:pt idx="44">
                  <c:v>14</c:v>
                </c:pt>
                <c:pt idx="45">
                  <c:v>13</c:v>
                </c:pt>
                <c:pt idx="46">
                  <c:v>13</c:v>
                </c:pt>
                <c:pt idx="47">
                  <c:v>16</c:v>
                </c:pt>
                <c:pt idx="48">
                  <c:v>38</c:v>
                </c:pt>
                <c:pt idx="49">
                  <c:v>25</c:v>
                </c:pt>
                <c:pt idx="50">
                  <c:v>17</c:v>
                </c:pt>
                <c:pt idx="51">
                  <c:v>26</c:v>
                </c:pt>
                <c:pt idx="52">
                  <c:v>19</c:v>
                </c:pt>
                <c:pt idx="53">
                  <c:v>9</c:v>
                </c:pt>
                <c:pt idx="54">
                  <c:v>15</c:v>
                </c:pt>
                <c:pt idx="55">
                  <c:v>5</c:v>
                </c:pt>
                <c:pt idx="56">
                  <c:v>28</c:v>
                </c:pt>
                <c:pt idx="57">
                  <c:v>15</c:v>
                </c:pt>
                <c:pt idx="58">
                  <c:v>16</c:v>
                </c:pt>
                <c:pt idx="59">
                  <c:v>14</c:v>
                </c:pt>
                <c:pt idx="60">
                  <c:v>16</c:v>
                </c:pt>
                <c:pt idx="61">
                  <c:v>18</c:v>
                </c:pt>
                <c:pt idx="62">
                  <c:v>39</c:v>
                </c:pt>
                <c:pt idx="63">
                  <c:v>50</c:v>
                </c:pt>
                <c:pt idx="64">
                  <c:v>25</c:v>
                </c:pt>
                <c:pt idx="65">
                  <c:v>4</c:v>
                </c:pt>
                <c:pt idx="66">
                  <c:v>2</c:v>
                </c:pt>
                <c:pt idx="67">
                  <c:v>3</c:v>
                </c:pt>
                <c:pt idx="68">
                  <c:v>8</c:v>
                </c:pt>
                <c:pt idx="69">
                  <c:v>35</c:v>
                </c:pt>
                <c:pt idx="70">
                  <c:v>33</c:v>
                </c:pt>
                <c:pt idx="71">
                  <c:v>14</c:v>
                </c:pt>
                <c:pt idx="72">
                  <c:v>14</c:v>
                </c:pt>
                <c:pt idx="73">
                  <c:v>13</c:v>
                </c:pt>
                <c:pt idx="74">
                  <c:v>9</c:v>
                </c:pt>
                <c:pt idx="75">
                  <c:v>15</c:v>
                </c:pt>
                <c:pt idx="76">
                  <c:v>29</c:v>
                </c:pt>
                <c:pt idx="77">
                  <c:v>27</c:v>
                </c:pt>
                <c:pt idx="78">
                  <c:v>14</c:v>
                </c:pt>
                <c:pt idx="79">
                  <c:v>9</c:v>
                </c:pt>
                <c:pt idx="80">
                  <c:v>11</c:v>
                </c:pt>
                <c:pt idx="81">
                  <c:v>11</c:v>
                </c:pt>
                <c:pt idx="82">
                  <c:v>5</c:v>
                </c:pt>
                <c:pt idx="83">
                  <c:v>36</c:v>
                </c:pt>
                <c:pt idx="84">
                  <c:v>31</c:v>
                </c:pt>
                <c:pt idx="85">
                  <c:v>14</c:v>
                </c:pt>
                <c:pt idx="86">
                  <c:v>10</c:v>
                </c:pt>
                <c:pt idx="87">
                  <c:v>10</c:v>
                </c:pt>
                <c:pt idx="88">
                  <c:v>13</c:v>
                </c:pt>
                <c:pt idx="89">
                  <c:v>17</c:v>
                </c:pt>
                <c:pt idx="90">
                  <c:v>10</c:v>
                </c:pt>
                <c:pt idx="91">
                  <c:v>12</c:v>
                </c:pt>
                <c:pt idx="92">
                  <c:v>7</c:v>
                </c:pt>
                <c:pt idx="93">
                  <c:v>10</c:v>
                </c:pt>
                <c:pt idx="94">
                  <c:v>11</c:v>
                </c:pt>
                <c:pt idx="95">
                  <c:v>13</c:v>
                </c:pt>
                <c:pt idx="96">
                  <c:v>19</c:v>
                </c:pt>
                <c:pt idx="97">
                  <c:v>45</c:v>
                </c:pt>
                <c:pt idx="98">
                  <c:v>48</c:v>
                </c:pt>
                <c:pt idx="99">
                  <c:v>30</c:v>
                </c:pt>
                <c:pt idx="100">
                  <c:v>13</c:v>
                </c:pt>
                <c:pt idx="101">
                  <c:v>4</c:v>
                </c:pt>
                <c:pt idx="102">
                  <c:v>6</c:v>
                </c:pt>
                <c:pt idx="103">
                  <c:v>11</c:v>
                </c:pt>
                <c:pt idx="104">
                  <c:v>38</c:v>
                </c:pt>
                <c:pt idx="105">
                  <c:v>35</c:v>
                </c:pt>
                <c:pt idx="106">
                  <c:v>14</c:v>
                </c:pt>
                <c:pt idx="107">
                  <c:v>13</c:v>
                </c:pt>
                <c:pt idx="108">
                  <c:v>5</c:v>
                </c:pt>
                <c:pt idx="109">
                  <c:v>9</c:v>
                </c:pt>
                <c:pt idx="110">
                  <c:v>14</c:v>
                </c:pt>
                <c:pt idx="111">
                  <c:v>30</c:v>
                </c:pt>
                <c:pt idx="112">
                  <c:v>32</c:v>
                </c:pt>
                <c:pt idx="113">
                  <c:v>14</c:v>
                </c:pt>
                <c:pt idx="114">
                  <c:v>14</c:v>
                </c:pt>
                <c:pt idx="115">
                  <c:v>8</c:v>
                </c:pt>
                <c:pt idx="116">
                  <c:v>5</c:v>
                </c:pt>
                <c:pt idx="117">
                  <c:v>9</c:v>
                </c:pt>
                <c:pt idx="118">
                  <c:v>1</c:v>
                </c:pt>
                <c:pt idx="119">
                  <c:v>18</c:v>
                </c:pt>
                <c:pt idx="120">
                  <c:v>7</c:v>
                </c:pt>
                <c:pt idx="121">
                  <c:v>8</c:v>
                </c:pt>
                <c:pt idx="122">
                  <c:v>7</c:v>
                </c:pt>
                <c:pt idx="123">
                  <c:v>6</c:v>
                </c:pt>
                <c:pt idx="124">
                  <c:v>9</c:v>
                </c:pt>
                <c:pt idx="125">
                  <c:v>23</c:v>
                </c:pt>
                <c:pt idx="126">
                  <c:v>19</c:v>
                </c:pt>
                <c:pt idx="127">
                  <c:v>7</c:v>
                </c:pt>
                <c:pt idx="128">
                  <c:v>8</c:v>
                </c:pt>
                <c:pt idx="129">
                  <c:v>6</c:v>
                </c:pt>
                <c:pt idx="130">
                  <c:v>4</c:v>
                </c:pt>
                <c:pt idx="131">
                  <c:v>9</c:v>
                </c:pt>
                <c:pt idx="132">
                  <c:v>26</c:v>
                </c:pt>
                <c:pt idx="133">
                  <c:v>20</c:v>
                </c:pt>
                <c:pt idx="134">
                  <c:v>12</c:v>
                </c:pt>
                <c:pt idx="135">
                  <c:v>9</c:v>
                </c:pt>
                <c:pt idx="136">
                  <c:v>3</c:v>
                </c:pt>
                <c:pt idx="137">
                  <c:v>3</c:v>
                </c:pt>
                <c:pt idx="138">
                  <c:v>5</c:v>
                </c:pt>
                <c:pt idx="139">
                  <c:v>19</c:v>
                </c:pt>
                <c:pt idx="140">
                  <c:v>16</c:v>
                </c:pt>
                <c:pt idx="141">
                  <c:v>4</c:v>
                </c:pt>
                <c:pt idx="142">
                  <c:v>1</c:v>
                </c:pt>
                <c:pt idx="143">
                  <c:v>2</c:v>
                </c:pt>
                <c:pt idx="144">
                  <c:v>11</c:v>
                </c:pt>
                <c:pt idx="145">
                  <c:v>22</c:v>
                </c:pt>
                <c:pt idx="146">
                  <c:v>25</c:v>
                </c:pt>
                <c:pt idx="147">
                  <c:v>16</c:v>
                </c:pt>
                <c:pt idx="148">
                  <c:v>5</c:v>
                </c:pt>
                <c:pt idx="149">
                  <c:v>2</c:v>
                </c:pt>
                <c:pt idx="150">
                  <c:v>4</c:v>
                </c:pt>
                <c:pt idx="151">
                  <c:v>4</c:v>
                </c:pt>
                <c:pt idx="152">
                  <c:v>5</c:v>
                </c:pt>
                <c:pt idx="153">
                  <c:v>14</c:v>
                </c:pt>
                <c:pt idx="154">
                  <c:v>13</c:v>
                </c:pt>
                <c:pt idx="155">
                  <c:v>5</c:v>
                </c:pt>
                <c:pt idx="156">
                  <c:v>3</c:v>
                </c:pt>
                <c:pt idx="157">
                  <c:v>1</c:v>
                </c:pt>
                <c:pt idx="158">
                  <c:v>3</c:v>
                </c:pt>
                <c:pt idx="159">
                  <c:v>5</c:v>
                </c:pt>
                <c:pt idx="160">
                  <c:v>10</c:v>
                </c:pt>
                <c:pt idx="161">
                  <c:v>8</c:v>
                </c:pt>
                <c:pt idx="162">
                  <c:v>3</c:v>
                </c:pt>
                <c:pt idx="163">
                  <c:v>3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6</c:v>
                </c:pt>
                <c:pt idx="168">
                  <c:v>4</c:v>
                </c:pt>
                <c:pt idx="169">
                  <c:v>5</c:v>
                </c:pt>
                <c:pt idx="170">
                  <c:v>4</c:v>
                </c:pt>
                <c:pt idx="171">
                  <c:v>2</c:v>
                </c:pt>
                <c:pt idx="172">
                  <c:v>5</c:v>
                </c:pt>
                <c:pt idx="173">
                  <c:v>3</c:v>
                </c:pt>
                <c:pt idx="174">
                  <c:v>3</c:v>
                </c:pt>
                <c:pt idx="175">
                  <c:v>6</c:v>
                </c:pt>
                <c:pt idx="176">
                  <c:v>9</c:v>
                </c:pt>
                <c:pt idx="177">
                  <c:v>2</c:v>
                </c:pt>
                <c:pt idx="178">
                  <c:v>5</c:v>
                </c:pt>
                <c:pt idx="179">
                  <c:v>5</c:v>
                </c:pt>
                <c:pt idx="180">
                  <c:v>10</c:v>
                </c:pt>
                <c:pt idx="181">
                  <c:v>13</c:v>
                </c:pt>
                <c:pt idx="182">
                  <c:v>7</c:v>
                </c:pt>
                <c:pt idx="183">
                  <c:v>3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3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4</c:v>
                </c:pt>
                <c:pt idx="197">
                  <c:v>5</c:v>
                </c:pt>
                <c:pt idx="198">
                  <c:v>2</c:v>
                </c:pt>
                <c:pt idx="199">
                  <c:v>0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3</c:v>
                </c:pt>
                <c:pt idx="205">
                  <c:v>2</c:v>
                </c:pt>
                <c:pt idx="206">
                  <c:v>4</c:v>
                </c:pt>
                <c:pt idx="207">
                  <c:v>1</c:v>
                </c:pt>
                <c:pt idx="208">
                  <c:v>0</c:v>
                </c:pt>
                <c:pt idx="209">
                  <c:v>1</c:v>
                </c:pt>
                <c:pt idx="210">
                  <c:v>2</c:v>
                </c:pt>
                <c:pt idx="211">
                  <c:v>3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2</c:v>
                </c:pt>
                <c:pt idx="217">
                  <c:v>2</c:v>
                </c:pt>
                <c:pt idx="218">
                  <c:v>7</c:v>
                </c:pt>
                <c:pt idx="219">
                  <c:v>2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3</c:v>
                </c:pt>
                <c:pt idx="224">
                  <c:v>6</c:v>
                </c:pt>
                <c:pt idx="225">
                  <c:v>8</c:v>
                </c:pt>
                <c:pt idx="226">
                  <c:v>4</c:v>
                </c:pt>
                <c:pt idx="227">
                  <c:v>3</c:v>
                </c:pt>
                <c:pt idx="228">
                  <c:v>4</c:v>
                </c:pt>
                <c:pt idx="229">
                  <c:v>5</c:v>
                </c:pt>
                <c:pt idx="230">
                  <c:v>12</c:v>
                </c:pt>
                <c:pt idx="231">
                  <c:v>11</c:v>
                </c:pt>
                <c:pt idx="232">
                  <c:v>13</c:v>
                </c:pt>
                <c:pt idx="233">
                  <c:v>4</c:v>
                </c:pt>
                <c:pt idx="234">
                  <c:v>1</c:v>
                </c:pt>
                <c:pt idx="235">
                  <c:v>3</c:v>
                </c:pt>
                <c:pt idx="236">
                  <c:v>2</c:v>
                </c:pt>
                <c:pt idx="237">
                  <c:v>2</c:v>
                </c:pt>
                <c:pt idx="238">
                  <c:v>8</c:v>
                </c:pt>
                <c:pt idx="239">
                  <c:v>14</c:v>
                </c:pt>
                <c:pt idx="240">
                  <c:v>2</c:v>
                </c:pt>
                <c:pt idx="241">
                  <c:v>3</c:v>
                </c:pt>
                <c:pt idx="242">
                  <c:v>5</c:v>
                </c:pt>
                <c:pt idx="243">
                  <c:v>2</c:v>
                </c:pt>
                <c:pt idx="244">
                  <c:v>4</c:v>
                </c:pt>
                <c:pt idx="245">
                  <c:v>13</c:v>
                </c:pt>
                <c:pt idx="246">
                  <c:v>2</c:v>
                </c:pt>
                <c:pt idx="247">
                  <c:v>5</c:v>
                </c:pt>
                <c:pt idx="248">
                  <c:v>6</c:v>
                </c:pt>
                <c:pt idx="249">
                  <c:v>4</c:v>
                </c:pt>
                <c:pt idx="250">
                  <c:v>1</c:v>
                </c:pt>
                <c:pt idx="251">
                  <c:v>5</c:v>
                </c:pt>
                <c:pt idx="252">
                  <c:v>14</c:v>
                </c:pt>
                <c:pt idx="253">
                  <c:v>20</c:v>
                </c:pt>
                <c:pt idx="254">
                  <c:v>7</c:v>
                </c:pt>
                <c:pt idx="255">
                  <c:v>6</c:v>
                </c:pt>
                <c:pt idx="256">
                  <c:v>6</c:v>
                </c:pt>
                <c:pt idx="257">
                  <c:v>8</c:v>
                </c:pt>
                <c:pt idx="258">
                  <c:v>18</c:v>
                </c:pt>
                <c:pt idx="259">
                  <c:v>28</c:v>
                </c:pt>
                <c:pt idx="260">
                  <c:v>21</c:v>
                </c:pt>
                <c:pt idx="261">
                  <c:v>8</c:v>
                </c:pt>
                <c:pt idx="262">
                  <c:v>9</c:v>
                </c:pt>
                <c:pt idx="263">
                  <c:v>4</c:v>
                </c:pt>
                <c:pt idx="264">
                  <c:v>3</c:v>
                </c:pt>
                <c:pt idx="265">
                  <c:v>6</c:v>
                </c:pt>
                <c:pt idx="266">
                  <c:v>20</c:v>
                </c:pt>
                <c:pt idx="267">
                  <c:v>9</c:v>
                </c:pt>
                <c:pt idx="268">
                  <c:v>4</c:v>
                </c:pt>
                <c:pt idx="269">
                  <c:v>6</c:v>
                </c:pt>
                <c:pt idx="270">
                  <c:v>3</c:v>
                </c:pt>
                <c:pt idx="271">
                  <c:v>4</c:v>
                </c:pt>
                <c:pt idx="272">
                  <c:v>6</c:v>
                </c:pt>
                <c:pt idx="273">
                  <c:v>18</c:v>
                </c:pt>
                <c:pt idx="274">
                  <c:v>33</c:v>
                </c:pt>
                <c:pt idx="275">
                  <c:v>15</c:v>
                </c:pt>
                <c:pt idx="276">
                  <c:v>3</c:v>
                </c:pt>
                <c:pt idx="277">
                  <c:v>8</c:v>
                </c:pt>
                <c:pt idx="278">
                  <c:v>11</c:v>
                </c:pt>
                <c:pt idx="279">
                  <c:v>3</c:v>
                </c:pt>
                <c:pt idx="280">
                  <c:v>18</c:v>
                </c:pt>
                <c:pt idx="281">
                  <c:v>24</c:v>
                </c:pt>
                <c:pt idx="282">
                  <c:v>17</c:v>
                </c:pt>
                <c:pt idx="283">
                  <c:v>5</c:v>
                </c:pt>
                <c:pt idx="284">
                  <c:v>4</c:v>
                </c:pt>
                <c:pt idx="285">
                  <c:v>11</c:v>
                </c:pt>
                <c:pt idx="286">
                  <c:v>13</c:v>
                </c:pt>
                <c:pt idx="287">
                  <c:v>2</c:v>
                </c:pt>
                <c:pt idx="288">
                  <c:v>31</c:v>
                </c:pt>
                <c:pt idx="289">
                  <c:v>13</c:v>
                </c:pt>
                <c:pt idx="290">
                  <c:v>8</c:v>
                </c:pt>
                <c:pt idx="291">
                  <c:v>12</c:v>
                </c:pt>
                <c:pt idx="292">
                  <c:v>15</c:v>
                </c:pt>
                <c:pt idx="293">
                  <c:v>4</c:v>
                </c:pt>
                <c:pt idx="294">
                  <c:v>29</c:v>
                </c:pt>
                <c:pt idx="295">
                  <c:v>34</c:v>
                </c:pt>
                <c:pt idx="296">
                  <c:v>15</c:v>
                </c:pt>
                <c:pt idx="297">
                  <c:v>14</c:v>
                </c:pt>
                <c:pt idx="298">
                  <c:v>11</c:v>
                </c:pt>
                <c:pt idx="299">
                  <c:v>11</c:v>
                </c:pt>
                <c:pt idx="300">
                  <c:v>18</c:v>
                </c:pt>
                <c:pt idx="301">
                  <c:v>39</c:v>
                </c:pt>
                <c:pt idx="302">
                  <c:v>23</c:v>
                </c:pt>
                <c:pt idx="303">
                  <c:v>17</c:v>
                </c:pt>
                <c:pt idx="304">
                  <c:v>12</c:v>
                </c:pt>
                <c:pt idx="305">
                  <c:v>5</c:v>
                </c:pt>
                <c:pt idx="306">
                  <c:v>12</c:v>
                </c:pt>
                <c:pt idx="307">
                  <c:v>18</c:v>
                </c:pt>
                <c:pt idx="308">
                  <c:v>32</c:v>
                </c:pt>
                <c:pt idx="309">
                  <c:v>28</c:v>
                </c:pt>
                <c:pt idx="310">
                  <c:v>13</c:v>
                </c:pt>
                <c:pt idx="311">
                  <c:v>14</c:v>
                </c:pt>
                <c:pt idx="312">
                  <c:v>11</c:v>
                </c:pt>
                <c:pt idx="313">
                  <c:v>14</c:v>
                </c:pt>
                <c:pt idx="314">
                  <c:v>14</c:v>
                </c:pt>
                <c:pt idx="315">
                  <c:v>18</c:v>
                </c:pt>
                <c:pt idx="316">
                  <c:v>32</c:v>
                </c:pt>
                <c:pt idx="317">
                  <c:v>15</c:v>
                </c:pt>
                <c:pt idx="318">
                  <c:v>14</c:v>
                </c:pt>
                <c:pt idx="319">
                  <c:v>11</c:v>
                </c:pt>
                <c:pt idx="320">
                  <c:v>15</c:v>
                </c:pt>
                <c:pt idx="321">
                  <c:v>18</c:v>
                </c:pt>
                <c:pt idx="322">
                  <c:v>45</c:v>
                </c:pt>
                <c:pt idx="323">
                  <c:v>32</c:v>
                </c:pt>
                <c:pt idx="324">
                  <c:v>17</c:v>
                </c:pt>
                <c:pt idx="325">
                  <c:v>13</c:v>
                </c:pt>
                <c:pt idx="326">
                  <c:v>15</c:v>
                </c:pt>
                <c:pt idx="327">
                  <c:v>15</c:v>
                </c:pt>
                <c:pt idx="328">
                  <c:v>17</c:v>
                </c:pt>
                <c:pt idx="329">
                  <c:v>40</c:v>
                </c:pt>
                <c:pt idx="330">
                  <c:v>47</c:v>
                </c:pt>
                <c:pt idx="331">
                  <c:v>31</c:v>
                </c:pt>
                <c:pt idx="332">
                  <c:v>13</c:v>
                </c:pt>
                <c:pt idx="333">
                  <c:v>10</c:v>
                </c:pt>
                <c:pt idx="334">
                  <c:v>15</c:v>
                </c:pt>
                <c:pt idx="335">
                  <c:v>18</c:v>
                </c:pt>
                <c:pt idx="336">
                  <c:v>37</c:v>
                </c:pt>
                <c:pt idx="337">
                  <c:v>34</c:v>
                </c:pt>
                <c:pt idx="338">
                  <c:v>13</c:v>
                </c:pt>
                <c:pt idx="339">
                  <c:v>15</c:v>
                </c:pt>
                <c:pt idx="340">
                  <c:v>14</c:v>
                </c:pt>
                <c:pt idx="341">
                  <c:v>11</c:v>
                </c:pt>
                <c:pt idx="342">
                  <c:v>16</c:v>
                </c:pt>
                <c:pt idx="343">
                  <c:v>35</c:v>
                </c:pt>
                <c:pt idx="344">
                  <c:v>29</c:v>
                </c:pt>
                <c:pt idx="345">
                  <c:v>17</c:v>
                </c:pt>
                <c:pt idx="346">
                  <c:v>15</c:v>
                </c:pt>
                <c:pt idx="347">
                  <c:v>15</c:v>
                </c:pt>
                <c:pt idx="348">
                  <c:v>11</c:v>
                </c:pt>
                <c:pt idx="349">
                  <c:v>17</c:v>
                </c:pt>
                <c:pt idx="350">
                  <c:v>36</c:v>
                </c:pt>
                <c:pt idx="351">
                  <c:v>33</c:v>
                </c:pt>
                <c:pt idx="352">
                  <c:v>14</c:v>
                </c:pt>
                <c:pt idx="353">
                  <c:v>15</c:v>
                </c:pt>
                <c:pt idx="354">
                  <c:v>13</c:v>
                </c:pt>
                <c:pt idx="355">
                  <c:v>15</c:v>
                </c:pt>
                <c:pt idx="356">
                  <c:v>19</c:v>
                </c:pt>
                <c:pt idx="357">
                  <c:v>36</c:v>
                </c:pt>
                <c:pt idx="358">
                  <c:v>38</c:v>
                </c:pt>
                <c:pt idx="359">
                  <c:v>17</c:v>
                </c:pt>
                <c:pt idx="360">
                  <c:v>15</c:v>
                </c:pt>
                <c:pt idx="361">
                  <c:v>17</c:v>
                </c:pt>
                <c:pt idx="362">
                  <c:v>21</c:v>
                </c:pt>
                <c:pt idx="363">
                  <c:v>25</c:v>
                </c:pt>
                <c:pt idx="364">
                  <c:v>44</c:v>
                </c:pt>
              </c:numCache>
            </c:numRef>
          </c:xVal>
          <c:yVal>
            <c:numRef>
              <c:f>'Q2.3'!$Y$2:$Y$366</c:f>
              <c:numCache>
                <c:formatCode>0.00</c:formatCode>
                <c:ptCount val="365"/>
                <c:pt idx="0">
                  <c:v>47</c:v>
                </c:pt>
                <c:pt idx="1">
                  <c:v>60</c:v>
                </c:pt>
                <c:pt idx="2">
                  <c:v>73</c:v>
                </c:pt>
                <c:pt idx="3">
                  <c:v>77</c:v>
                </c:pt>
                <c:pt idx="4">
                  <c:v>77</c:v>
                </c:pt>
                <c:pt idx="5">
                  <c:v>67</c:v>
                </c:pt>
                <c:pt idx="6">
                  <c:v>67</c:v>
                </c:pt>
                <c:pt idx="7">
                  <c:v>63</c:v>
                </c:pt>
                <c:pt idx="8">
                  <c:v>67</c:v>
                </c:pt>
                <c:pt idx="9">
                  <c:v>72</c:v>
                </c:pt>
                <c:pt idx="10">
                  <c:v>72</c:v>
                </c:pt>
                <c:pt idx="11">
                  <c:v>84</c:v>
                </c:pt>
                <c:pt idx="12">
                  <c:v>84</c:v>
                </c:pt>
                <c:pt idx="13">
                  <c:v>70</c:v>
                </c:pt>
                <c:pt idx="14">
                  <c:v>66</c:v>
                </c:pt>
                <c:pt idx="15">
                  <c:v>72</c:v>
                </c:pt>
                <c:pt idx="16">
                  <c:v>76</c:v>
                </c:pt>
                <c:pt idx="17">
                  <c:v>74</c:v>
                </c:pt>
                <c:pt idx="18">
                  <c:v>63</c:v>
                </c:pt>
                <c:pt idx="19">
                  <c:v>57</c:v>
                </c:pt>
                <c:pt idx="20">
                  <c:v>46</c:v>
                </c:pt>
                <c:pt idx="21">
                  <c:v>51</c:v>
                </c:pt>
                <c:pt idx="22">
                  <c:v>65</c:v>
                </c:pt>
                <c:pt idx="23">
                  <c:v>77</c:v>
                </c:pt>
                <c:pt idx="24">
                  <c:v>78</c:v>
                </c:pt>
                <c:pt idx="25">
                  <c:v>76</c:v>
                </c:pt>
                <c:pt idx="26">
                  <c:v>64</c:v>
                </c:pt>
                <c:pt idx="27">
                  <c:v>58</c:v>
                </c:pt>
                <c:pt idx="28">
                  <c:v>56</c:v>
                </c:pt>
                <c:pt idx="29">
                  <c:v>71</c:v>
                </c:pt>
                <c:pt idx="30">
                  <c:v>81</c:v>
                </c:pt>
                <c:pt idx="31">
                  <c:v>62</c:v>
                </c:pt>
                <c:pt idx="32">
                  <c:v>76</c:v>
                </c:pt>
                <c:pt idx="33">
                  <c:v>77</c:v>
                </c:pt>
                <c:pt idx="34">
                  <c:v>55</c:v>
                </c:pt>
                <c:pt idx="35">
                  <c:v>50</c:v>
                </c:pt>
                <c:pt idx="36">
                  <c:v>70</c:v>
                </c:pt>
                <c:pt idx="37">
                  <c:v>74</c:v>
                </c:pt>
                <c:pt idx="38">
                  <c:v>78</c:v>
                </c:pt>
                <c:pt idx="39">
                  <c:v>80</c:v>
                </c:pt>
                <c:pt idx="40">
                  <c:v>77</c:v>
                </c:pt>
                <c:pt idx="41">
                  <c:v>53</c:v>
                </c:pt>
                <c:pt idx="42">
                  <c:v>50</c:v>
                </c:pt>
                <c:pt idx="43">
                  <c:v>71</c:v>
                </c:pt>
                <c:pt idx="44">
                  <c:v>80</c:v>
                </c:pt>
                <c:pt idx="45">
                  <c:v>81</c:v>
                </c:pt>
                <c:pt idx="46">
                  <c:v>63</c:v>
                </c:pt>
                <c:pt idx="47">
                  <c:v>67</c:v>
                </c:pt>
                <c:pt idx="48">
                  <c:v>66</c:v>
                </c:pt>
                <c:pt idx="49">
                  <c:v>52</c:v>
                </c:pt>
                <c:pt idx="50">
                  <c:v>79</c:v>
                </c:pt>
                <c:pt idx="51">
                  <c:v>92</c:v>
                </c:pt>
                <c:pt idx="52">
                  <c:v>84</c:v>
                </c:pt>
                <c:pt idx="53">
                  <c:v>62</c:v>
                </c:pt>
                <c:pt idx="54">
                  <c:v>78</c:v>
                </c:pt>
                <c:pt idx="55">
                  <c:v>18</c:v>
                </c:pt>
                <c:pt idx="56">
                  <c:v>58</c:v>
                </c:pt>
                <c:pt idx="57">
                  <c:v>78</c:v>
                </c:pt>
                <c:pt idx="58">
                  <c:v>89</c:v>
                </c:pt>
                <c:pt idx="59">
                  <c:v>87</c:v>
                </c:pt>
                <c:pt idx="60">
                  <c:v>87</c:v>
                </c:pt>
                <c:pt idx="61">
                  <c:v>77</c:v>
                </c:pt>
                <c:pt idx="62">
                  <c:v>51</c:v>
                </c:pt>
                <c:pt idx="63">
                  <c:v>48</c:v>
                </c:pt>
                <c:pt idx="64">
                  <c:v>42</c:v>
                </c:pt>
                <c:pt idx="65">
                  <c:v>50</c:v>
                </c:pt>
                <c:pt idx="66">
                  <c:v>38</c:v>
                </c:pt>
                <c:pt idx="67">
                  <c:v>34</c:v>
                </c:pt>
                <c:pt idx="68">
                  <c:v>63</c:v>
                </c:pt>
                <c:pt idx="69">
                  <c:v>72</c:v>
                </c:pt>
                <c:pt idx="70">
                  <c:v>68</c:v>
                </c:pt>
                <c:pt idx="71">
                  <c:v>80</c:v>
                </c:pt>
                <c:pt idx="72">
                  <c:v>81</c:v>
                </c:pt>
                <c:pt idx="73">
                  <c:v>83</c:v>
                </c:pt>
                <c:pt idx="74">
                  <c:v>65</c:v>
                </c:pt>
                <c:pt idx="75">
                  <c:v>80</c:v>
                </c:pt>
                <c:pt idx="76">
                  <c:v>62</c:v>
                </c:pt>
                <c:pt idx="77">
                  <c:v>58</c:v>
                </c:pt>
                <c:pt idx="78">
                  <c:v>77</c:v>
                </c:pt>
                <c:pt idx="79">
                  <c:v>64</c:v>
                </c:pt>
                <c:pt idx="80">
                  <c:v>76</c:v>
                </c:pt>
                <c:pt idx="81">
                  <c:v>85</c:v>
                </c:pt>
                <c:pt idx="82">
                  <c:v>43</c:v>
                </c:pt>
                <c:pt idx="83">
                  <c:v>73</c:v>
                </c:pt>
                <c:pt idx="84">
                  <c:v>69</c:v>
                </c:pt>
                <c:pt idx="85">
                  <c:v>79</c:v>
                </c:pt>
                <c:pt idx="86">
                  <c:v>73</c:v>
                </c:pt>
                <c:pt idx="87">
                  <c:v>69</c:v>
                </c:pt>
                <c:pt idx="88">
                  <c:v>84</c:v>
                </c:pt>
                <c:pt idx="89">
                  <c:v>87</c:v>
                </c:pt>
                <c:pt idx="90">
                  <c:v>39</c:v>
                </c:pt>
                <c:pt idx="91">
                  <c:v>46</c:v>
                </c:pt>
                <c:pt idx="92">
                  <c:v>65</c:v>
                </c:pt>
                <c:pt idx="93">
                  <c:v>79</c:v>
                </c:pt>
                <c:pt idx="94">
                  <c:v>85</c:v>
                </c:pt>
                <c:pt idx="95">
                  <c:v>83</c:v>
                </c:pt>
                <c:pt idx="96">
                  <c:v>81</c:v>
                </c:pt>
                <c:pt idx="97">
                  <c:v>63</c:v>
                </c:pt>
                <c:pt idx="98">
                  <c:v>62</c:v>
                </c:pt>
                <c:pt idx="99">
                  <c:v>72</c:v>
                </c:pt>
                <c:pt idx="100">
                  <c:v>78</c:v>
                </c:pt>
                <c:pt idx="101">
                  <c:v>44</c:v>
                </c:pt>
                <c:pt idx="102">
                  <c:v>52</c:v>
                </c:pt>
                <c:pt idx="103">
                  <c:v>62</c:v>
                </c:pt>
                <c:pt idx="104">
                  <c:v>66</c:v>
                </c:pt>
                <c:pt idx="105">
                  <c:v>66</c:v>
                </c:pt>
                <c:pt idx="106">
                  <c:v>77</c:v>
                </c:pt>
                <c:pt idx="107">
                  <c:v>82</c:v>
                </c:pt>
                <c:pt idx="108">
                  <c:v>43</c:v>
                </c:pt>
                <c:pt idx="109">
                  <c:v>74</c:v>
                </c:pt>
                <c:pt idx="110">
                  <c:v>73</c:v>
                </c:pt>
                <c:pt idx="111">
                  <c:v>56</c:v>
                </c:pt>
                <c:pt idx="112">
                  <c:v>55</c:v>
                </c:pt>
                <c:pt idx="113">
                  <c:v>70</c:v>
                </c:pt>
                <c:pt idx="114">
                  <c:v>80</c:v>
                </c:pt>
                <c:pt idx="115">
                  <c:v>70</c:v>
                </c:pt>
                <c:pt idx="116">
                  <c:v>48</c:v>
                </c:pt>
                <c:pt idx="117">
                  <c:v>66</c:v>
                </c:pt>
                <c:pt idx="118">
                  <c:v>11</c:v>
                </c:pt>
                <c:pt idx="119">
                  <c:v>49</c:v>
                </c:pt>
                <c:pt idx="120">
                  <c:v>66</c:v>
                </c:pt>
                <c:pt idx="121">
                  <c:v>73</c:v>
                </c:pt>
                <c:pt idx="122">
                  <c:v>76</c:v>
                </c:pt>
                <c:pt idx="123">
                  <c:v>73</c:v>
                </c:pt>
                <c:pt idx="124">
                  <c:v>72</c:v>
                </c:pt>
                <c:pt idx="125">
                  <c:v>55</c:v>
                </c:pt>
                <c:pt idx="126">
                  <c:v>54</c:v>
                </c:pt>
                <c:pt idx="127">
                  <c:v>73</c:v>
                </c:pt>
                <c:pt idx="128">
                  <c:v>77</c:v>
                </c:pt>
                <c:pt idx="129">
                  <c:v>76</c:v>
                </c:pt>
                <c:pt idx="130">
                  <c:v>55</c:v>
                </c:pt>
                <c:pt idx="131">
                  <c:v>59</c:v>
                </c:pt>
                <c:pt idx="132">
                  <c:v>56</c:v>
                </c:pt>
                <c:pt idx="133">
                  <c:v>54</c:v>
                </c:pt>
                <c:pt idx="134">
                  <c:v>78</c:v>
                </c:pt>
                <c:pt idx="135">
                  <c:v>75</c:v>
                </c:pt>
                <c:pt idx="136">
                  <c:v>33</c:v>
                </c:pt>
                <c:pt idx="137">
                  <c:v>58</c:v>
                </c:pt>
                <c:pt idx="138">
                  <c:v>63</c:v>
                </c:pt>
                <c:pt idx="139">
                  <c:v>54</c:v>
                </c:pt>
                <c:pt idx="140">
                  <c:v>55</c:v>
                </c:pt>
                <c:pt idx="141">
                  <c:v>51</c:v>
                </c:pt>
                <c:pt idx="142">
                  <c:v>31</c:v>
                </c:pt>
                <c:pt idx="143">
                  <c:v>49</c:v>
                </c:pt>
                <c:pt idx="144">
                  <c:v>19</c:v>
                </c:pt>
                <c:pt idx="145">
                  <c:v>34</c:v>
                </c:pt>
                <c:pt idx="146">
                  <c:v>36</c:v>
                </c:pt>
                <c:pt idx="147">
                  <c:v>45</c:v>
                </c:pt>
                <c:pt idx="148">
                  <c:v>72</c:v>
                </c:pt>
                <c:pt idx="149">
                  <c:v>56</c:v>
                </c:pt>
                <c:pt idx="150">
                  <c:v>69</c:v>
                </c:pt>
                <c:pt idx="151">
                  <c:v>71</c:v>
                </c:pt>
                <c:pt idx="152">
                  <c:v>73</c:v>
                </c:pt>
                <c:pt idx="153">
                  <c:v>58</c:v>
                </c:pt>
                <c:pt idx="154">
                  <c:v>57</c:v>
                </c:pt>
                <c:pt idx="155">
                  <c:v>72</c:v>
                </c:pt>
                <c:pt idx="156">
                  <c:v>49</c:v>
                </c:pt>
                <c:pt idx="157">
                  <c:v>13</c:v>
                </c:pt>
                <c:pt idx="158">
                  <c:v>63</c:v>
                </c:pt>
                <c:pt idx="159">
                  <c:v>67</c:v>
                </c:pt>
                <c:pt idx="160">
                  <c:v>54</c:v>
                </c:pt>
                <c:pt idx="161">
                  <c:v>47</c:v>
                </c:pt>
                <c:pt idx="162">
                  <c:v>63</c:v>
                </c:pt>
                <c:pt idx="163">
                  <c:v>67</c:v>
                </c:pt>
                <c:pt idx="164">
                  <c:v>71</c:v>
                </c:pt>
                <c:pt idx="165">
                  <c:v>71</c:v>
                </c:pt>
                <c:pt idx="166">
                  <c:v>68</c:v>
                </c:pt>
                <c:pt idx="167">
                  <c:v>49</c:v>
                </c:pt>
                <c:pt idx="168">
                  <c:v>44</c:v>
                </c:pt>
                <c:pt idx="169">
                  <c:v>63</c:v>
                </c:pt>
                <c:pt idx="170">
                  <c:v>71</c:v>
                </c:pt>
                <c:pt idx="171">
                  <c:v>51</c:v>
                </c:pt>
                <c:pt idx="172">
                  <c:v>57</c:v>
                </c:pt>
                <c:pt idx="173">
                  <c:v>41</c:v>
                </c:pt>
                <c:pt idx="174">
                  <c:v>17</c:v>
                </c:pt>
                <c:pt idx="175">
                  <c:v>9</c:v>
                </c:pt>
                <c:pt idx="176">
                  <c:v>18</c:v>
                </c:pt>
                <c:pt idx="177">
                  <c:v>21</c:v>
                </c:pt>
                <c:pt idx="178">
                  <c:v>41</c:v>
                </c:pt>
                <c:pt idx="179">
                  <c:v>43</c:v>
                </c:pt>
                <c:pt idx="180">
                  <c:v>50</c:v>
                </c:pt>
                <c:pt idx="181">
                  <c:v>36</c:v>
                </c:pt>
                <c:pt idx="182">
                  <c:v>13</c:v>
                </c:pt>
                <c:pt idx="183">
                  <c:v>13</c:v>
                </c:pt>
                <c:pt idx="184">
                  <c:v>25</c:v>
                </c:pt>
                <c:pt idx="185">
                  <c:v>29</c:v>
                </c:pt>
                <c:pt idx="186">
                  <c:v>30</c:v>
                </c:pt>
                <c:pt idx="187">
                  <c:v>30</c:v>
                </c:pt>
                <c:pt idx="188">
                  <c:v>27</c:v>
                </c:pt>
                <c:pt idx="189">
                  <c:v>18</c:v>
                </c:pt>
                <c:pt idx="190">
                  <c:v>15</c:v>
                </c:pt>
                <c:pt idx="191">
                  <c:v>26</c:v>
                </c:pt>
                <c:pt idx="192">
                  <c:v>24</c:v>
                </c:pt>
                <c:pt idx="193">
                  <c:v>23</c:v>
                </c:pt>
                <c:pt idx="194">
                  <c:v>27</c:v>
                </c:pt>
                <c:pt idx="195">
                  <c:v>27</c:v>
                </c:pt>
                <c:pt idx="196">
                  <c:v>21</c:v>
                </c:pt>
                <c:pt idx="197">
                  <c:v>19</c:v>
                </c:pt>
                <c:pt idx="198">
                  <c:v>18</c:v>
                </c:pt>
                <c:pt idx="199">
                  <c:v>13</c:v>
                </c:pt>
                <c:pt idx="200">
                  <c:v>31</c:v>
                </c:pt>
                <c:pt idx="201">
                  <c:v>37</c:v>
                </c:pt>
                <c:pt idx="202">
                  <c:v>29</c:v>
                </c:pt>
                <c:pt idx="203">
                  <c:v>18</c:v>
                </c:pt>
                <c:pt idx="204">
                  <c:v>17</c:v>
                </c:pt>
                <c:pt idx="205">
                  <c:v>27</c:v>
                </c:pt>
                <c:pt idx="206">
                  <c:v>36</c:v>
                </c:pt>
                <c:pt idx="207">
                  <c:v>9</c:v>
                </c:pt>
                <c:pt idx="208">
                  <c:v>8</c:v>
                </c:pt>
                <c:pt idx="209">
                  <c:v>23</c:v>
                </c:pt>
                <c:pt idx="210">
                  <c:v>20</c:v>
                </c:pt>
                <c:pt idx="211">
                  <c:v>19</c:v>
                </c:pt>
                <c:pt idx="212">
                  <c:v>29</c:v>
                </c:pt>
                <c:pt idx="213">
                  <c:v>26</c:v>
                </c:pt>
                <c:pt idx="214">
                  <c:v>29</c:v>
                </c:pt>
                <c:pt idx="215">
                  <c:v>30</c:v>
                </c:pt>
                <c:pt idx="216">
                  <c:v>32</c:v>
                </c:pt>
                <c:pt idx="217">
                  <c:v>18</c:v>
                </c:pt>
                <c:pt idx="218">
                  <c:v>25</c:v>
                </c:pt>
                <c:pt idx="219">
                  <c:v>32</c:v>
                </c:pt>
                <c:pt idx="220">
                  <c:v>29</c:v>
                </c:pt>
                <c:pt idx="221">
                  <c:v>31</c:v>
                </c:pt>
                <c:pt idx="222">
                  <c:v>30</c:v>
                </c:pt>
                <c:pt idx="223">
                  <c:v>32</c:v>
                </c:pt>
                <c:pt idx="224">
                  <c:v>24</c:v>
                </c:pt>
                <c:pt idx="225">
                  <c:v>24</c:v>
                </c:pt>
                <c:pt idx="226">
                  <c:v>34</c:v>
                </c:pt>
                <c:pt idx="227">
                  <c:v>34</c:v>
                </c:pt>
                <c:pt idx="228">
                  <c:v>38</c:v>
                </c:pt>
                <c:pt idx="229">
                  <c:v>44</c:v>
                </c:pt>
                <c:pt idx="230">
                  <c:v>47</c:v>
                </c:pt>
                <c:pt idx="231">
                  <c:v>22</c:v>
                </c:pt>
                <c:pt idx="232">
                  <c:v>23</c:v>
                </c:pt>
                <c:pt idx="233">
                  <c:v>18</c:v>
                </c:pt>
                <c:pt idx="234">
                  <c:v>28</c:v>
                </c:pt>
                <c:pt idx="235">
                  <c:v>36</c:v>
                </c:pt>
                <c:pt idx="236">
                  <c:v>34</c:v>
                </c:pt>
                <c:pt idx="237">
                  <c:v>27</c:v>
                </c:pt>
                <c:pt idx="238">
                  <c:v>31</c:v>
                </c:pt>
                <c:pt idx="239">
                  <c:v>34</c:v>
                </c:pt>
                <c:pt idx="240">
                  <c:v>27</c:v>
                </c:pt>
                <c:pt idx="241">
                  <c:v>34</c:v>
                </c:pt>
                <c:pt idx="242">
                  <c:v>38</c:v>
                </c:pt>
                <c:pt idx="243">
                  <c:v>31</c:v>
                </c:pt>
                <c:pt idx="244">
                  <c:v>35</c:v>
                </c:pt>
                <c:pt idx="245">
                  <c:v>29</c:v>
                </c:pt>
                <c:pt idx="246">
                  <c:v>10</c:v>
                </c:pt>
                <c:pt idx="247">
                  <c:v>33</c:v>
                </c:pt>
                <c:pt idx="248">
                  <c:v>36</c:v>
                </c:pt>
                <c:pt idx="249">
                  <c:v>34</c:v>
                </c:pt>
                <c:pt idx="250">
                  <c:v>12</c:v>
                </c:pt>
                <c:pt idx="251">
                  <c:v>35</c:v>
                </c:pt>
                <c:pt idx="252">
                  <c:v>28</c:v>
                </c:pt>
                <c:pt idx="253">
                  <c:v>29</c:v>
                </c:pt>
                <c:pt idx="254">
                  <c:v>34</c:v>
                </c:pt>
                <c:pt idx="255">
                  <c:v>35</c:v>
                </c:pt>
                <c:pt idx="256">
                  <c:v>37</c:v>
                </c:pt>
                <c:pt idx="257">
                  <c:v>46</c:v>
                </c:pt>
                <c:pt idx="258">
                  <c:v>47</c:v>
                </c:pt>
                <c:pt idx="259">
                  <c:v>34</c:v>
                </c:pt>
                <c:pt idx="260">
                  <c:v>28</c:v>
                </c:pt>
                <c:pt idx="261">
                  <c:v>34</c:v>
                </c:pt>
                <c:pt idx="262">
                  <c:v>45</c:v>
                </c:pt>
                <c:pt idx="263">
                  <c:v>38</c:v>
                </c:pt>
                <c:pt idx="264">
                  <c:v>34</c:v>
                </c:pt>
                <c:pt idx="265">
                  <c:v>38</c:v>
                </c:pt>
                <c:pt idx="266">
                  <c:v>30</c:v>
                </c:pt>
                <c:pt idx="267">
                  <c:v>24</c:v>
                </c:pt>
                <c:pt idx="268">
                  <c:v>36</c:v>
                </c:pt>
                <c:pt idx="269">
                  <c:v>42</c:v>
                </c:pt>
                <c:pt idx="270">
                  <c:v>27</c:v>
                </c:pt>
                <c:pt idx="271">
                  <c:v>30</c:v>
                </c:pt>
                <c:pt idx="272">
                  <c:v>38</c:v>
                </c:pt>
                <c:pt idx="273">
                  <c:v>27</c:v>
                </c:pt>
                <c:pt idx="274">
                  <c:v>32</c:v>
                </c:pt>
                <c:pt idx="275">
                  <c:v>48</c:v>
                </c:pt>
                <c:pt idx="276">
                  <c:v>33</c:v>
                </c:pt>
                <c:pt idx="277">
                  <c:v>48</c:v>
                </c:pt>
                <c:pt idx="278">
                  <c:v>51</c:v>
                </c:pt>
                <c:pt idx="279">
                  <c:v>26</c:v>
                </c:pt>
                <c:pt idx="280">
                  <c:v>32</c:v>
                </c:pt>
                <c:pt idx="281">
                  <c:v>34</c:v>
                </c:pt>
                <c:pt idx="282">
                  <c:v>50</c:v>
                </c:pt>
                <c:pt idx="283">
                  <c:v>36</c:v>
                </c:pt>
                <c:pt idx="284">
                  <c:v>39</c:v>
                </c:pt>
                <c:pt idx="285">
                  <c:v>55</c:v>
                </c:pt>
                <c:pt idx="286">
                  <c:v>50</c:v>
                </c:pt>
                <c:pt idx="287">
                  <c:v>13</c:v>
                </c:pt>
                <c:pt idx="288">
                  <c:v>44</c:v>
                </c:pt>
                <c:pt idx="289">
                  <c:v>55</c:v>
                </c:pt>
                <c:pt idx="290">
                  <c:v>56</c:v>
                </c:pt>
                <c:pt idx="291">
                  <c:v>67</c:v>
                </c:pt>
                <c:pt idx="292">
                  <c:v>69</c:v>
                </c:pt>
                <c:pt idx="293">
                  <c:v>30</c:v>
                </c:pt>
                <c:pt idx="294">
                  <c:v>51</c:v>
                </c:pt>
                <c:pt idx="295">
                  <c:v>50</c:v>
                </c:pt>
                <c:pt idx="296">
                  <c:v>66</c:v>
                </c:pt>
                <c:pt idx="297">
                  <c:v>74</c:v>
                </c:pt>
                <c:pt idx="298">
                  <c:v>67</c:v>
                </c:pt>
                <c:pt idx="299">
                  <c:v>70</c:v>
                </c:pt>
                <c:pt idx="300">
                  <c:v>74</c:v>
                </c:pt>
                <c:pt idx="301">
                  <c:v>67</c:v>
                </c:pt>
                <c:pt idx="302">
                  <c:v>44</c:v>
                </c:pt>
                <c:pt idx="303">
                  <c:v>71</c:v>
                </c:pt>
                <c:pt idx="304">
                  <c:v>77</c:v>
                </c:pt>
                <c:pt idx="305">
                  <c:v>48</c:v>
                </c:pt>
                <c:pt idx="306">
                  <c:v>76</c:v>
                </c:pt>
                <c:pt idx="307">
                  <c:v>74</c:v>
                </c:pt>
                <c:pt idx="308">
                  <c:v>62</c:v>
                </c:pt>
                <c:pt idx="309">
                  <c:v>59</c:v>
                </c:pt>
                <c:pt idx="310">
                  <c:v>74</c:v>
                </c:pt>
                <c:pt idx="311">
                  <c:v>82</c:v>
                </c:pt>
                <c:pt idx="312">
                  <c:v>73</c:v>
                </c:pt>
                <c:pt idx="313">
                  <c:v>83</c:v>
                </c:pt>
                <c:pt idx="314">
                  <c:v>68</c:v>
                </c:pt>
                <c:pt idx="315">
                  <c:v>50</c:v>
                </c:pt>
                <c:pt idx="316">
                  <c:v>59</c:v>
                </c:pt>
                <c:pt idx="317">
                  <c:v>64</c:v>
                </c:pt>
                <c:pt idx="318">
                  <c:v>69</c:v>
                </c:pt>
                <c:pt idx="319">
                  <c:v>66</c:v>
                </c:pt>
                <c:pt idx="320">
                  <c:v>77</c:v>
                </c:pt>
                <c:pt idx="321">
                  <c:v>80</c:v>
                </c:pt>
                <c:pt idx="322">
                  <c:v>71</c:v>
                </c:pt>
                <c:pt idx="323">
                  <c:v>62</c:v>
                </c:pt>
                <c:pt idx="324">
                  <c:v>69</c:v>
                </c:pt>
                <c:pt idx="325">
                  <c:v>77</c:v>
                </c:pt>
                <c:pt idx="326">
                  <c:v>85</c:v>
                </c:pt>
                <c:pt idx="327">
                  <c:v>78</c:v>
                </c:pt>
                <c:pt idx="328">
                  <c:v>76</c:v>
                </c:pt>
                <c:pt idx="329">
                  <c:v>55</c:v>
                </c:pt>
                <c:pt idx="330">
                  <c:v>49</c:v>
                </c:pt>
                <c:pt idx="331">
                  <c:v>51</c:v>
                </c:pt>
                <c:pt idx="332">
                  <c:v>66</c:v>
                </c:pt>
                <c:pt idx="333">
                  <c:v>69</c:v>
                </c:pt>
                <c:pt idx="334">
                  <c:v>85</c:v>
                </c:pt>
                <c:pt idx="335">
                  <c:v>88</c:v>
                </c:pt>
                <c:pt idx="336">
                  <c:v>69</c:v>
                </c:pt>
                <c:pt idx="337">
                  <c:v>64</c:v>
                </c:pt>
                <c:pt idx="338">
                  <c:v>78</c:v>
                </c:pt>
                <c:pt idx="339">
                  <c:v>81</c:v>
                </c:pt>
                <c:pt idx="340">
                  <c:v>75</c:v>
                </c:pt>
                <c:pt idx="341">
                  <c:v>67</c:v>
                </c:pt>
                <c:pt idx="342">
                  <c:v>75</c:v>
                </c:pt>
                <c:pt idx="343">
                  <c:v>65</c:v>
                </c:pt>
                <c:pt idx="344">
                  <c:v>60</c:v>
                </c:pt>
                <c:pt idx="345">
                  <c:v>83</c:v>
                </c:pt>
                <c:pt idx="346">
                  <c:v>83</c:v>
                </c:pt>
                <c:pt idx="347">
                  <c:v>88</c:v>
                </c:pt>
                <c:pt idx="348">
                  <c:v>64</c:v>
                </c:pt>
                <c:pt idx="349">
                  <c:v>80</c:v>
                </c:pt>
                <c:pt idx="350">
                  <c:v>66</c:v>
                </c:pt>
                <c:pt idx="351">
                  <c:v>62</c:v>
                </c:pt>
                <c:pt idx="352">
                  <c:v>66</c:v>
                </c:pt>
                <c:pt idx="353">
                  <c:v>81</c:v>
                </c:pt>
                <c:pt idx="354">
                  <c:v>77</c:v>
                </c:pt>
                <c:pt idx="355">
                  <c:v>81</c:v>
                </c:pt>
                <c:pt idx="356">
                  <c:v>80</c:v>
                </c:pt>
                <c:pt idx="357">
                  <c:v>68</c:v>
                </c:pt>
                <c:pt idx="358">
                  <c:v>68</c:v>
                </c:pt>
                <c:pt idx="359">
                  <c:v>77</c:v>
                </c:pt>
                <c:pt idx="360">
                  <c:v>78</c:v>
                </c:pt>
                <c:pt idx="361">
                  <c:v>88</c:v>
                </c:pt>
                <c:pt idx="362">
                  <c:v>90</c:v>
                </c:pt>
                <c:pt idx="363">
                  <c:v>82</c:v>
                </c:pt>
                <c:pt idx="364">
                  <c:v>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34-4823-9291-7614B84ED855}"/>
            </c:ext>
          </c:extLst>
        </c:ser>
        <c:ser>
          <c:idx val="1"/>
          <c:order val="1"/>
          <c:tx>
            <c:v>windspeed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'Q2.3'!$W$2:$W$366</c:f>
              <c:numCache>
                <c:formatCode>0.00</c:formatCode>
                <c:ptCount val="365"/>
                <c:pt idx="0">
                  <c:v>10.749881999999999</c:v>
                </c:pt>
                <c:pt idx="1">
                  <c:v>16.652113</c:v>
                </c:pt>
                <c:pt idx="2">
                  <c:v>16.636703000000001</c:v>
                </c:pt>
                <c:pt idx="3">
                  <c:v>10.739832</c:v>
                </c:pt>
                <c:pt idx="4">
                  <c:v>12.522300000000001</c:v>
                </c:pt>
                <c:pt idx="5">
                  <c:v>6.0008683999999999</c:v>
                </c:pt>
                <c:pt idx="6">
                  <c:v>11.304641999999999</c:v>
                </c:pt>
                <c:pt idx="7">
                  <c:v>17.875868000000001</c:v>
                </c:pt>
                <c:pt idx="8">
                  <c:v>24.25065</c:v>
                </c:pt>
                <c:pt idx="9">
                  <c:v>14.958888999999999</c:v>
                </c:pt>
                <c:pt idx="10">
                  <c:v>8.1828440000000011</c:v>
                </c:pt>
                <c:pt idx="11">
                  <c:v>20.410008999999999</c:v>
                </c:pt>
                <c:pt idx="12">
                  <c:v>20.166999999999998</c:v>
                </c:pt>
                <c:pt idx="13">
                  <c:v>8.4787160000000004</c:v>
                </c:pt>
                <c:pt idx="14">
                  <c:v>10.583520999999999</c:v>
                </c:pt>
                <c:pt idx="15">
                  <c:v>12.625010999999999</c:v>
                </c:pt>
                <c:pt idx="16">
                  <c:v>12.999139</c:v>
                </c:pt>
                <c:pt idx="17">
                  <c:v>9.8339249999999989</c:v>
                </c:pt>
                <c:pt idx="18">
                  <c:v>13.957239</c:v>
                </c:pt>
                <c:pt idx="19">
                  <c:v>13.125567999999999</c:v>
                </c:pt>
                <c:pt idx="20">
                  <c:v>23.667214000000001</c:v>
                </c:pt>
                <c:pt idx="21">
                  <c:v>11.521990000000001</c:v>
                </c:pt>
                <c:pt idx="22">
                  <c:v>16.522200000000002</c:v>
                </c:pt>
                <c:pt idx="23">
                  <c:v>10.60811</c:v>
                </c:pt>
                <c:pt idx="24">
                  <c:v>8.696332</c:v>
                </c:pt>
                <c:pt idx="25">
                  <c:v>19.687950000000001</c:v>
                </c:pt>
                <c:pt idx="26">
                  <c:v>7.6270789999999993</c:v>
                </c:pt>
                <c:pt idx="27">
                  <c:v>8.2611000000000008</c:v>
                </c:pt>
                <c:pt idx="28">
                  <c:v>9.7394549999999995</c:v>
                </c:pt>
                <c:pt idx="29">
                  <c:v>4.9568341999999994</c:v>
                </c:pt>
                <c:pt idx="30">
                  <c:v>12.541864</c:v>
                </c:pt>
                <c:pt idx="31">
                  <c:v>3.5652710000000001</c:v>
                </c:pt>
                <c:pt idx="32">
                  <c:v>17.708635999999998</c:v>
                </c:pt>
                <c:pt idx="33">
                  <c:v>18.609383999999999</c:v>
                </c:pt>
                <c:pt idx="34">
                  <c:v>8.565213</c:v>
                </c:pt>
                <c:pt idx="35">
                  <c:v>10.792293000000001</c:v>
                </c:pt>
                <c:pt idx="36">
                  <c:v>9.5006000000000004</c:v>
                </c:pt>
                <c:pt idx="37">
                  <c:v>3.0423561000000001</c:v>
                </c:pt>
                <c:pt idx="38">
                  <c:v>24.25065</c:v>
                </c:pt>
                <c:pt idx="39">
                  <c:v>12.652213</c:v>
                </c:pt>
                <c:pt idx="40">
                  <c:v>14.869645</c:v>
                </c:pt>
                <c:pt idx="41">
                  <c:v>7.2728499999999991</c:v>
                </c:pt>
                <c:pt idx="42">
                  <c:v>13.625589</c:v>
                </c:pt>
                <c:pt idx="43">
                  <c:v>17.479160999999998</c:v>
                </c:pt>
                <c:pt idx="44">
                  <c:v>27.999835999999998</c:v>
                </c:pt>
                <c:pt idx="45">
                  <c:v>19.522058000000001</c:v>
                </c:pt>
                <c:pt idx="46">
                  <c:v>16.869996999999998</c:v>
                </c:pt>
                <c:pt idx="47">
                  <c:v>15.416968000000001</c:v>
                </c:pt>
                <c:pt idx="48">
                  <c:v>17.749975000000003</c:v>
                </c:pt>
                <c:pt idx="49">
                  <c:v>34.000020999999997</c:v>
                </c:pt>
                <c:pt idx="50">
                  <c:v>14.956745</c:v>
                </c:pt>
                <c:pt idx="51">
                  <c:v>20.625682000000001</c:v>
                </c:pt>
                <c:pt idx="52">
                  <c:v>13.110761</c:v>
                </c:pt>
                <c:pt idx="53">
                  <c:v>6.3055710000000005</c:v>
                </c:pt>
                <c:pt idx="54">
                  <c:v>16.783231999999998</c:v>
                </c:pt>
                <c:pt idx="55">
                  <c:v>23.218112999999999</c:v>
                </c:pt>
                <c:pt idx="56">
                  <c:v>12.500257</c:v>
                </c:pt>
                <c:pt idx="57">
                  <c:v>8.3916159999999991</c:v>
                </c:pt>
                <c:pt idx="58">
                  <c:v>19.408961999999999</c:v>
                </c:pt>
                <c:pt idx="59">
                  <c:v>14.500475</c:v>
                </c:pt>
                <c:pt idx="60">
                  <c:v>20.624811000000001</c:v>
                </c:pt>
                <c:pt idx="61">
                  <c:v>15.125518000000001</c:v>
                </c:pt>
                <c:pt idx="62">
                  <c:v>13.624181999999999</c:v>
                </c:pt>
                <c:pt idx="63">
                  <c:v>16.875357000000001</c:v>
                </c:pt>
                <c:pt idx="64">
                  <c:v>23.000229000000001</c:v>
                </c:pt>
                <c:pt idx="65">
                  <c:v>22.870584000000001</c:v>
                </c:pt>
                <c:pt idx="66">
                  <c:v>8.0835499999999989</c:v>
                </c:pt>
                <c:pt idx="67">
                  <c:v>14.750050000000002</c:v>
                </c:pt>
                <c:pt idx="68">
                  <c:v>17.545759</c:v>
                </c:pt>
                <c:pt idx="69">
                  <c:v>15.60899</c:v>
                </c:pt>
                <c:pt idx="70">
                  <c:v>14.791924999999999</c:v>
                </c:pt>
                <c:pt idx="71">
                  <c:v>18.130468</c:v>
                </c:pt>
                <c:pt idx="72">
                  <c:v>9.174042</c:v>
                </c:pt>
                <c:pt idx="73">
                  <c:v>12.348703</c:v>
                </c:pt>
                <c:pt idx="74">
                  <c:v>13.608839</c:v>
                </c:pt>
                <c:pt idx="75">
                  <c:v>14.041792999999998</c:v>
                </c:pt>
                <c:pt idx="76">
                  <c:v>15.478139000000001</c:v>
                </c:pt>
                <c:pt idx="77">
                  <c:v>24.667189</c:v>
                </c:pt>
                <c:pt idx="78">
                  <c:v>13.917306999999999</c:v>
                </c:pt>
                <c:pt idx="79">
                  <c:v>19.348461</c:v>
                </c:pt>
                <c:pt idx="80">
                  <c:v>15.125250000000001</c:v>
                </c:pt>
                <c:pt idx="81">
                  <c:v>15.695487</c:v>
                </c:pt>
                <c:pt idx="82">
                  <c:v>16.333729000000002</c:v>
                </c:pt>
                <c:pt idx="83">
                  <c:v>15.458575000000002</c:v>
                </c:pt>
                <c:pt idx="84">
                  <c:v>14.041257</c:v>
                </c:pt>
                <c:pt idx="85">
                  <c:v>12.348099999999999</c:v>
                </c:pt>
                <c:pt idx="86">
                  <c:v>14.217668</c:v>
                </c:pt>
                <c:pt idx="87">
                  <c:v>15.208731999999999</c:v>
                </c:pt>
                <c:pt idx="88">
                  <c:v>11.583495999999998</c:v>
                </c:pt>
                <c:pt idx="89">
                  <c:v>14.582282000000001</c:v>
                </c:pt>
                <c:pt idx="90">
                  <c:v>17.333435999999999</c:v>
                </c:pt>
                <c:pt idx="91">
                  <c:v>13.208781999999999</c:v>
                </c:pt>
                <c:pt idx="92">
                  <c:v>12.208271000000002</c:v>
                </c:pt>
                <c:pt idx="93">
                  <c:v>25.833257</c:v>
                </c:pt>
                <c:pt idx="94">
                  <c:v>26.000488999999998</c:v>
                </c:pt>
                <c:pt idx="95">
                  <c:v>17.625221</c:v>
                </c:pt>
                <c:pt idx="96">
                  <c:v>10.874904000000001</c:v>
                </c:pt>
                <c:pt idx="97">
                  <c:v>15.208463999999999</c:v>
                </c:pt>
                <c:pt idx="98">
                  <c:v>8.9165609999999997</c:v>
                </c:pt>
                <c:pt idx="99">
                  <c:v>9.8333890000000004</c:v>
                </c:pt>
                <c:pt idx="100">
                  <c:v>21.739757999999998</c:v>
                </c:pt>
                <c:pt idx="101">
                  <c:v>18.416892999999998</c:v>
                </c:pt>
                <c:pt idx="102">
                  <c:v>16.791338999999997</c:v>
                </c:pt>
                <c:pt idx="103">
                  <c:v>7.4169</c:v>
                </c:pt>
                <c:pt idx="104">
                  <c:v>15.167124999999999</c:v>
                </c:pt>
                <c:pt idx="105">
                  <c:v>22.834136000000001</c:v>
                </c:pt>
                <c:pt idx="106">
                  <c:v>20.334232</c:v>
                </c:pt>
                <c:pt idx="107">
                  <c:v>10.958988999999999</c:v>
                </c:pt>
                <c:pt idx="108">
                  <c:v>10.584057</c:v>
                </c:pt>
                <c:pt idx="109">
                  <c:v>16.208974999999999</c:v>
                </c:pt>
                <c:pt idx="110">
                  <c:v>21.792286000000001</c:v>
                </c:pt>
                <c:pt idx="111">
                  <c:v>14.707906999999999</c:v>
                </c:pt>
                <c:pt idx="112">
                  <c:v>15.458575000000002</c:v>
                </c:pt>
                <c:pt idx="113">
                  <c:v>12.875725000000001</c:v>
                </c:pt>
                <c:pt idx="114">
                  <c:v>12.417311</c:v>
                </c:pt>
                <c:pt idx="115">
                  <c:v>21.875500000000002</c:v>
                </c:pt>
                <c:pt idx="116">
                  <c:v>20.917399999999997</c:v>
                </c:pt>
                <c:pt idx="117">
                  <c:v>21.500836000000003</c:v>
                </c:pt>
                <c:pt idx="118">
                  <c:v>16.084220999999999</c:v>
                </c:pt>
                <c:pt idx="119">
                  <c:v>15.750025000000001</c:v>
                </c:pt>
                <c:pt idx="120">
                  <c:v>7.125718</c:v>
                </c:pt>
                <c:pt idx="121">
                  <c:v>12.291418</c:v>
                </c:pt>
                <c:pt idx="122">
                  <c:v>22.958689</c:v>
                </c:pt>
                <c:pt idx="123">
                  <c:v>22.042732000000001</c:v>
                </c:pt>
                <c:pt idx="124">
                  <c:v>19.791263999999998</c:v>
                </c:pt>
                <c:pt idx="125">
                  <c:v>15.292482</c:v>
                </c:pt>
                <c:pt idx="126">
                  <c:v>10.750150000000001</c:v>
                </c:pt>
                <c:pt idx="127">
                  <c:v>5.0007124999999997</c:v>
                </c:pt>
                <c:pt idx="128">
                  <c:v>11.792</c:v>
                </c:pt>
                <c:pt idx="129">
                  <c:v>7.7499569999999993</c:v>
                </c:pt>
                <c:pt idx="130">
                  <c:v>8.0830140000000004</c:v>
                </c:pt>
                <c:pt idx="131">
                  <c:v>12.707689</c:v>
                </c:pt>
                <c:pt idx="132">
                  <c:v>12.041575</c:v>
                </c:pt>
                <c:pt idx="133">
                  <c:v>9.0416499999999989</c:v>
                </c:pt>
                <c:pt idx="134">
                  <c:v>10.249593000000001</c:v>
                </c:pt>
                <c:pt idx="135">
                  <c:v>8.5003570000000011</c:v>
                </c:pt>
                <c:pt idx="136">
                  <c:v>18.582718</c:v>
                </c:pt>
                <c:pt idx="137">
                  <c:v>13.499964</c:v>
                </c:pt>
                <c:pt idx="138">
                  <c:v>7.2502710000000006</c:v>
                </c:pt>
                <c:pt idx="139">
                  <c:v>8.3758710000000001</c:v>
                </c:pt>
                <c:pt idx="140">
                  <c:v>8.0835499999999989</c:v>
                </c:pt>
                <c:pt idx="141">
                  <c:v>9.9165360000000007</c:v>
                </c:pt>
                <c:pt idx="142">
                  <c:v>15.667413999999999</c:v>
                </c:pt>
                <c:pt idx="143">
                  <c:v>13.875164</c:v>
                </c:pt>
                <c:pt idx="144">
                  <c:v>10.333611000000001</c:v>
                </c:pt>
                <c:pt idx="145">
                  <c:v>13.376014</c:v>
                </c:pt>
                <c:pt idx="146">
                  <c:v>16.125492999999999</c:v>
                </c:pt>
                <c:pt idx="147">
                  <c:v>15.416164</c:v>
                </c:pt>
                <c:pt idx="148">
                  <c:v>14.333845999999999</c:v>
                </c:pt>
                <c:pt idx="149">
                  <c:v>8.7920750000000005</c:v>
                </c:pt>
                <c:pt idx="150">
                  <c:v>7.4590429999999994</c:v>
                </c:pt>
                <c:pt idx="151">
                  <c:v>13.875164</c:v>
                </c:pt>
                <c:pt idx="152">
                  <c:v>19.583229000000003</c:v>
                </c:pt>
                <c:pt idx="153">
                  <c:v>16.959106999999999</c:v>
                </c:pt>
                <c:pt idx="154">
                  <c:v>8.2505140000000008</c:v>
                </c:pt>
                <c:pt idx="155">
                  <c:v>9.292364000000001</c:v>
                </c:pt>
                <c:pt idx="156">
                  <c:v>8.1670320000000007</c:v>
                </c:pt>
                <c:pt idx="157">
                  <c:v>12.583136</c:v>
                </c:pt>
                <c:pt idx="158">
                  <c:v>9.1667389999999997</c:v>
                </c:pt>
                <c:pt idx="159">
                  <c:v>10.042161</c:v>
                </c:pt>
                <c:pt idx="160">
                  <c:v>9.4171180000000003</c:v>
                </c:pt>
                <c:pt idx="161">
                  <c:v>10.374949999999998</c:v>
                </c:pt>
                <c:pt idx="162">
                  <c:v>10.958988999999999</c:v>
                </c:pt>
                <c:pt idx="163">
                  <c:v>20.458449999999999</c:v>
                </c:pt>
                <c:pt idx="164">
                  <c:v>18.041961000000001</c:v>
                </c:pt>
                <c:pt idx="165">
                  <c:v>11.250104</c:v>
                </c:pt>
                <c:pt idx="166">
                  <c:v>13.833556999999999</c:v>
                </c:pt>
                <c:pt idx="167">
                  <c:v>9.5829429999999984</c:v>
                </c:pt>
                <c:pt idx="168">
                  <c:v>8.0003360000000008</c:v>
                </c:pt>
                <c:pt idx="169">
                  <c:v>6.8339999999999996</c:v>
                </c:pt>
                <c:pt idx="170">
                  <c:v>10.416824999999999</c:v>
                </c:pt>
                <c:pt idx="171">
                  <c:v>11.458675000000001</c:v>
                </c:pt>
                <c:pt idx="172">
                  <c:v>11.541554</c:v>
                </c:pt>
                <c:pt idx="173">
                  <c:v>15.999867999999999</c:v>
                </c:pt>
                <c:pt idx="174">
                  <c:v>14.875674999999999</c:v>
                </c:pt>
                <c:pt idx="175">
                  <c:v>14.041257</c:v>
                </c:pt>
                <c:pt idx="176">
                  <c:v>6.3337310999999996</c:v>
                </c:pt>
                <c:pt idx="177">
                  <c:v>7.2083960000000005</c:v>
                </c:pt>
                <c:pt idx="178">
                  <c:v>9.6669609999999988</c:v>
                </c:pt>
                <c:pt idx="179">
                  <c:v>17.542007000000002</c:v>
                </c:pt>
                <c:pt idx="180">
                  <c:v>12.415904000000001</c:v>
                </c:pt>
                <c:pt idx="181">
                  <c:v>6.8747360000000004</c:v>
                </c:pt>
                <c:pt idx="182">
                  <c:v>7.7091539999999998</c:v>
                </c:pt>
                <c:pt idx="183">
                  <c:v>15.333486000000001</c:v>
                </c:pt>
                <c:pt idx="184">
                  <c:v>5.4591064000000005</c:v>
                </c:pt>
                <c:pt idx="185">
                  <c:v>8.4592860000000005</c:v>
                </c:pt>
                <c:pt idx="186">
                  <c:v>10.042161</c:v>
                </c:pt>
                <c:pt idx="187">
                  <c:v>10.666400000000001</c:v>
                </c:pt>
                <c:pt idx="188">
                  <c:v>15.083643</c:v>
                </c:pt>
                <c:pt idx="189">
                  <c:v>11.250104</c:v>
                </c:pt>
                <c:pt idx="190">
                  <c:v>12.292557</c:v>
                </c:pt>
                <c:pt idx="191">
                  <c:v>18.916578999999999</c:v>
                </c:pt>
                <c:pt idx="192">
                  <c:v>13.417017999999999</c:v>
                </c:pt>
                <c:pt idx="193">
                  <c:v>9.7909110000000013</c:v>
                </c:pt>
                <c:pt idx="194">
                  <c:v>16.124689</c:v>
                </c:pt>
                <c:pt idx="195">
                  <c:v>12.249810999999999</c:v>
                </c:pt>
                <c:pt idx="196">
                  <c:v>13.958914</c:v>
                </c:pt>
                <c:pt idx="197">
                  <c:v>16.417211000000002</c:v>
                </c:pt>
                <c:pt idx="198">
                  <c:v>14.458867999999999</c:v>
                </c:pt>
                <c:pt idx="199">
                  <c:v>8.7501999999999995</c:v>
                </c:pt>
                <c:pt idx="200">
                  <c:v>7.6257390000000003</c:v>
                </c:pt>
                <c:pt idx="201">
                  <c:v>14.875406999999999</c:v>
                </c:pt>
                <c:pt idx="202">
                  <c:v>8.9177</c:v>
                </c:pt>
                <c:pt idx="203">
                  <c:v>8.7918070000000004</c:v>
                </c:pt>
                <c:pt idx="204">
                  <c:v>11.334456999999999</c:v>
                </c:pt>
                <c:pt idx="205">
                  <c:v>6.0841560999999995</c:v>
                </c:pt>
                <c:pt idx="206">
                  <c:v>13.417285999999999</c:v>
                </c:pt>
                <c:pt idx="207">
                  <c:v>12.292020999999998</c:v>
                </c:pt>
                <c:pt idx="208">
                  <c:v>11.958093</c:v>
                </c:pt>
                <c:pt idx="209">
                  <c:v>11.667245999999999</c:v>
                </c:pt>
                <c:pt idx="210">
                  <c:v>11.291979</c:v>
                </c:pt>
                <c:pt idx="211">
                  <c:v>11.042470999999999</c:v>
                </c:pt>
                <c:pt idx="212">
                  <c:v>10.500038999999999</c:v>
                </c:pt>
                <c:pt idx="213">
                  <c:v>13.79195</c:v>
                </c:pt>
                <c:pt idx="214">
                  <c:v>9.0840610000000002</c:v>
                </c:pt>
                <c:pt idx="215">
                  <c:v>13.20905</c:v>
                </c:pt>
                <c:pt idx="216">
                  <c:v>12.374632</c:v>
                </c:pt>
                <c:pt idx="217">
                  <c:v>15.29275</c:v>
                </c:pt>
                <c:pt idx="218">
                  <c:v>13.499629000000001</c:v>
                </c:pt>
                <c:pt idx="219">
                  <c:v>12.875725000000001</c:v>
                </c:pt>
                <c:pt idx="220">
                  <c:v>10.125107</c:v>
                </c:pt>
                <c:pt idx="221">
                  <c:v>13.417285999999999</c:v>
                </c:pt>
                <c:pt idx="222">
                  <c:v>11.041332000000001</c:v>
                </c:pt>
                <c:pt idx="223">
                  <c:v>8.4166070000000008</c:v>
                </c:pt>
                <c:pt idx="224">
                  <c:v>14.167418</c:v>
                </c:pt>
                <c:pt idx="225">
                  <c:v>14.916411</c:v>
                </c:pt>
                <c:pt idx="226">
                  <c:v>13.999917999999999</c:v>
                </c:pt>
                <c:pt idx="227">
                  <c:v>15.834043000000001</c:v>
                </c:pt>
                <c:pt idx="228">
                  <c:v>9.6256889999999995</c:v>
                </c:pt>
                <c:pt idx="229">
                  <c:v>15.624936</c:v>
                </c:pt>
                <c:pt idx="230">
                  <c:v>9.3336359999999985</c:v>
                </c:pt>
                <c:pt idx="231">
                  <c:v>6.9992890000000001</c:v>
                </c:pt>
                <c:pt idx="232">
                  <c:v>16.666518</c:v>
                </c:pt>
                <c:pt idx="233">
                  <c:v>18.542249999999999</c:v>
                </c:pt>
                <c:pt idx="234">
                  <c:v>9.8331210000000002</c:v>
                </c:pt>
                <c:pt idx="235">
                  <c:v>16.958235999999999</c:v>
                </c:pt>
                <c:pt idx="236">
                  <c:v>14.125810999999999</c:v>
                </c:pt>
                <c:pt idx="237">
                  <c:v>5.6254874999999993</c:v>
                </c:pt>
                <c:pt idx="238">
                  <c:v>25.166338999999997</c:v>
                </c:pt>
                <c:pt idx="239">
                  <c:v>20.412153</c:v>
                </c:pt>
                <c:pt idx="240">
                  <c:v>10.708275</c:v>
                </c:pt>
                <c:pt idx="241">
                  <c:v>8.3755360000000003</c:v>
                </c:pt>
                <c:pt idx="242">
                  <c:v>5.5833310999999997</c:v>
                </c:pt>
                <c:pt idx="243">
                  <c:v>9.5003320000000002</c:v>
                </c:pt>
                <c:pt idx="244">
                  <c:v>9.3752429999999993</c:v>
                </c:pt>
                <c:pt idx="245">
                  <c:v>12.416774999999999</c:v>
                </c:pt>
                <c:pt idx="246">
                  <c:v>13.833289000000001</c:v>
                </c:pt>
                <c:pt idx="247">
                  <c:v>14.250632</c:v>
                </c:pt>
                <c:pt idx="248">
                  <c:v>23.044180999999998</c:v>
                </c:pt>
                <c:pt idx="249">
                  <c:v>6.5003936000000007</c:v>
                </c:pt>
                <c:pt idx="250">
                  <c:v>12.914116</c:v>
                </c:pt>
                <c:pt idx="251">
                  <c:v>8.3333930000000009</c:v>
                </c:pt>
                <c:pt idx="252">
                  <c:v>10.291736</c:v>
                </c:pt>
                <c:pt idx="253">
                  <c:v>7.7086180000000004</c:v>
                </c:pt>
                <c:pt idx="254">
                  <c:v>5.9571710000000007</c:v>
                </c:pt>
                <c:pt idx="255">
                  <c:v>9.5008680000000005</c:v>
                </c:pt>
                <c:pt idx="256">
                  <c:v>11.209099999999999</c:v>
                </c:pt>
                <c:pt idx="257">
                  <c:v>18.166782000000001</c:v>
                </c:pt>
                <c:pt idx="258">
                  <c:v>11.000261</c:v>
                </c:pt>
                <c:pt idx="259">
                  <c:v>12.708225000000001</c:v>
                </c:pt>
                <c:pt idx="260">
                  <c:v>11.958361</c:v>
                </c:pt>
                <c:pt idx="261">
                  <c:v>10.166713999999999</c:v>
                </c:pt>
                <c:pt idx="262">
                  <c:v>9.041917999999999</c:v>
                </c:pt>
                <c:pt idx="263">
                  <c:v>6.4590813999999996</c:v>
                </c:pt>
                <c:pt idx="264">
                  <c:v>8.5843749999999996</c:v>
                </c:pt>
                <c:pt idx="265">
                  <c:v>5.2505689000000002</c:v>
                </c:pt>
                <c:pt idx="266">
                  <c:v>5.2516810999999999</c:v>
                </c:pt>
                <c:pt idx="267">
                  <c:v>3.3754064000000001</c:v>
                </c:pt>
                <c:pt idx="268">
                  <c:v>7.4169</c:v>
                </c:pt>
                <c:pt idx="269">
                  <c:v>7.9174569999999997</c:v>
                </c:pt>
                <c:pt idx="270">
                  <c:v>9.9581430000000015</c:v>
                </c:pt>
                <c:pt idx="271">
                  <c:v>11.583161</c:v>
                </c:pt>
                <c:pt idx="272">
                  <c:v>13.833824999999999</c:v>
                </c:pt>
                <c:pt idx="273">
                  <c:v>19.583832000000001</c:v>
                </c:pt>
                <c:pt idx="274">
                  <c:v>14.874870999999999</c:v>
                </c:pt>
                <c:pt idx="275">
                  <c:v>5.5841685999999999</c:v>
                </c:pt>
                <c:pt idx="276">
                  <c:v>13.792218</c:v>
                </c:pt>
                <c:pt idx="277">
                  <c:v>11.87575</c:v>
                </c:pt>
                <c:pt idx="278">
                  <c:v>9.041917999999999</c:v>
                </c:pt>
                <c:pt idx="279">
                  <c:v>1.5002439000000001</c:v>
                </c:pt>
                <c:pt idx="280">
                  <c:v>3.0420813999999998</c:v>
                </c:pt>
                <c:pt idx="281">
                  <c:v>4.2511500000000009</c:v>
                </c:pt>
                <c:pt idx="282">
                  <c:v>2.8343813999999998</c:v>
                </c:pt>
                <c:pt idx="283">
                  <c:v>9.5838140000000003</c:v>
                </c:pt>
                <c:pt idx="284">
                  <c:v>16.626049999999999</c:v>
                </c:pt>
                <c:pt idx="285">
                  <c:v>9.4997290000000003</c:v>
                </c:pt>
                <c:pt idx="286">
                  <c:v>15.000161</c:v>
                </c:pt>
                <c:pt idx="287">
                  <c:v>17.291561000000002</c:v>
                </c:pt>
                <c:pt idx="288">
                  <c:v>18.875039000000001</c:v>
                </c:pt>
                <c:pt idx="289">
                  <c:v>11.750393000000001</c:v>
                </c:pt>
                <c:pt idx="290">
                  <c:v>7.3758290000000004</c:v>
                </c:pt>
                <c:pt idx="291">
                  <c:v>16.303712999999998</c:v>
                </c:pt>
                <c:pt idx="292">
                  <c:v>28.292425000000001</c:v>
                </c:pt>
                <c:pt idx="293">
                  <c:v>14.833532</c:v>
                </c:pt>
                <c:pt idx="294">
                  <c:v>6.2086689000000002</c:v>
                </c:pt>
                <c:pt idx="295">
                  <c:v>6.6673375000000004</c:v>
                </c:pt>
                <c:pt idx="296">
                  <c:v>7.9590639999999997</c:v>
                </c:pt>
                <c:pt idx="297">
                  <c:v>11.166086</c:v>
                </c:pt>
                <c:pt idx="298">
                  <c:v>9.9590139999999998</c:v>
                </c:pt>
                <c:pt idx="299">
                  <c:v>13.250121</c:v>
                </c:pt>
                <c:pt idx="300">
                  <c:v>15.375093</c:v>
                </c:pt>
                <c:pt idx="301">
                  <c:v>23.541857</c:v>
                </c:pt>
                <c:pt idx="302">
                  <c:v>11.833339</c:v>
                </c:pt>
                <c:pt idx="303">
                  <c:v>7.1254499999999998</c:v>
                </c:pt>
                <c:pt idx="304">
                  <c:v>9.0832569999999997</c:v>
                </c:pt>
                <c:pt idx="305">
                  <c:v>5.5001439000000003</c:v>
                </c:pt>
                <c:pt idx="306">
                  <c:v>9.1667389999999997</c:v>
                </c:pt>
                <c:pt idx="307">
                  <c:v>18.209192999999999</c:v>
                </c:pt>
                <c:pt idx="308">
                  <c:v>12.667154</c:v>
                </c:pt>
                <c:pt idx="309">
                  <c:v>6.1676314000000003</c:v>
                </c:pt>
                <c:pt idx="310">
                  <c:v>3.8340749999999999</c:v>
                </c:pt>
                <c:pt idx="311">
                  <c:v>4.6255125000000001</c:v>
                </c:pt>
                <c:pt idx="312">
                  <c:v>4.1671186000000002</c:v>
                </c:pt>
                <c:pt idx="313">
                  <c:v>12.667489000000002</c:v>
                </c:pt>
                <c:pt idx="314">
                  <c:v>21.083224999999999</c:v>
                </c:pt>
                <c:pt idx="315">
                  <c:v>14.208154</c:v>
                </c:pt>
                <c:pt idx="316">
                  <c:v>18.875306999999999</c:v>
                </c:pt>
                <c:pt idx="317">
                  <c:v>20.541931999999999</c:v>
                </c:pt>
                <c:pt idx="318">
                  <c:v>13.375411</c:v>
                </c:pt>
                <c:pt idx="319">
                  <c:v>9.1675430000000002</c:v>
                </c:pt>
                <c:pt idx="320">
                  <c:v>20.459254000000001</c:v>
                </c:pt>
                <c:pt idx="321">
                  <c:v>11.291710999999999</c:v>
                </c:pt>
                <c:pt idx="322">
                  <c:v>15.041232000000001</c:v>
                </c:pt>
                <c:pt idx="323">
                  <c:v>12.45865</c:v>
                </c:pt>
                <c:pt idx="324">
                  <c:v>9.2496179999999999</c:v>
                </c:pt>
                <c:pt idx="325">
                  <c:v>7.9590639999999997</c:v>
                </c:pt>
                <c:pt idx="326">
                  <c:v>22.500274999999998</c:v>
                </c:pt>
                <c:pt idx="327">
                  <c:v>11.209368000000001</c:v>
                </c:pt>
                <c:pt idx="328">
                  <c:v>6.6260186000000001</c:v>
                </c:pt>
                <c:pt idx="329">
                  <c:v>4.5841935999999999</c:v>
                </c:pt>
                <c:pt idx="330">
                  <c:v>13.999917999999999</c:v>
                </c:pt>
                <c:pt idx="331">
                  <c:v>9.5221739999999997</c:v>
                </c:pt>
                <c:pt idx="332">
                  <c:v>17.292164</c:v>
                </c:pt>
                <c:pt idx="333">
                  <c:v>18.167586</c:v>
                </c:pt>
                <c:pt idx="334">
                  <c:v>14.750586</c:v>
                </c:pt>
                <c:pt idx="335">
                  <c:v>6.7505179999999996</c:v>
                </c:pt>
                <c:pt idx="336">
                  <c:v>6.4174810999999998</c:v>
                </c:pt>
                <c:pt idx="337">
                  <c:v>5.6252060999999998</c:v>
                </c:pt>
                <c:pt idx="338">
                  <c:v>4.1679561000000005</c:v>
                </c:pt>
                <c:pt idx="339">
                  <c:v>15.583061000000001</c:v>
                </c:pt>
                <c:pt idx="340">
                  <c:v>17.833725000000001</c:v>
                </c:pt>
                <c:pt idx="341">
                  <c:v>16.083886</c:v>
                </c:pt>
                <c:pt idx="342">
                  <c:v>5.5420189000000004</c:v>
                </c:pt>
                <c:pt idx="343">
                  <c:v>15.625807</c:v>
                </c:pt>
                <c:pt idx="344">
                  <c:v>4.4582938999999993</c:v>
                </c:pt>
                <c:pt idx="345">
                  <c:v>4.2511500000000009</c:v>
                </c:pt>
                <c:pt idx="346">
                  <c:v>9.4168500000000002</c:v>
                </c:pt>
                <c:pt idx="347">
                  <c:v>4.0842061000000003</c:v>
                </c:pt>
                <c:pt idx="348">
                  <c:v>17.958814</c:v>
                </c:pt>
                <c:pt idx="349">
                  <c:v>17.458525000000002</c:v>
                </c:pt>
                <c:pt idx="350">
                  <c:v>16.292189</c:v>
                </c:pt>
                <c:pt idx="351">
                  <c:v>11.375193000000001</c:v>
                </c:pt>
                <c:pt idx="352">
                  <c:v>11.584031999999999</c:v>
                </c:pt>
                <c:pt idx="353">
                  <c:v>4.1252436000000001</c:v>
                </c:pt>
                <c:pt idx="354">
                  <c:v>14.8338</c:v>
                </c:pt>
                <c:pt idx="355">
                  <c:v>3.1674249999999997</c:v>
                </c:pt>
                <c:pt idx="356">
                  <c:v>18.374482</c:v>
                </c:pt>
                <c:pt idx="357">
                  <c:v>12.750368</c:v>
                </c:pt>
                <c:pt idx="358">
                  <c:v>10.391097</c:v>
                </c:pt>
                <c:pt idx="359">
                  <c:v>16.044155</c:v>
                </c:pt>
                <c:pt idx="360">
                  <c:v>12.626150000000001</c:v>
                </c:pt>
                <c:pt idx="361">
                  <c:v>19.695386999999997</c:v>
                </c:pt>
                <c:pt idx="362">
                  <c:v>8.0006040000000009</c:v>
                </c:pt>
                <c:pt idx="363">
                  <c:v>9.0005790000000001</c:v>
                </c:pt>
                <c:pt idx="364">
                  <c:v>14.750318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E5F-4D11-92FB-46616B0E8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980720"/>
        <c:axId val="1559110096"/>
      </c:scatterChart>
      <c:valAx>
        <c:axId val="196498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110096"/>
        <c:crosses val="autoZero"/>
        <c:crossBetween val="midCat"/>
      </c:valAx>
      <c:valAx>
        <c:axId val="155911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98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BikeHired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BikeHired</a:t>
          </a:r>
        </a:p>
      </cx:txPr>
    </cx:title>
    <cx:plotArea>
      <cx:plotAreaRegion>
        <cx:series layoutId="boxWhisker" uniqueId="{089284B3-2808-4313-9140-04C58ADB4C27}">
          <cx:tx>
            <cx:txData>
              <cx:f>_xlchart.v1.0</cx:f>
              <cx:v>BikeHired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_xlchart.v1.3</cx:f>
      </cx:numDim>
    </cx:data>
    <cx:data id="2">
      <cx:numDim type="val">
        <cx:f>_xlchart.v1.4</cx:f>
      </cx:numDim>
    </cx:data>
    <cx:data id="3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confidence interval of </a:t>
            </a:r>
          </a:p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bike hires per season</a:t>
            </a:r>
          </a:p>
        </cx:rich>
      </cx:tx>
    </cx:title>
    <cx:plotArea>
      <cx:plotAreaRegion>
        <cx:series layoutId="boxWhisker" uniqueId="{5914E031-5CD8-4E5D-9B97-7D229DC38E3E}" formatIdx="0">
          <cx:tx>
            <cx:txData>
              <cx:f/>
              <cx:v>autumn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2EED2BC3-D6ED-4593-91DE-F30B4802AE82}" formatIdx="1">
          <cx:tx>
            <cx:txData>
              <cx:f/>
              <cx:v>spring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  <cx:series layoutId="boxWhisker" uniqueId="{4FA94FDD-65A7-405C-9138-79BB921B64D5}" formatIdx="2">
          <cx:tx>
            <cx:txData>
              <cx:f/>
              <cx:v>summer</cx:v>
            </cx:txData>
          </cx:tx>
          <cx:dataId val="2"/>
          <cx:layoutPr>
            <cx:visibility meanLine="1" meanMarker="1" nonoutliers="0" outliers="1"/>
            <cx:statistics quartileMethod="exclusive"/>
          </cx:layoutPr>
        </cx:series>
        <cx:series layoutId="boxWhisker" uniqueId="{50A02CC0-6FE9-4A50-846E-364512912CDB}" formatIdx="3">
          <cx:tx>
            <cx:txData>
              <cx:f/>
              <cx:v>winter</cx:v>
            </cx:txData>
          </cx:tx>
          <cx:dataId val="3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12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</a:rPr>
                  <a:t>seasons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rich>
          </cx:tx>
        </cx:title>
        <cx:tickLabels/>
      </cx:axis>
      <cx:axis id="1">
        <cx:valScaling/>
        <cx:title>
          <cx:tx>
            <cx:txData>
              <cx:v>bikehired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bikehired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764632</xdr:colOff>
      <xdr:row>16</xdr:row>
      <xdr:rowOff>56587</xdr:rowOff>
    </xdr:from>
    <xdr:to>
      <xdr:col>14</xdr:col>
      <xdr:colOff>921889</xdr:colOff>
      <xdr:row>33</xdr:row>
      <xdr:rowOff>188748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4FA32C-D11F-2463-2E13-DE081A0377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46182</xdr:colOff>
      <xdr:row>11</xdr:row>
      <xdr:rowOff>11545</xdr:rowOff>
    </xdr:from>
    <xdr:to>
      <xdr:col>17</xdr:col>
      <xdr:colOff>992909</xdr:colOff>
      <xdr:row>14</xdr:row>
      <xdr:rowOff>32288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5FBA1B-E192-9635-3361-913D09CCBC23}"/>
            </a:ext>
          </a:extLst>
        </xdr:cNvPr>
        <xdr:cNvSpPr txBox="1"/>
      </xdr:nvSpPr>
      <xdr:spPr>
        <a:xfrm>
          <a:off x="487453" y="2852901"/>
          <a:ext cx="18360795" cy="795658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AU" sz="3200" b="1"/>
            <a:t>WEATHER THROUGHOUT</a:t>
          </a:r>
          <a:r>
            <a:rPr lang="en-AU" sz="3200" b="1" baseline="0"/>
            <a:t> THE YEAR</a:t>
          </a:r>
          <a:endParaRPr lang="en-AU" sz="28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8944</xdr:colOff>
      <xdr:row>17</xdr:row>
      <xdr:rowOff>241479</xdr:rowOff>
    </xdr:from>
    <xdr:to>
      <xdr:col>13</xdr:col>
      <xdr:colOff>8944</xdr:colOff>
      <xdr:row>30</xdr:row>
      <xdr:rowOff>241479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4E00057-505D-4B1E-8DBC-470F844359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41594" y="4559479"/>
              <a:ext cx="5016500" cy="330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17887</xdr:colOff>
      <xdr:row>12</xdr:row>
      <xdr:rowOff>241479</xdr:rowOff>
    </xdr:from>
    <xdr:to>
      <xdr:col>17</xdr:col>
      <xdr:colOff>969663</xdr:colOff>
      <xdr:row>15</xdr:row>
      <xdr:rowOff>187817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4100806-2B4C-EEC7-1EFE-9E33E4D75189}"/>
            </a:ext>
          </a:extLst>
        </xdr:cNvPr>
        <xdr:cNvSpPr txBox="1"/>
      </xdr:nvSpPr>
      <xdr:spPr>
        <a:xfrm>
          <a:off x="464103" y="3330668"/>
          <a:ext cx="16629411" cy="71863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AU" sz="3200" b="1"/>
            <a:t>BIKES HIRED THROUGHOUT THE YEAR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41776</xdr:colOff>
      <xdr:row>13</xdr:row>
      <xdr:rowOff>8355</xdr:rowOff>
    </xdr:from>
    <xdr:to>
      <xdr:col>17</xdr:col>
      <xdr:colOff>977565</xdr:colOff>
      <xdr:row>16</xdr:row>
      <xdr:rowOff>169334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BF706EA-9E3F-21DB-9008-41FFC2B13D9E}"/>
            </a:ext>
          </a:extLst>
        </xdr:cNvPr>
        <xdr:cNvSpPr txBox="1"/>
      </xdr:nvSpPr>
      <xdr:spPr>
        <a:xfrm>
          <a:off x="486276" y="3310355"/>
          <a:ext cx="19784706" cy="87006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AU" sz="3200" b="1" u="none"/>
            <a:t>RENTAL</a:t>
          </a:r>
          <a:r>
            <a:rPr lang="en-AU" sz="3200" b="1" u="none" baseline="0"/>
            <a:t> ACTIVITIES BASED ON WEATHER</a:t>
          </a:r>
          <a:endParaRPr lang="en-AU" sz="3200" b="1" u="none"/>
        </a:p>
      </xdr:txBody>
    </xdr:sp>
    <xdr:clientData/>
  </xdr:twoCellAnchor>
  <xdr:twoCellAnchor>
    <xdr:from>
      <xdr:col>9</xdr:col>
      <xdr:colOff>243419</xdr:colOff>
      <xdr:row>20</xdr:row>
      <xdr:rowOff>116417</xdr:rowOff>
    </xdr:from>
    <xdr:to>
      <xdr:col>17</xdr:col>
      <xdr:colOff>10583</xdr:colOff>
      <xdr:row>37</xdr:row>
      <xdr:rowOff>84667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F7B312-E7F6-D460-126F-F3480065D9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</xdr:col>
      <xdr:colOff>1238250</xdr:colOff>
      <xdr:row>18</xdr:row>
      <xdr:rowOff>211667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71B4FEE-FB2C-5F2E-51F8-6C3577A618C3}"/>
            </a:ext>
          </a:extLst>
        </xdr:cNvPr>
        <xdr:cNvSpPr txBox="1"/>
      </xdr:nvSpPr>
      <xdr:spPr>
        <a:xfrm>
          <a:off x="5619750" y="47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AU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458033</xdr:colOff>
      <xdr:row>19</xdr:row>
      <xdr:rowOff>238579</xdr:rowOff>
    </xdr:from>
    <xdr:to>
      <xdr:col>14</xdr:col>
      <xdr:colOff>716644</xdr:colOff>
      <xdr:row>36</xdr:row>
      <xdr:rowOff>41639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BF4475-EBF6-F1CA-90FC-61D7C1703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36286</xdr:colOff>
      <xdr:row>15</xdr:row>
      <xdr:rowOff>45357</xdr:rowOff>
    </xdr:from>
    <xdr:to>
      <xdr:col>17</xdr:col>
      <xdr:colOff>771071</xdr:colOff>
      <xdr:row>17</xdr:row>
      <xdr:rowOff>208643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971EAB-A984-D8AE-0D2D-9F3A48475E84}"/>
            </a:ext>
          </a:extLst>
        </xdr:cNvPr>
        <xdr:cNvSpPr txBox="1"/>
      </xdr:nvSpPr>
      <xdr:spPr>
        <a:xfrm>
          <a:off x="480786" y="4263571"/>
          <a:ext cx="16410214" cy="67128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AU" sz="3200" b="1"/>
            <a:t>BIKEHIRED</a:t>
          </a:r>
          <a:r>
            <a:rPr lang="en-AU" sz="3200" b="1" baseline="0"/>
            <a:t> THROUGH SEASONS</a:t>
          </a:r>
          <a:endParaRPr lang="en-AU" sz="32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82315</xdr:colOff>
      <xdr:row>31</xdr:row>
      <xdr:rowOff>110434</xdr:rowOff>
    </xdr:from>
    <xdr:to>
      <xdr:col>6</xdr:col>
      <xdr:colOff>1463261</xdr:colOff>
      <xdr:row>51</xdr:row>
      <xdr:rowOff>176388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B1B31F-D49C-4A14-9313-9C98DB0AE7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124240</xdr:colOff>
      <xdr:row>31</xdr:row>
      <xdr:rowOff>124238</xdr:rowOff>
    </xdr:from>
    <xdr:to>
      <xdr:col>12</xdr:col>
      <xdr:colOff>662609</xdr:colOff>
      <xdr:row>51</xdr:row>
      <xdr:rowOff>204866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346512-4909-4048-ABB4-3B0B07F46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828261</xdr:colOff>
      <xdr:row>31</xdr:row>
      <xdr:rowOff>138043</xdr:rowOff>
    </xdr:from>
    <xdr:to>
      <xdr:col>18</xdr:col>
      <xdr:colOff>903711</xdr:colOff>
      <xdr:row>51</xdr:row>
      <xdr:rowOff>176176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4F03242-32FE-99EB-B315-ED15DDB832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17639</xdr:colOff>
      <xdr:row>19</xdr:row>
      <xdr:rowOff>23519</xdr:rowOff>
    </xdr:from>
    <xdr:to>
      <xdr:col>18</xdr:col>
      <xdr:colOff>928982</xdr:colOff>
      <xdr:row>23</xdr:row>
      <xdr:rowOff>23518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9AB818B-8DB4-FF01-6346-8027629B7D88}"/>
            </a:ext>
          </a:extLst>
        </xdr:cNvPr>
        <xdr:cNvSpPr txBox="1"/>
      </xdr:nvSpPr>
      <xdr:spPr>
        <a:xfrm>
          <a:off x="458611" y="4883033"/>
          <a:ext cx="17438982" cy="961318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AU" sz="3200" b="1"/>
            <a:t>Correlation Coeffient</a:t>
          </a:r>
        </a:p>
        <a:p>
          <a:pPr algn="ctr"/>
          <a:endParaRPr lang="en-AU" sz="3200"/>
        </a:p>
      </xdr:txBody>
    </xdr:sp>
    <xdr:clientData/>
  </xdr:twoCellAnchor>
  <xdr:oneCellAnchor>
    <xdr:from>
      <xdr:col>2</xdr:col>
      <xdr:colOff>343959</xdr:colOff>
      <xdr:row>22</xdr:row>
      <xdr:rowOff>176389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62A2A6-1F0D-A8A6-0796-DB4FA15D3897}"/>
            </a:ext>
          </a:extLst>
        </xdr:cNvPr>
        <xdr:cNvSpPr txBox="1"/>
      </xdr:nvSpPr>
      <xdr:spPr>
        <a:xfrm>
          <a:off x="1225903" y="57414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AU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18406</xdr:rowOff>
    </xdr:from>
    <xdr:to>
      <xdr:col>16</xdr:col>
      <xdr:colOff>957103</xdr:colOff>
      <xdr:row>21</xdr:row>
      <xdr:rowOff>9203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EFF6FCD-A71F-EEBD-7445-991B88152B05}"/>
            </a:ext>
          </a:extLst>
        </xdr:cNvPr>
        <xdr:cNvSpPr txBox="1"/>
      </xdr:nvSpPr>
      <xdr:spPr>
        <a:xfrm>
          <a:off x="441739" y="4656667"/>
          <a:ext cx="15442465" cy="69942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AU" sz="2400"/>
            <a:t>PROBABILITY</a:t>
          </a:r>
        </a:p>
        <a:p>
          <a:pPr algn="ctr"/>
          <a:endParaRPr lang="en-AU" sz="2400"/>
        </a:p>
      </xdr:txBody>
    </xdr:sp>
    <xdr:clientData/>
  </xdr:twoCellAnchor>
  <xdr:twoCellAnchor editAs="oneCell">
    <xdr:from>
      <xdr:col>1</xdr:col>
      <xdr:colOff>20706</xdr:colOff>
      <xdr:row>36</xdr:row>
      <xdr:rowOff>193261</xdr:rowOff>
    </xdr:from>
    <xdr:to>
      <xdr:col>11</xdr:col>
      <xdr:colOff>390770</xdr:colOff>
      <xdr:row>50</xdr:row>
      <xdr:rowOff>164509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4C3020-7360-41A9-938D-AC8124D2F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299" y="9125129"/>
          <a:ext cx="9860174" cy="348817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27609</xdr:colOff>
      <xdr:row>12</xdr:row>
      <xdr:rowOff>46014</xdr:rowOff>
    </xdr:from>
    <xdr:to>
      <xdr:col>18</xdr:col>
      <xdr:colOff>981364</xdr:colOff>
      <xdr:row>15</xdr:row>
      <xdr:rowOff>92029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3741FAF-4A48-2410-DFA0-C2018B7844ED}"/>
            </a:ext>
          </a:extLst>
        </xdr:cNvPr>
        <xdr:cNvSpPr txBox="1"/>
      </xdr:nvSpPr>
      <xdr:spPr>
        <a:xfrm>
          <a:off x="477882" y="3094014"/>
          <a:ext cx="17475300" cy="750288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AU" sz="3200" b="1"/>
            <a:t>Bike</a:t>
          </a:r>
          <a:r>
            <a:rPr lang="en-AU" sz="3200" b="1" baseline="0"/>
            <a:t> Hired per Season</a:t>
          </a:r>
        </a:p>
        <a:p>
          <a:pPr algn="ctr"/>
          <a:endParaRPr lang="en-AU" sz="3200" b="1"/>
        </a:p>
        <a:p>
          <a:pPr algn="ctr"/>
          <a:endParaRPr lang="en-AU" sz="3200" b="1"/>
        </a:p>
      </xdr:txBody>
    </xdr:sp>
    <xdr:clientData/>
  </xdr:twoCellAnchor>
  <xdr:twoCellAnchor>
    <xdr:from>
      <xdr:col>9</xdr:col>
      <xdr:colOff>272144</xdr:colOff>
      <xdr:row>19</xdr:row>
      <xdr:rowOff>90714</xdr:rowOff>
    </xdr:from>
    <xdr:to>
      <xdr:col>16</xdr:col>
      <xdr:colOff>181430</xdr:colOff>
      <xdr:row>41</xdr:row>
      <xdr:rowOff>120952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955CF960-5E01-23C4-7CA4-60C78E43AE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09744" y="4859564"/>
              <a:ext cx="6932386" cy="57452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718969</xdr:colOff>
      <xdr:row>28</xdr:row>
      <xdr:rowOff>186816</xdr:rowOff>
    </xdr:from>
    <xdr:to>
      <xdr:col>12</xdr:col>
      <xdr:colOff>133829</xdr:colOff>
      <xdr:row>37</xdr:row>
      <xdr:rowOff>154565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221C43-F901-4152-BD0E-F673ED45F9D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3176" y="7349926"/>
          <a:ext cx="5222787" cy="2244456"/>
        </a:xfrm>
        <a:prstGeom prst="rect">
          <a:avLst/>
        </a:prstGeom>
        <a:noFill/>
        <a:ln>
          <a:solidFill>
            <a:schemeClr val="accent3"/>
          </a:solidFill>
        </a:ln>
      </xdr:spPr>
    </xdr:pic>
    <xdr:clientData/>
  </xdr:twoCellAnchor>
  <xdr:twoCellAnchor>
    <xdr:from>
      <xdr:col>10</xdr:col>
      <xdr:colOff>828598</xdr:colOff>
      <xdr:row>17</xdr:row>
      <xdr:rowOff>216829</xdr:rowOff>
    </xdr:from>
    <xdr:to>
      <xdr:col>11</xdr:col>
      <xdr:colOff>0</xdr:colOff>
      <xdr:row>34</xdr:row>
      <xdr:rowOff>116158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2ED8D1E2-EC05-ECB4-CA49-18D5E298C2AF}"/>
            </a:ext>
          </a:extLst>
        </xdr:cNvPr>
        <xdr:cNvCxnSpPr/>
      </xdr:nvCxnSpPr>
      <xdr:spPr>
        <a:xfrm>
          <a:off x="10717561" y="4522439"/>
          <a:ext cx="332988" cy="426689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975731</xdr:colOff>
      <xdr:row>18</xdr:row>
      <xdr:rowOff>704</xdr:rowOff>
    </xdr:from>
    <xdr:to>
      <xdr:col>9</xdr:col>
      <xdr:colOff>878581</xdr:colOff>
      <xdr:row>34</xdr:row>
      <xdr:rowOff>116158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85DC1CB2-9B33-4893-E1A3-573DECF156E6}"/>
            </a:ext>
          </a:extLst>
        </xdr:cNvPr>
        <xdr:cNvCxnSpPr/>
      </xdr:nvCxnSpPr>
      <xdr:spPr>
        <a:xfrm flipH="1">
          <a:off x="8541524" y="4530887"/>
          <a:ext cx="1064435" cy="4250698"/>
        </a:xfrm>
        <a:prstGeom prst="straightConnector1">
          <a:avLst/>
        </a:prstGeom>
        <a:ln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11547</xdr:colOff>
      <xdr:row>9</xdr:row>
      <xdr:rowOff>0</xdr:rowOff>
    </xdr:from>
    <xdr:to>
      <xdr:col>15</xdr:col>
      <xdr:colOff>1154545</xdr:colOff>
      <xdr:row>11</xdr:row>
      <xdr:rowOff>173182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088C58F-5F63-17A0-A8FD-85DB6B2A6D7B}"/>
            </a:ext>
          </a:extLst>
        </xdr:cNvPr>
        <xdr:cNvSpPr txBox="1"/>
      </xdr:nvSpPr>
      <xdr:spPr>
        <a:xfrm>
          <a:off x="427183" y="2286000"/>
          <a:ext cx="16475362" cy="68118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AU" sz="3200" b="1"/>
            <a:t>Hypothesis Test</a:t>
          </a:r>
        </a:p>
      </xdr:txBody>
    </xdr:sp>
    <xdr:clientData/>
  </xdr:twoCellAnchor>
  <xdr:twoCellAnchor editAs="oneCell">
    <xdr:from>
      <xdr:col>2</xdr:col>
      <xdr:colOff>0</xdr:colOff>
      <xdr:row>40</xdr:row>
      <xdr:rowOff>0</xdr:rowOff>
    </xdr:from>
    <xdr:to>
      <xdr:col>7</xdr:col>
      <xdr:colOff>32955</xdr:colOff>
      <xdr:row>45</xdr:row>
      <xdr:rowOff>161469</xdr:rowOff>
    </xdr:to>
    <xdr:pic>
      <xdr:nvPicPr>
        <xdr:cNvPr id="18" name="Picture 17" descr="../Screen%20Shot%202019-08-22%20at%2011.43.17%20pm.png">
          <a:extLst>
            <a:ext uri="{FF2B5EF4-FFF2-40B4-BE49-F238E27FC236}">
              <a16:creationId xmlns:a16="http://schemas.microsoft.com/office/drawing/2014/main" id="{0430E644-8E94-4E7C-93E2-56FBF24D843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045" y="10174432"/>
          <a:ext cx="5596421" cy="1424254"/>
        </a:xfrm>
        <a:prstGeom prst="rect">
          <a:avLst/>
        </a:prstGeom>
        <a:noFill/>
        <a:ln w="12700">
          <a:solidFill>
            <a:schemeClr val="accent1"/>
          </a:solidFill>
        </a:ln>
      </xdr:spPr>
    </xdr:pic>
    <xdr:clientData/>
  </xdr:twoCellAnchor>
  <xdr:twoCellAnchor>
    <xdr:from>
      <xdr:col>10</xdr:col>
      <xdr:colOff>511098</xdr:colOff>
      <xdr:row>18</xdr:row>
      <xdr:rowOff>54207</xdr:rowOff>
    </xdr:from>
    <xdr:to>
      <xdr:col>11</xdr:col>
      <xdr:colOff>557561</xdr:colOff>
      <xdr:row>34</xdr:row>
      <xdr:rowOff>131646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95CE6C87-E76D-8234-45AE-9C6970E4B28E}"/>
            </a:ext>
          </a:extLst>
        </xdr:cNvPr>
        <xdr:cNvCxnSpPr/>
      </xdr:nvCxnSpPr>
      <xdr:spPr>
        <a:xfrm flipH="1">
          <a:off x="10400061" y="4584390"/>
          <a:ext cx="1208049" cy="4212683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882805</xdr:colOff>
      <xdr:row>18</xdr:row>
      <xdr:rowOff>15488</xdr:rowOff>
    </xdr:from>
    <xdr:to>
      <xdr:col>12</xdr:col>
      <xdr:colOff>720183</xdr:colOff>
      <xdr:row>34</xdr:row>
      <xdr:rowOff>154878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365735BC-3377-7F3E-0087-2E6A65D44CC4}"/>
            </a:ext>
          </a:extLst>
        </xdr:cNvPr>
        <xdr:cNvCxnSpPr/>
      </xdr:nvCxnSpPr>
      <xdr:spPr>
        <a:xfrm flipH="1">
          <a:off x="9610183" y="4545671"/>
          <a:ext cx="3322134" cy="4274634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trid Dias" refreshedDate="45531.408062037037" createdVersion="8" refreshedVersion="8" minRefreshableVersion="3" recordCount="365" xr:uid="{052504E7-8EA6-41A6-BFD7-B8C68566CA13}">
  <cacheSource type="worksheet">
    <worksheetSource ref="T1:T366" sheet="Q1.1"/>
  </cacheSource>
  <cacheFields count="1">
    <cacheField name="Weather" numFmtId="0">
      <sharedItems count="3">
        <s v="Cloudy"/>
        <s v="Clear"/>
        <s v="Rai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trid Dias" refreshedDate="45531.419275578701" createdVersion="8" refreshedVersion="8" minRefreshableVersion="3" recordCount="365" xr:uid="{E5B75039-9277-4A7F-9441-2175E4D1F9C3}">
  <cacheSource type="worksheet">
    <worksheetSource ref="T1:U366" sheet="Q2.1"/>
  </cacheSource>
  <cacheFields count="2">
    <cacheField name="Weather" numFmtId="0">
      <sharedItems count="3">
        <s v="Cloudy"/>
        <s v="Clear"/>
        <s v="Rain"/>
      </sharedItems>
    </cacheField>
    <cacheField name="HireDay" numFmtId="0">
      <sharedItems count="4">
        <s v="Good"/>
        <s v="Busy"/>
        <s v="Modest"/>
        <s v="Quei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trid Dias" refreshedDate="45531.426388425927" createdVersion="8" refreshedVersion="8" minRefreshableVersion="3" recordCount="365" xr:uid="{7F209A9C-F471-4522-AF45-8335C03A52D3}">
  <cacheSource type="worksheet">
    <worksheetSource ref="S1:T366" sheet="Q2.2"/>
  </cacheSource>
  <cacheFields count="2">
    <cacheField name="Season" numFmtId="0">
      <sharedItems count="4">
        <s v="Autumn"/>
        <s v="Spring"/>
        <s v="Summer"/>
        <s v="Winter"/>
      </sharedItems>
    </cacheField>
    <cacheField name="BikeHired" numFmtId="0">
      <sharedItems containsSemiMixedTypes="0" containsString="0" containsNumber="1" containsInteger="1" minValue="8" maxValue="1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2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2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2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2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2"/>
  </r>
  <r>
    <x v="2"/>
  </r>
  <r>
    <x v="2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2"/>
  </r>
  <r>
    <x v="0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0"/>
  </r>
  <r>
    <x v="0"/>
  </r>
  <r>
    <x v="0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2"/>
  </r>
  <r>
    <x v="0"/>
  </r>
  <r>
    <x v="1"/>
  </r>
  <r>
    <x v="1"/>
  </r>
  <r>
    <x v="0"/>
  </r>
  <r>
    <x v="2"/>
  </r>
  <r>
    <x v="2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2"/>
  </r>
  <r>
    <x v="2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x v="0"/>
    <x v="0"/>
  </r>
  <r>
    <x v="0"/>
    <x v="1"/>
  </r>
  <r>
    <x v="1"/>
    <x v="0"/>
  </r>
  <r>
    <x v="1"/>
    <x v="0"/>
  </r>
  <r>
    <x v="1"/>
    <x v="0"/>
  </r>
  <r>
    <x v="1"/>
    <x v="0"/>
  </r>
  <r>
    <x v="0"/>
    <x v="1"/>
  </r>
  <r>
    <x v="0"/>
    <x v="0"/>
  </r>
  <r>
    <x v="1"/>
    <x v="0"/>
  </r>
  <r>
    <x v="1"/>
    <x v="0"/>
  </r>
  <r>
    <x v="0"/>
    <x v="0"/>
  </r>
  <r>
    <x v="1"/>
    <x v="1"/>
  </r>
  <r>
    <x v="1"/>
    <x v="1"/>
  </r>
  <r>
    <x v="1"/>
    <x v="1"/>
  </r>
  <r>
    <x v="0"/>
    <x v="1"/>
  </r>
  <r>
    <x v="1"/>
    <x v="0"/>
  </r>
  <r>
    <x v="0"/>
    <x v="0"/>
  </r>
  <r>
    <x v="0"/>
    <x v="0"/>
  </r>
  <r>
    <x v="0"/>
    <x v="0"/>
  </r>
  <r>
    <x v="0"/>
    <x v="2"/>
  </r>
  <r>
    <x v="1"/>
    <x v="2"/>
  </r>
  <r>
    <x v="1"/>
    <x v="0"/>
  </r>
  <r>
    <x v="1"/>
    <x v="0"/>
  </r>
  <r>
    <x v="1"/>
    <x v="0"/>
  </r>
  <r>
    <x v="0"/>
    <x v="0"/>
  </r>
  <r>
    <x v="2"/>
    <x v="0"/>
  </r>
  <r>
    <x v="1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0"/>
    <x v="1"/>
  </r>
  <r>
    <x v="1"/>
    <x v="1"/>
  </r>
  <r>
    <x v="1"/>
    <x v="0"/>
  </r>
  <r>
    <x v="0"/>
    <x v="0"/>
  </r>
  <r>
    <x v="0"/>
    <x v="3"/>
  </r>
  <r>
    <x v="1"/>
    <x v="0"/>
  </r>
  <r>
    <x v="1"/>
    <x v="0"/>
  </r>
  <r>
    <x v="0"/>
    <x v="1"/>
  </r>
  <r>
    <x v="1"/>
    <x v="1"/>
  </r>
  <r>
    <x v="1"/>
    <x v="1"/>
  </r>
  <r>
    <x v="1"/>
    <x v="0"/>
  </r>
  <r>
    <x v="0"/>
    <x v="0"/>
  </r>
  <r>
    <x v="0"/>
    <x v="0"/>
  </r>
  <r>
    <x v="0"/>
    <x v="2"/>
  </r>
  <r>
    <x v="1"/>
    <x v="2"/>
  </r>
  <r>
    <x v="1"/>
    <x v="2"/>
  </r>
  <r>
    <x v="0"/>
    <x v="3"/>
  </r>
  <r>
    <x v="2"/>
    <x v="0"/>
  </r>
  <r>
    <x v="0"/>
    <x v="1"/>
  </r>
  <r>
    <x v="1"/>
    <x v="1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0"/>
    <x v="2"/>
  </r>
  <r>
    <x v="1"/>
    <x v="1"/>
  </r>
  <r>
    <x v="1"/>
    <x v="1"/>
  </r>
  <r>
    <x v="0"/>
    <x v="0"/>
  </r>
  <r>
    <x v="1"/>
    <x v="0"/>
  </r>
  <r>
    <x v="1"/>
    <x v="0"/>
  </r>
  <r>
    <x v="0"/>
    <x v="0"/>
  </r>
  <r>
    <x v="2"/>
    <x v="1"/>
  </r>
  <r>
    <x v="0"/>
    <x v="2"/>
  </r>
  <r>
    <x v="0"/>
    <x v="2"/>
  </r>
  <r>
    <x v="1"/>
    <x v="0"/>
  </r>
  <r>
    <x v="1"/>
    <x v="0"/>
  </r>
  <r>
    <x v="0"/>
    <x v="0"/>
  </r>
  <r>
    <x v="1"/>
    <x v="0"/>
  </r>
  <r>
    <x v="1"/>
    <x v="1"/>
  </r>
  <r>
    <x v="0"/>
    <x v="1"/>
  </r>
  <r>
    <x v="0"/>
    <x v="1"/>
  </r>
  <r>
    <x v="0"/>
    <x v="1"/>
  </r>
  <r>
    <x v="0"/>
    <x v="0"/>
  </r>
  <r>
    <x v="0"/>
    <x v="2"/>
  </r>
  <r>
    <x v="0"/>
    <x v="2"/>
  </r>
  <r>
    <x v="1"/>
    <x v="0"/>
  </r>
  <r>
    <x v="1"/>
    <x v="1"/>
  </r>
  <r>
    <x v="2"/>
    <x v="1"/>
  </r>
  <r>
    <x v="1"/>
    <x v="0"/>
  </r>
  <r>
    <x v="1"/>
    <x v="0"/>
  </r>
  <r>
    <x v="0"/>
    <x v="2"/>
  </r>
  <r>
    <x v="1"/>
    <x v="0"/>
  </r>
  <r>
    <x v="1"/>
    <x v="0"/>
  </r>
  <r>
    <x v="0"/>
    <x v="0"/>
  </r>
  <r>
    <x v="0"/>
    <x v="0"/>
  </r>
  <r>
    <x v="0"/>
    <x v="0"/>
  </r>
  <r>
    <x v="1"/>
    <x v="0"/>
  </r>
  <r>
    <x v="1"/>
    <x v="0"/>
  </r>
  <r>
    <x v="0"/>
    <x v="2"/>
  </r>
  <r>
    <x v="0"/>
    <x v="0"/>
  </r>
  <r>
    <x v="1"/>
    <x v="3"/>
  </r>
  <r>
    <x v="1"/>
    <x v="2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2"/>
  </r>
  <r>
    <x v="1"/>
    <x v="2"/>
  </r>
  <r>
    <x v="0"/>
    <x v="0"/>
  </r>
  <r>
    <x v="0"/>
    <x v="0"/>
  </r>
  <r>
    <x v="0"/>
    <x v="0"/>
  </r>
  <r>
    <x v="1"/>
    <x v="0"/>
  </r>
  <r>
    <x v="0"/>
    <x v="3"/>
  </r>
  <r>
    <x v="0"/>
    <x v="2"/>
  </r>
  <r>
    <x v="0"/>
    <x v="2"/>
  </r>
  <r>
    <x v="1"/>
    <x v="0"/>
  </r>
  <r>
    <x v="1"/>
    <x v="0"/>
  </r>
  <r>
    <x v="1"/>
    <x v="2"/>
  </r>
  <r>
    <x v="0"/>
    <x v="3"/>
  </r>
  <r>
    <x v="0"/>
    <x v="2"/>
  </r>
  <r>
    <x v="1"/>
    <x v="3"/>
  </r>
  <r>
    <x v="1"/>
    <x v="2"/>
  </r>
  <r>
    <x v="1"/>
    <x v="2"/>
  </r>
  <r>
    <x v="1"/>
    <x v="2"/>
  </r>
  <r>
    <x v="1"/>
    <x v="0"/>
  </r>
  <r>
    <x v="1"/>
    <x v="2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2"/>
  </r>
  <r>
    <x v="1"/>
    <x v="3"/>
  </r>
  <r>
    <x v="1"/>
    <x v="2"/>
  </r>
  <r>
    <x v="0"/>
    <x v="0"/>
  </r>
  <r>
    <x v="1"/>
    <x v="2"/>
  </r>
  <r>
    <x v="1"/>
    <x v="2"/>
  </r>
  <r>
    <x v="1"/>
    <x v="2"/>
  </r>
  <r>
    <x v="1"/>
    <x v="0"/>
  </r>
  <r>
    <x v="1"/>
    <x v="0"/>
  </r>
  <r>
    <x v="1"/>
    <x v="0"/>
  </r>
  <r>
    <x v="0"/>
    <x v="0"/>
  </r>
  <r>
    <x v="1"/>
    <x v="2"/>
  </r>
  <r>
    <x v="1"/>
    <x v="2"/>
  </r>
  <r>
    <x v="0"/>
    <x v="2"/>
  </r>
  <r>
    <x v="0"/>
    <x v="0"/>
  </r>
  <r>
    <x v="0"/>
    <x v="2"/>
  </r>
  <r>
    <x v="1"/>
    <x v="2"/>
  </r>
  <r>
    <x v="0"/>
    <x v="2"/>
  </r>
  <r>
    <x v="1"/>
    <x v="3"/>
  </r>
  <r>
    <x v="1"/>
    <x v="3"/>
  </r>
  <r>
    <x v="1"/>
    <x v="3"/>
  </r>
  <r>
    <x v="0"/>
    <x v="3"/>
  </r>
  <r>
    <x v="1"/>
    <x v="2"/>
  </r>
  <r>
    <x v="1"/>
    <x v="2"/>
  </r>
  <r>
    <x v="1"/>
    <x v="2"/>
  </r>
  <r>
    <x v="1"/>
    <x v="2"/>
  </r>
  <r>
    <x v="1"/>
    <x v="3"/>
  </r>
  <r>
    <x v="0"/>
    <x v="3"/>
  </r>
  <r>
    <x v="0"/>
    <x v="3"/>
  </r>
  <r>
    <x v="1"/>
    <x v="3"/>
  </r>
  <r>
    <x v="1"/>
    <x v="3"/>
  </r>
  <r>
    <x v="1"/>
    <x v="3"/>
  </r>
  <r>
    <x v="0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0"/>
    <x v="3"/>
  </r>
  <r>
    <x v="1"/>
    <x v="3"/>
  </r>
  <r>
    <x v="1"/>
    <x v="3"/>
  </r>
  <r>
    <x v="1"/>
    <x v="3"/>
  </r>
  <r>
    <x v="1"/>
    <x v="3"/>
  </r>
  <r>
    <x v="1"/>
    <x v="2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0"/>
    <x v="3"/>
  </r>
  <r>
    <x v="0"/>
    <x v="3"/>
  </r>
  <r>
    <x v="1"/>
    <x v="3"/>
  </r>
  <r>
    <x v="0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0"/>
    <x v="3"/>
  </r>
  <r>
    <x v="0"/>
    <x v="3"/>
  </r>
  <r>
    <x v="1"/>
    <x v="3"/>
  </r>
  <r>
    <x v="1"/>
    <x v="3"/>
  </r>
  <r>
    <x v="1"/>
    <x v="2"/>
  </r>
  <r>
    <x v="1"/>
    <x v="2"/>
  </r>
  <r>
    <x v="0"/>
    <x v="2"/>
  </r>
  <r>
    <x v="1"/>
    <x v="3"/>
  </r>
  <r>
    <x v="1"/>
    <x v="3"/>
  </r>
  <r>
    <x v="1"/>
    <x v="3"/>
  </r>
  <r>
    <x v="1"/>
    <x v="3"/>
  </r>
  <r>
    <x v="1"/>
    <x v="3"/>
  </r>
  <r>
    <x v="0"/>
    <x v="3"/>
  </r>
  <r>
    <x v="1"/>
    <x v="3"/>
  </r>
  <r>
    <x v="0"/>
    <x v="3"/>
  </r>
  <r>
    <x v="1"/>
    <x v="2"/>
  </r>
  <r>
    <x v="1"/>
    <x v="3"/>
  </r>
  <r>
    <x v="1"/>
    <x v="3"/>
  </r>
  <r>
    <x v="1"/>
    <x v="2"/>
  </r>
  <r>
    <x v="1"/>
    <x v="3"/>
  </r>
  <r>
    <x v="0"/>
    <x v="3"/>
  </r>
  <r>
    <x v="1"/>
    <x v="2"/>
  </r>
  <r>
    <x v="1"/>
    <x v="3"/>
  </r>
  <r>
    <x v="0"/>
    <x v="3"/>
  </r>
  <r>
    <x v="2"/>
    <x v="2"/>
  </r>
  <r>
    <x v="2"/>
    <x v="3"/>
  </r>
  <r>
    <x v="2"/>
    <x v="3"/>
  </r>
  <r>
    <x v="0"/>
    <x v="2"/>
  </r>
  <r>
    <x v="1"/>
    <x v="2"/>
  </r>
  <r>
    <x v="1"/>
    <x v="2"/>
  </r>
  <r>
    <x v="1"/>
    <x v="2"/>
  </r>
  <r>
    <x v="1"/>
    <x v="2"/>
  </r>
  <r>
    <x v="1"/>
    <x v="2"/>
  </r>
  <r>
    <x v="0"/>
    <x v="2"/>
  </r>
  <r>
    <x v="0"/>
    <x v="2"/>
  </r>
  <r>
    <x v="0"/>
    <x v="2"/>
  </r>
  <r>
    <x v="1"/>
    <x v="2"/>
  </r>
  <r>
    <x v="0"/>
    <x v="2"/>
  </r>
  <r>
    <x v="0"/>
    <x v="2"/>
  </r>
  <r>
    <x v="0"/>
    <x v="2"/>
  </r>
  <r>
    <x v="0"/>
    <x v="3"/>
  </r>
  <r>
    <x v="0"/>
    <x v="2"/>
  </r>
  <r>
    <x v="0"/>
    <x v="2"/>
  </r>
  <r>
    <x v="0"/>
    <x v="3"/>
  </r>
  <r>
    <x v="0"/>
    <x v="2"/>
  </r>
  <r>
    <x v="0"/>
    <x v="2"/>
  </r>
  <r>
    <x v="0"/>
    <x v="3"/>
  </r>
  <r>
    <x v="1"/>
    <x v="3"/>
  </r>
  <r>
    <x v="1"/>
    <x v="2"/>
  </r>
  <r>
    <x v="0"/>
    <x v="2"/>
  </r>
  <r>
    <x v="0"/>
    <x v="2"/>
  </r>
  <r>
    <x v="0"/>
    <x v="2"/>
  </r>
  <r>
    <x v="1"/>
    <x v="3"/>
  </r>
  <r>
    <x v="1"/>
    <x v="2"/>
  </r>
  <r>
    <x v="1"/>
    <x v="2"/>
  </r>
  <r>
    <x v="1"/>
    <x v="3"/>
  </r>
  <r>
    <x v="1"/>
    <x v="2"/>
  </r>
  <r>
    <x v="1"/>
    <x v="2"/>
  </r>
  <r>
    <x v="1"/>
    <x v="2"/>
  </r>
  <r>
    <x v="0"/>
    <x v="2"/>
  </r>
  <r>
    <x v="2"/>
    <x v="2"/>
  </r>
  <r>
    <x v="0"/>
    <x v="2"/>
  </r>
  <r>
    <x v="0"/>
    <x v="2"/>
  </r>
  <r>
    <x v="1"/>
    <x v="3"/>
  </r>
  <r>
    <x v="1"/>
    <x v="0"/>
  </r>
  <r>
    <x v="1"/>
    <x v="2"/>
  </r>
  <r>
    <x v="0"/>
    <x v="2"/>
  </r>
  <r>
    <x v="2"/>
    <x v="0"/>
  </r>
  <r>
    <x v="1"/>
    <x v="0"/>
  </r>
  <r>
    <x v="1"/>
    <x v="3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0"/>
    <x v="0"/>
  </r>
  <r>
    <x v="2"/>
    <x v="1"/>
  </r>
  <r>
    <x v="1"/>
    <x v="2"/>
  </r>
  <r>
    <x v="1"/>
    <x v="0"/>
  </r>
  <r>
    <x v="1"/>
    <x v="0"/>
  </r>
  <r>
    <x v="1"/>
    <x v="2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2"/>
  </r>
  <r>
    <x v="1"/>
    <x v="0"/>
  </r>
  <r>
    <x v="1"/>
    <x v="0"/>
  </r>
  <r>
    <x v="0"/>
    <x v="0"/>
  </r>
  <r>
    <x v="2"/>
    <x v="0"/>
  </r>
  <r>
    <x v="0"/>
    <x v="0"/>
  </r>
  <r>
    <x v="1"/>
    <x v="0"/>
  </r>
  <r>
    <x v="1"/>
    <x v="1"/>
  </r>
  <r>
    <x v="0"/>
    <x v="0"/>
  </r>
  <r>
    <x v="2"/>
    <x v="0"/>
  </r>
  <r>
    <x v="2"/>
    <x v="0"/>
  </r>
  <r>
    <x v="0"/>
    <x v="1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1"/>
  </r>
  <r>
    <x v="1"/>
    <x v="1"/>
  </r>
  <r>
    <x v="1"/>
    <x v="1"/>
  </r>
  <r>
    <x v="1"/>
    <x v="0"/>
  </r>
  <r>
    <x v="0"/>
    <x v="0"/>
  </r>
  <r>
    <x v="2"/>
    <x v="0"/>
  </r>
  <r>
    <x v="2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0"/>
    <x v="1"/>
  </r>
  <r>
    <x v="0"/>
    <x v="0"/>
  </r>
  <r>
    <x v="0"/>
    <x v="0"/>
  </r>
  <r>
    <x v="0"/>
    <x v="1"/>
  </r>
  <r>
    <x v="1"/>
    <x v="0"/>
  </r>
  <r>
    <x v="1"/>
    <x v="0"/>
  </r>
  <r>
    <x v="0"/>
    <x v="0"/>
  </r>
  <r>
    <x v="0"/>
    <x v="0"/>
  </r>
  <r>
    <x v="0"/>
    <x v="0"/>
  </r>
  <r>
    <x v="1"/>
    <x v="0"/>
  </r>
  <r>
    <x v="1"/>
    <x v="1"/>
  </r>
  <r>
    <x v="1"/>
    <x v="1"/>
  </r>
  <r>
    <x v="1"/>
    <x v="0"/>
  </r>
  <r>
    <x v="0"/>
    <x v="0"/>
  </r>
  <r>
    <x v="1"/>
    <x v="1"/>
  </r>
  <r>
    <x v="1"/>
    <x v="1"/>
  </r>
  <r>
    <x v="1"/>
    <x v="1"/>
  </r>
  <r>
    <x v="1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x v="0"/>
    <n v="101"/>
  </r>
  <r>
    <x v="0"/>
    <n v="103"/>
  </r>
  <r>
    <x v="0"/>
    <n v="95"/>
  </r>
  <r>
    <x v="0"/>
    <n v="90"/>
  </r>
  <r>
    <x v="0"/>
    <n v="98"/>
  </r>
  <r>
    <x v="0"/>
    <n v="67"/>
  </r>
  <r>
    <x v="0"/>
    <n v="54"/>
  </r>
  <r>
    <x v="0"/>
    <n v="40"/>
  </r>
  <r>
    <x v="0"/>
    <n v="37"/>
  </r>
  <r>
    <x v="0"/>
    <n v="71"/>
  </r>
  <r>
    <x v="0"/>
    <n v="107"/>
  </r>
  <r>
    <x v="0"/>
    <n v="101"/>
  </r>
  <r>
    <x v="0"/>
    <n v="94"/>
  </r>
  <r>
    <x v="0"/>
    <n v="95"/>
  </r>
  <r>
    <x v="0"/>
    <n v="96"/>
  </r>
  <r>
    <x v="0"/>
    <n v="74"/>
  </r>
  <r>
    <x v="0"/>
    <n v="95"/>
  </r>
  <r>
    <x v="0"/>
    <n v="91"/>
  </r>
  <r>
    <x v="0"/>
    <n v="85"/>
  </r>
  <r>
    <x v="0"/>
    <n v="91"/>
  </r>
  <r>
    <x v="0"/>
    <n v="73"/>
  </r>
  <r>
    <x v="0"/>
    <n v="87"/>
  </r>
  <r>
    <x v="0"/>
    <n v="96"/>
  </r>
  <r>
    <x v="0"/>
    <n v="48"/>
  </r>
  <r>
    <x v="0"/>
    <n v="109"/>
  </r>
  <r>
    <x v="0"/>
    <n v="100"/>
  </r>
  <r>
    <x v="0"/>
    <n v="93"/>
  </r>
  <r>
    <x v="0"/>
    <n v="83"/>
  </r>
  <r>
    <x v="0"/>
    <n v="79"/>
  </r>
  <r>
    <x v="0"/>
    <n v="97"/>
  </r>
  <r>
    <x v="0"/>
    <n v="104"/>
  </r>
  <r>
    <x v="0"/>
    <n v="49"/>
  </r>
  <r>
    <x v="0"/>
    <n v="58"/>
  </r>
  <r>
    <x v="0"/>
    <n v="72"/>
  </r>
  <r>
    <x v="0"/>
    <n v="89"/>
  </r>
  <r>
    <x v="0"/>
    <n v="96"/>
  </r>
  <r>
    <x v="0"/>
    <n v="96"/>
  </r>
  <r>
    <x v="0"/>
    <n v="100"/>
  </r>
  <r>
    <x v="0"/>
    <n v="108"/>
  </r>
  <r>
    <x v="0"/>
    <n v="110"/>
  </r>
  <r>
    <x v="0"/>
    <n v="102"/>
  </r>
  <r>
    <x v="0"/>
    <n v="91"/>
  </r>
  <r>
    <x v="0"/>
    <n v="48"/>
  </r>
  <r>
    <x v="0"/>
    <n v="58"/>
  </r>
  <r>
    <x v="0"/>
    <n v="73"/>
  </r>
  <r>
    <x v="0"/>
    <n v="104"/>
  </r>
  <r>
    <x v="0"/>
    <n v="101"/>
  </r>
  <r>
    <x v="0"/>
    <n v="91"/>
  </r>
  <r>
    <x v="0"/>
    <n v="95"/>
  </r>
  <r>
    <x v="0"/>
    <n v="48"/>
  </r>
  <r>
    <x v="0"/>
    <n v="83"/>
  </r>
  <r>
    <x v="0"/>
    <n v="87"/>
  </r>
  <r>
    <x v="0"/>
    <n v="86"/>
  </r>
  <r>
    <x v="0"/>
    <n v="87"/>
  </r>
  <r>
    <x v="0"/>
    <n v="84"/>
  </r>
  <r>
    <x v="0"/>
    <n v="94"/>
  </r>
  <r>
    <x v="0"/>
    <n v="78"/>
  </r>
  <r>
    <x v="0"/>
    <n v="53"/>
  </r>
  <r>
    <x v="0"/>
    <n v="75"/>
  </r>
  <r>
    <x v="0"/>
    <n v="12"/>
  </r>
  <r>
    <x v="0"/>
    <n v="67"/>
  </r>
  <r>
    <x v="0"/>
    <n v="73"/>
  </r>
  <r>
    <x v="0"/>
    <n v="81"/>
  </r>
  <r>
    <x v="0"/>
    <n v="83"/>
  </r>
  <r>
    <x v="0"/>
    <n v="79"/>
  </r>
  <r>
    <x v="0"/>
    <n v="81"/>
  </r>
  <r>
    <x v="0"/>
    <n v="78"/>
  </r>
  <r>
    <x v="0"/>
    <n v="73"/>
  </r>
  <r>
    <x v="0"/>
    <n v="80"/>
  </r>
  <r>
    <x v="0"/>
    <n v="85"/>
  </r>
  <r>
    <x v="0"/>
    <n v="82"/>
  </r>
  <r>
    <x v="0"/>
    <n v="59"/>
  </r>
  <r>
    <x v="0"/>
    <n v="68"/>
  </r>
  <r>
    <x v="0"/>
    <n v="82"/>
  </r>
  <r>
    <x v="0"/>
    <n v="74"/>
  </r>
  <r>
    <x v="0"/>
    <n v="90"/>
  </r>
  <r>
    <x v="0"/>
    <n v="84"/>
  </r>
  <r>
    <x v="0"/>
    <n v="36"/>
  </r>
  <r>
    <x v="0"/>
    <n v="61"/>
  </r>
  <r>
    <x v="0"/>
    <n v="68"/>
  </r>
  <r>
    <x v="0"/>
    <n v="73"/>
  </r>
  <r>
    <x v="0"/>
    <n v="71"/>
  </r>
  <r>
    <x v="0"/>
    <n v="55"/>
  </r>
  <r>
    <x v="0"/>
    <n v="32"/>
  </r>
  <r>
    <x v="0"/>
    <n v="51"/>
  </r>
  <r>
    <x v="0"/>
    <n v="30"/>
  </r>
  <r>
    <x v="0"/>
    <n v="56"/>
  </r>
  <r>
    <x v="0"/>
    <n v="61"/>
  </r>
  <r>
    <x v="0"/>
    <n v="61"/>
  </r>
  <r>
    <x v="0"/>
    <n v="77"/>
  </r>
  <r>
    <x v="0"/>
    <n v="58"/>
  </r>
  <r>
    <x v="0"/>
    <n v="73"/>
  </r>
  <r>
    <x v="1"/>
    <n v="33"/>
  </r>
  <r>
    <x v="1"/>
    <n v="39"/>
  </r>
  <r>
    <x v="1"/>
    <n v="42"/>
  </r>
  <r>
    <x v="1"/>
    <n v="12"/>
  </r>
  <r>
    <x v="1"/>
    <n v="38"/>
  </r>
  <r>
    <x v="1"/>
    <n v="42"/>
  </r>
  <r>
    <x v="1"/>
    <n v="38"/>
  </r>
  <r>
    <x v="1"/>
    <n v="13"/>
  </r>
  <r>
    <x v="1"/>
    <n v="40"/>
  </r>
  <r>
    <x v="1"/>
    <n v="42"/>
  </r>
  <r>
    <x v="1"/>
    <n v="49"/>
  </r>
  <r>
    <x v="1"/>
    <n v="41"/>
  </r>
  <r>
    <x v="1"/>
    <n v="41"/>
  </r>
  <r>
    <x v="1"/>
    <n v="43"/>
  </r>
  <r>
    <x v="1"/>
    <n v="54"/>
  </r>
  <r>
    <x v="1"/>
    <n v="65"/>
  </r>
  <r>
    <x v="1"/>
    <n v="62"/>
  </r>
  <r>
    <x v="1"/>
    <n v="49"/>
  </r>
  <r>
    <x v="1"/>
    <n v="42"/>
  </r>
  <r>
    <x v="1"/>
    <n v="54"/>
  </r>
  <r>
    <x v="1"/>
    <n v="42"/>
  </r>
  <r>
    <x v="1"/>
    <n v="37"/>
  </r>
  <r>
    <x v="1"/>
    <n v="44"/>
  </r>
  <r>
    <x v="1"/>
    <n v="50"/>
  </r>
  <r>
    <x v="1"/>
    <n v="33"/>
  </r>
  <r>
    <x v="1"/>
    <n v="40"/>
  </r>
  <r>
    <x v="1"/>
    <n v="48"/>
  </r>
  <r>
    <x v="1"/>
    <n v="30"/>
  </r>
  <r>
    <x v="1"/>
    <n v="34"/>
  </r>
  <r>
    <x v="1"/>
    <n v="44"/>
  </r>
  <r>
    <x v="1"/>
    <n v="45"/>
  </r>
  <r>
    <x v="1"/>
    <n v="65"/>
  </r>
  <r>
    <x v="1"/>
    <n v="63"/>
  </r>
  <r>
    <x v="1"/>
    <n v="36"/>
  </r>
  <r>
    <x v="1"/>
    <n v="56"/>
  </r>
  <r>
    <x v="1"/>
    <n v="62"/>
  </r>
  <r>
    <x v="1"/>
    <n v="29"/>
  </r>
  <r>
    <x v="1"/>
    <n v="50"/>
  </r>
  <r>
    <x v="1"/>
    <n v="58"/>
  </r>
  <r>
    <x v="1"/>
    <n v="67"/>
  </r>
  <r>
    <x v="1"/>
    <n v="41"/>
  </r>
  <r>
    <x v="1"/>
    <n v="43"/>
  </r>
  <r>
    <x v="1"/>
    <n v="66"/>
  </r>
  <r>
    <x v="1"/>
    <n v="63"/>
  </r>
  <r>
    <x v="1"/>
    <n v="15"/>
  </r>
  <r>
    <x v="1"/>
    <n v="75"/>
  </r>
  <r>
    <x v="1"/>
    <n v="68"/>
  </r>
  <r>
    <x v="1"/>
    <n v="64"/>
  </r>
  <r>
    <x v="1"/>
    <n v="79"/>
  </r>
  <r>
    <x v="1"/>
    <n v="84"/>
  </r>
  <r>
    <x v="1"/>
    <n v="34"/>
  </r>
  <r>
    <x v="1"/>
    <n v="80"/>
  </r>
  <r>
    <x v="1"/>
    <n v="84"/>
  </r>
  <r>
    <x v="1"/>
    <n v="81"/>
  </r>
  <r>
    <x v="1"/>
    <n v="88"/>
  </r>
  <r>
    <x v="1"/>
    <n v="78"/>
  </r>
  <r>
    <x v="1"/>
    <n v="81"/>
  </r>
  <r>
    <x v="1"/>
    <n v="92"/>
  </r>
  <r>
    <x v="1"/>
    <n v="106"/>
  </r>
  <r>
    <x v="1"/>
    <n v="67"/>
  </r>
  <r>
    <x v="1"/>
    <n v="88"/>
  </r>
  <r>
    <x v="1"/>
    <n v="89"/>
  </r>
  <r>
    <x v="1"/>
    <n v="53"/>
  </r>
  <r>
    <x v="1"/>
    <n v="88"/>
  </r>
  <r>
    <x v="1"/>
    <n v="92"/>
  </r>
  <r>
    <x v="1"/>
    <n v="94"/>
  </r>
  <r>
    <x v="1"/>
    <n v="87"/>
  </r>
  <r>
    <x v="1"/>
    <n v="87"/>
  </r>
  <r>
    <x v="1"/>
    <n v="96"/>
  </r>
  <r>
    <x v="1"/>
    <n v="84"/>
  </r>
  <r>
    <x v="1"/>
    <n v="97"/>
  </r>
  <r>
    <x v="1"/>
    <n v="82"/>
  </r>
  <r>
    <x v="1"/>
    <n v="68"/>
  </r>
  <r>
    <x v="1"/>
    <n v="91"/>
  </r>
  <r>
    <x v="1"/>
    <n v="79"/>
  </r>
  <r>
    <x v="1"/>
    <n v="83"/>
  </r>
  <r>
    <x v="1"/>
    <n v="77"/>
  </r>
  <r>
    <x v="1"/>
    <n v="92"/>
  </r>
  <r>
    <x v="1"/>
    <n v="98"/>
  </r>
  <r>
    <x v="1"/>
    <n v="116"/>
  </r>
  <r>
    <x v="1"/>
    <n v="94"/>
  </r>
  <r>
    <x v="1"/>
    <n v="86"/>
  </r>
  <r>
    <x v="1"/>
    <n v="90"/>
  </r>
  <r>
    <x v="1"/>
    <n v="100"/>
  </r>
  <r>
    <x v="1"/>
    <n v="93"/>
  </r>
  <r>
    <x v="1"/>
    <n v="93"/>
  </r>
  <r>
    <x v="1"/>
    <n v="95"/>
  </r>
  <r>
    <x v="1"/>
    <n v="96"/>
  </r>
  <r>
    <x v="1"/>
    <n v="82"/>
  </r>
  <r>
    <x v="1"/>
    <n v="79"/>
  </r>
  <r>
    <x v="1"/>
    <n v="79"/>
  </r>
  <r>
    <x v="2"/>
    <n v="93"/>
  </r>
  <r>
    <x v="2"/>
    <n v="121"/>
  </r>
  <r>
    <x v="2"/>
    <n v="94"/>
  </r>
  <r>
    <x v="2"/>
    <n v="93"/>
  </r>
  <r>
    <x v="2"/>
    <n v="92"/>
  </r>
  <r>
    <x v="2"/>
    <n v="81"/>
  </r>
  <r>
    <x v="2"/>
    <n v="107"/>
  </r>
  <r>
    <x v="2"/>
    <n v="98"/>
  </r>
  <r>
    <x v="2"/>
    <n v="81"/>
  </r>
  <r>
    <x v="2"/>
    <n v="85"/>
  </r>
  <r>
    <x v="2"/>
    <n v="87"/>
  </r>
  <r>
    <x v="2"/>
    <n v="102"/>
  </r>
  <r>
    <x v="2"/>
    <n v="110"/>
  </r>
  <r>
    <x v="2"/>
    <n v="118"/>
  </r>
  <r>
    <x v="2"/>
    <n v="106"/>
  </r>
  <r>
    <x v="2"/>
    <n v="89"/>
  </r>
  <r>
    <x v="2"/>
    <n v="91"/>
  </r>
  <r>
    <x v="2"/>
    <n v="87"/>
  </r>
  <r>
    <x v="2"/>
    <n v="76"/>
  </r>
  <r>
    <x v="2"/>
    <n v="68"/>
  </r>
  <r>
    <x v="2"/>
    <n v="66"/>
  </r>
  <r>
    <x v="2"/>
    <n v="72"/>
  </r>
  <r>
    <x v="2"/>
    <n v="76"/>
  </r>
  <r>
    <x v="2"/>
    <n v="92"/>
  </r>
  <r>
    <x v="2"/>
    <n v="93"/>
  </r>
  <r>
    <x v="2"/>
    <n v="88"/>
  </r>
  <r>
    <x v="2"/>
    <n v="77"/>
  </r>
  <r>
    <x v="2"/>
    <n v="89"/>
  </r>
  <r>
    <x v="2"/>
    <n v="86"/>
  </r>
  <r>
    <x v="2"/>
    <n v="86"/>
  </r>
  <r>
    <x v="2"/>
    <n v="97"/>
  </r>
  <r>
    <x v="2"/>
    <n v="71"/>
  </r>
  <r>
    <x v="2"/>
    <n v="92"/>
  </r>
  <r>
    <x v="2"/>
    <n v="97"/>
  </r>
  <r>
    <x v="2"/>
    <n v="85"/>
  </r>
  <r>
    <x v="2"/>
    <n v="76"/>
  </r>
  <r>
    <x v="2"/>
    <n v="87"/>
  </r>
  <r>
    <x v="2"/>
    <n v="92"/>
  </r>
  <r>
    <x v="2"/>
    <n v="96"/>
  </r>
  <r>
    <x v="2"/>
    <n v="96"/>
  </r>
  <r>
    <x v="2"/>
    <n v="98"/>
  </r>
  <r>
    <x v="2"/>
    <n v="83"/>
  </r>
  <r>
    <x v="2"/>
    <n v="77"/>
  </r>
  <r>
    <x v="2"/>
    <n v="87"/>
  </r>
  <r>
    <x v="2"/>
    <n v="94"/>
  </r>
  <r>
    <x v="2"/>
    <n v="94"/>
  </r>
  <r>
    <x v="2"/>
    <n v="76"/>
  </r>
  <r>
    <x v="2"/>
    <n v="83"/>
  </r>
  <r>
    <x v="2"/>
    <n v="104"/>
  </r>
  <r>
    <x v="2"/>
    <n v="77"/>
  </r>
  <r>
    <x v="2"/>
    <n v="96"/>
  </r>
  <r>
    <x v="2"/>
    <n v="118"/>
  </r>
  <r>
    <x v="2"/>
    <n v="103"/>
  </r>
  <r>
    <x v="2"/>
    <n v="71"/>
  </r>
  <r>
    <x v="2"/>
    <n v="93"/>
  </r>
  <r>
    <x v="2"/>
    <n v="23"/>
  </r>
  <r>
    <x v="2"/>
    <n v="86"/>
  </r>
  <r>
    <x v="2"/>
    <n v="93"/>
  </r>
  <r>
    <x v="2"/>
    <n v="105"/>
  </r>
  <r>
    <x v="2"/>
    <n v="100"/>
  </r>
  <r>
    <x v="2"/>
    <n v="106"/>
  </r>
  <r>
    <x v="2"/>
    <n v="106"/>
  </r>
  <r>
    <x v="2"/>
    <n v="98"/>
  </r>
  <r>
    <x v="2"/>
    <n v="91"/>
  </r>
  <r>
    <x v="2"/>
    <n v="96"/>
  </r>
  <r>
    <x v="2"/>
    <n v="89"/>
  </r>
  <r>
    <x v="2"/>
    <n v="78"/>
  </r>
  <r>
    <x v="2"/>
    <n v="91"/>
  </r>
  <r>
    <x v="2"/>
    <n v="100"/>
  </r>
  <r>
    <x v="2"/>
    <n v="89"/>
  </r>
  <r>
    <x v="2"/>
    <n v="100"/>
  </r>
  <r>
    <x v="2"/>
    <n v="98"/>
  </r>
  <r>
    <x v="2"/>
    <n v="103"/>
  </r>
  <r>
    <x v="2"/>
    <n v="75"/>
  </r>
  <r>
    <x v="2"/>
    <n v="97"/>
  </r>
  <r>
    <x v="2"/>
    <n v="102"/>
  </r>
  <r>
    <x v="2"/>
    <n v="95"/>
  </r>
  <r>
    <x v="2"/>
    <n v="80"/>
  </r>
  <r>
    <x v="2"/>
    <n v="96"/>
  </r>
  <r>
    <x v="2"/>
    <n v="90"/>
  </r>
  <r>
    <x v="2"/>
    <n v="96"/>
  </r>
  <r>
    <x v="2"/>
    <n v="99"/>
  </r>
  <r>
    <x v="2"/>
    <n v="104"/>
  </r>
  <r>
    <x v="2"/>
    <n v="106"/>
  </r>
  <r>
    <x v="2"/>
    <n v="94"/>
  </r>
  <r>
    <x v="2"/>
    <n v="93"/>
  </r>
  <r>
    <x v="2"/>
    <n v="105"/>
  </r>
  <r>
    <x v="2"/>
    <n v="111"/>
  </r>
  <r>
    <x v="2"/>
    <n v="107"/>
  </r>
  <r>
    <x v="2"/>
    <n v="102"/>
  </r>
  <r>
    <x v="3"/>
    <n v="75"/>
  </r>
  <r>
    <x v="3"/>
    <n v="78"/>
  </r>
  <r>
    <x v="3"/>
    <n v="72"/>
  </r>
  <r>
    <x v="3"/>
    <n v="70"/>
  </r>
  <r>
    <x v="3"/>
    <n v="77"/>
  </r>
  <r>
    <x v="3"/>
    <n v="52"/>
  </r>
  <r>
    <x v="3"/>
    <n v="14"/>
  </r>
  <r>
    <x v="3"/>
    <n v="66"/>
  </r>
  <r>
    <x v="3"/>
    <n v="72"/>
  </r>
  <r>
    <x v="3"/>
    <n v="64"/>
  </r>
  <r>
    <x v="3"/>
    <n v="55"/>
  </r>
  <r>
    <x v="3"/>
    <n v="66"/>
  </r>
  <r>
    <x v="3"/>
    <n v="70"/>
  </r>
  <r>
    <x v="3"/>
    <n v="75"/>
  </r>
  <r>
    <x v="3"/>
    <n v="75"/>
  </r>
  <r>
    <x v="3"/>
    <n v="72"/>
  </r>
  <r>
    <x v="3"/>
    <n v="55"/>
  </r>
  <r>
    <x v="3"/>
    <n v="48"/>
  </r>
  <r>
    <x v="3"/>
    <n v="68"/>
  </r>
  <r>
    <x v="3"/>
    <n v="75"/>
  </r>
  <r>
    <x v="3"/>
    <n v="53"/>
  </r>
  <r>
    <x v="3"/>
    <n v="62"/>
  </r>
  <r>
    <x v="3"/>
    <n v="44"/>
  </r>
  <r>
    <x v="3"/>
    <n v="20"/>
  </r>
  <r>
    <x v="3"/>
    <n v="15"/>
  </r>
  <r>
    <x v="3"/>
    <n v="27"/>
  </r>
  <r>
    <x v="3"/>
    <n v="23"/>
  </r>
  <r>
    <x v="3"/>
    <n v="46"/>
  </r>
  <r>
    <x v="3"/>
    <n v="48"/>
  </r>
  <r>
    <x v="3"/>
    <n v="60"/>
  </r>
  <r>
    <x v="3"/>
    <n v="49"/>
  </r>
  <r>
    <x v="3"/>
    <n v="20"/>
  </r>
  <r>
    <x v="3"/>
    <n v="16"/>
  </r>
  <r>
    <x v="3"/>
    <n v="27"/>
  </r>
  <r>
    <x v="3"/>
    <n v="31"/>
  </r>
  <r>
    <x v="3"/>
    <n v="32"/>
  </r>
  <r>
    <x v="3"/>
    <n v="32"/>
  </r>
  <r>
    <x v="3"/>
    <n v="30"/>
  </r>
  <r>
    <x v="3"/>
    <n v="19"/>
  </r>
  <r>
    <x v="3"/>
    <n v="16"/>
  </r>
  <r>
    <x v="3"/>
    <n v="27"/>
  </r>
  <r>
    <x v="3"/>
    <n v="25"/>
  </r>
  <r>
    <x v="3"/>
    <n v="24"/>
  </r>
  <r>
    <x v="3"/>
    <n v="28"/>
  </r>
  <r>
    <x v="3"/>
    <n v="28"/>
  </r>
  <r>
    <x v="3"/>
    <n v="25"/>
  </r>
  <r>
    <x v="3"/>
    <n v="24"/>
  </r>
  <r>
    <x v="3"/>
    <n v="20"/>
  </r>
  <r>
    <x v="3"/>
    <n v="13"/>
  </r>
  <r>
    <x v="3"/>
    <n v="33"/>
  </r>
  <r>
    <x v="3"/>
    <n v="39"/>
  </r>
  <r>
    <x v="3"/>
    <n v="31"/>
  </r>
  <r>
    <x v="3"/>
    <n v="20"/>
  </r>
  <r>
    <x v="3"/>
    <n v="20"/>
  </r>
  <r>
    <x v="3"/>
    <n v="29"/>
  </r>
  <r>
    <x v="3"/>
    <n v="40"/>
  </r>
  <r>
    <x v="3"/>
    <n v="10"/>
  </r>
  <r>
    <x v="3"/>
    <n v="8"/>
  </r>
  <r>
    <x v="3"/>
    <n v="24"/>
  </r>
  <r>
    <x v="3"/>
    <n v="22"/>
  </r>
  <r>
    <x v="3"/>
    <n v="22"/>
  </r>
  <r>
    <x v="3"/>
    <n v="30"/>
  </r>
  <r>
    <x v="3"/>
    <n v="27"/>
  </r>
  <r>
    <x v="3"/>
    <n v="30"/>
  </r>
  <r>
    <x v="3"/>
    <n v="31"/>
  </r>
  <r>
    <x v="3"/>
    <n v="34"/>
  </r>
  <r>
    <x v="3"/>
    <n v="20"/>
  </r>
  <r>
    <x v="3"/>
    <n v="32"/>
  </r>
  <r>
    <x v="3"/>
    <n v="34"/>
  </r>
  <r>
    <x v="3"/>
    <n v="30"/>
  </r>
  <r>
    <x v="3"/>
    <n v="32"/>
  </r>
  <r>
    <x v="3"/>
    <n v="31"/>
  </r>
  <r>
    <x v="3"/>
    <n v="35"/>
  </r>
  <r>
    <x v="3"/>
    <n v="30"/>
  </r>
  <r>
    <x v="3"/>
    <n v="32"/>
  </r>
  <r>
    <x v="3"/>
    <n v="38"/>
  </r>
  <r>
    <x v="3"/>
    <n v="37"/>
  </r>
  <r>
    <x v="3"/>
    <n v="42"/>
  </r>
  <r>
    <x v="3"/>
    <n v="49"/>
  </r>
  <r>
    <x v="3"/>
    <n v="59"/>
  </r>
  <r>
    <x v="3"/>
    <n v="33"/>
  </r>
  <r>
    <x v="3"/>
    <n v="36"/>
  </r>
  <r>
    <x v="3"/>
    <n v="22"/>
  </r>
  <r>
    <x v="3"/>
    <n v="29"/>
  </r>
  <r>
    <x v="3"/>
    <n v="39"/>
  </r>
  <r>
    <x v="3"/>
    <n v="36"/>
  </r>
  <r>
    <x v="3"/>
    <n v="29"/>
  </r>
  <r>
    <x v="3"/>
    <n v="39"/>
  </r>
  <r>
    <x v="3"/>
    <n v="48"/>
  </r>
  <r>
    <x v="3"/>
    <n v="29"/>
  </r>
  <r>
    <x v="3"/>
    <n v="37"/>
  </r>
  <r>
    <x v="3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70A816-C4F8-4CAB-880E-095012DBF87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E19:F23" firstHeaderRow="1" firstDataRow="1" firstDataCol="1"/>
  <pivotFields count="1">
    <pivotField axis="axisRow" dataField="1" showAll="0">
      <items count="4">
        <item x="1"/>
        <item x="0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Weather" fld="0" subtotal="count" showDataAs="percentOfTotal" baseField="0" baseItem="0" numFmtId="10"/>
  </dataFields>
  <formats count="12"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0" type="button" dataOnly="0" labelOnly="1" outline="0" axis="axisRow" fieldPosition="0"/>
    </format>
    <format dxfId="49">
      <pivotArea dataOnly="0" labelOnly="1" fieldPosition="0">
        <references count="1">
          <reference field="0" count="0"/>
        </references>
      </pivotArea>
    </format>
    <format dxfId="48">
      <pivotArea dataOnly="0" labelOnly="1" grandRow="1" outline="0" fieldPosition="0"/>
    </format>
    <format dxfId="47">
      <pivotArea dataOnly="0" labelOnly="1" outline="0" axis="axisValues" fieldPosition="0"/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0" type="button" dataOnly="0" labelOnly="1" outline="0" axis="axisRow" fieldPosition="0"/>
    </format>
    <format dxfId="43">
      <pivotArea dataOnly="0" labelOnly="1" fieldPosition="0">
        <references count="1">
          <reference field="0" count="0"/>
        </references>
      </pivotArea>
    </format>
    <format dxfId="42">
      <pivotArea dataOnly="0" labelOnly="1" grandRow="1" outline="0" fieldPosition="0"/>
    </format>
    <format dxfId="41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B42B0B-C013-4017-9BE7-779803B7BC9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24:I29" firstHeaderRow="1" firstDataRow="2" firstDataCol="1"/>
  <pivotFields count="2">
    <pivotField axis="axisRow" showAll="0">
      <items count="4">
        <item x="1"/>
        <item x="0"/>
        <item x="2"/>
        <item t="default"/>
      </items>
    </pivotField>
    <pivotField axis="axisCol" dataField="1" showAll="0">
      <items count="5">
        <item x="1"/>
        <item x="0"/>
        <item x="2"/>
        <item n="Quiet" x="3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HireDay" fld="1" subtotal="count" showDataAs="percentOfTotal" baseField="0" baseItem="0" numFmtId="10"/>
  </dataFields>
  <formats count="10">
    <format dxfId="40">
      <pivotArea type="all" dataOnly="0" outline="0" fieldPosition="0"/>
    </format>
    <format dxfId="39">
      <pivotArea outline="0" collapsedLevelsAreSubtotals="1" fieldPosition="0"/>
    </format>
    <format dxfId="38">
      <pivotArea type="origin" dataOnly="0" labelOnly="1" outline="0" fieldPosition="0"/>
    </format>
    <format dxfId="37">
      <pivotArea field="1" type="button" dataOnly="0" labelOnly="1" outline="0" axis="axisCol" fieldPosition="0"/>
    </format>
    <format dxfId="36">
      <pivotArea type="topRight" dataOnly="0" labelOnly="1" outline="0" fieldPosition="0"/>
    </format>
    <format dxfId="35">
      <pivotArea field="0" type="button" dataOnly="0" labelOnly="1" outline="0" axis="axisRow" fieldPosition="0"/>
    </format>
    <format dxfId="34">
      <pivotArea dataOnly="0" labelOnly="1" fieldPosition="0">
        <references count="1">
          <reference field="0" count="0"/>
        </references>
      </pivotArea>
    </format>
    <format dxfId="33">
      <pivotArea dataOnly="0" labelOnly="1" grandRow="1" outline="0" fieldPosition="0"/>
    </format>
    <format dxfId="32">
      <pivotArea dataOnly="0" labelOnly="1" fieldPosition="0">
        <references count="1">
          <reference field="1" count="0"/>
        </references>
      </pivotArea>
    </format>
    <format dxfId="31">
      <pivotArea dataOnly="0" labelOnly="1" grandCol="1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AA3140-62F2-4DE5-98F4-DA7F08EE6DCE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C23:D28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BikeHired" fld="1" baseField="0" baseItem="0"/>
  </dataFields>
  <formats count="6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0" type="button" dataOnly="0" labelOnly="1" outline="0" axis="axisRow" fieldPosition="0"/>
    </format>
    <format dxfId="27">
      <pivotArea dataOnly="0" labelOnly="1" fieldPosition="0">
        <references count="1">
          <reference field="0" count="0"/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0A2586-F87A-4610-84C5-C3D959FBFCF0}" name="Table1" displayName="Table1" ref="S1:Z1048576" totalsRowShown="0">
  <autoFilter ref="S1:Z1048576" xr:uid="{6B0A2586-F87A-4610-84C5-C3D959FBFCF0}"/>
  <sortState xmlns:xlrd2="http://schemas.microsoft.com/office/spreadsheetml/2017/richdata2" ref="S2:T1048576">
    <sortCondition ref="S1:S1048576"/>
  </sortState>
  <tableColumns count="8">
    <tableColumn id="1" xr3:uid="{ACF2E0AD-7AC6-49BC-8BAE-56D0EDEF1263}" name="autumn" dataDxfId="24"/>
    <tableColumn id="2" xr3:uid="{F8ED38E8-ED93-4551-A077-3232A4532350}" name="spring" dataDxfId="23" dataCellStyle="Normal 2"/>
    <tableColumn id="3" xr3:uid="{8F1B1C21-A5BE-478F-AD99-0D38F720ACAF}" name="summer" dataDxfId="22" dataCellStyle="Normal 2"/>
    <tableColumn id="4" xr3:uid="{0B3EA725-6AA4-46AE-AD50-10346222B4CC}" name="winter" dataDxfId="21" dataCellStyle="Normal 2"/>
    <tableColumn id="5" xr3:uid="{A7FEC250-B449-4B9C-BF0F-9AC53E88E336}" name="Column5" dataDxfId="20" dataCellStyle="Normal 2"/>
    <tableColumn id="6" xr3:uid="{AD9C2CA8-4660-49D0-BA4E-3F6596782D37}" name="Column6" dataDxfId="19" dataCellStyle="Normal 2"/>
    <tableColumn id="7" xr3:uid="{FFB788CA-7667-4F39-8432-142FDD0E4826}" name="Column7" dataDxfId="18" dataCellStyle="Normal 2"/>
    <tableColumn id="8" xr3:uid="{A31DFEBD-D731-424A-A6A1-38B7236F8CEA}" name="Column8" dataDxfId="17" dataCellStyle="Normal 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B0150E-E395-4D35-A4A3-FFBAB5754BB1}" name="Table2" displayName="Table2" ref="U1:Y1048576" totalsRowShown="0" headerRowDxfId="16" dataDxfId="15" headerRowCellStyle="Normal 2" dataCellStyle="Normal 2">
  <autoFilter ref="U1:Y1048576" xr:uid="{8EB0150E-E395-4D35-A4A3-FFBAB5754BB1}"/>
  <tableColumns count="5">
    <tableColumn id="1" xr3:uid="{B427C86F-168E-410D-BAFE-31004F3BD8B1}" name="Temp" dataDxfId="14" dataCellStyle="Normal 2"/>
    <tableColumn id="2" xr3:uid="{3ECD57CD-9BC4-406D-9AE9-753B8A783155}" name="Humidity" dataDxfId="13" dataCellStyle="Normal 2"/>
    <tableColumn id="3" xr3:uid="{A2F180F3-E957-4D09-A356-17FCDACBE650}" name="WindSpeed" dataDxfId="12" dataCellStyle="Normal 2"/>
    <tableColumn id="4" xr3:uid="{4A5F651E-7266-419D-AB63-F6DA283E6E2A}" name="eBike" dataDxfId="11" dataCellStyle="Normal 2"/>
    <tableColumn id="5" xr3:uid="{96DA7459-3BC9-4D4A-BFDD-B0E6AD45335B}" name="pBike" dataDxfId="10" dataCellStyle="Normal 2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010DCB9-518C-4F50-83FD-27E4D2785EA3}" name="Table5" displayName="Table5" ref="R1:U1048576" totalsRowShown="0">
  <autoFilter ref="R1:U1048576" xr:uid="{9010DCB9-518C-4F50-83FD-27E4D2785EA3}"/>
  <sortState xmlns:xlrd2="http://schemas.microsoft.com/office/spreadsheetml/2017/richdata2" ref="R2:S1048576">
    <sortCondition ref="R1:R1048576"/>
  </sortState>
  <tableColumns count="4">
    <tableColumn id="1" xr3:uid="{9611E373-9FE7-41D9-A25D-7DC5CD5F6DEF}" name="autumn" dataDxfId="9"/>
    <tableColumn id="2" xr3:uid="{88ABE4D7-4BEB-4CAF-921B-629970C81DCA}" name="spring" dataDxfId="8" dataCellStyle="Normal 2"/>
    <tableColumn id="3" xr3:uid="{8FF705B3-A331-4AA9-A979-46E758193C18}" name="summer" dataDxfId="7" dataCellStyle="Normal 2"/>
    <tableColumn id="4" xr3:uid="{D637540B-715E-4003-8FF8-07CBAB8C1583}" name="winter" dataDxfId="6" dataCellStyle="Normal 2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AE3887-E9F4-4525-A40D-681808E29450}" name="Table3" displayName="Table3" ref="R1:U93" totalsRowShown="0" headerRowDxfId="5" tableBorderDxfId="4" headerRowCellStyle="Normal 2">
  <autoFilter ref="R1:U93" xr:uid="{29AE3887-E9F4-4525-A40D-681808E29450}"/>
  <tableColumns count="4">
    <tableColumn id="1" xr3:uid="{F424E425-79B5-4943-9CC4-962B25C18D22}" name="AUTUMN" dataDxfId="3" dataCellStyle="Normal 2"/>
    <tableColumn id="2" xr3:uid="{946F9D59-27DC-4416-A56B-AB580A12CADD}" name="SPRING" dataDxfId="2" dataCellStyle="Normal 2"/>
    <tableColumn id="3" xr3:uid="{DE8CCC39-76BD-423E-BD73-8B810A08467E}" name="SUMMER" dataDxfId="1" dataCellStyle="Normal 2"/>
    <tableColumn id="4" xr3:uid="{25969CDD-B7D6-4ACA-B3D2-A861611D911B}" name="WINTER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Custom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F7CBAC"/>
      </a:accent1>
      <a:accent2>
        <a:srgbClr val="FEE599"/>
      </a:accent2>
      <a:accent3>
        <a:srgbClr val="BDD7EE"/>
      </a:accent3>
      <a:accent4>
        <a:srgbClr val="D7B5C6"/>
      </a:accent4>
      <a:accent5>
        <a:srgbClr val="85C0FB"/>
      </a:accent5>
      <a:accent6>
        <a:srgbClr val="C5E0B3"/>
      </a:accent6>
      <a:hlink>
        <a:srgbClr val="AEABAB"/>
      </a:hlink>
      <a:folHlink>
        <a:srgbClr val="ADB9CA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3F430-3E42-48C5-9272-821A0F786C95}">
  <dimension ref="A1:P21"/>
  <sheetViews>
    <sheetView topLeftCell="A4" zoomScale="145" zoomScaleNormal="145" workbookViewId="0">
      <selection activeCell="G23" sqref="G23"/>
    </sheetView>
  </sheetViews>
  <sheetFormatPr defaultColWidth="9.08984375" defaultRowHeight="20.149999999999999" customHeight="1" x14ac:dyDescent="0.35"/>
  <cols>
    <col min="1" max="1" width="19.81640625" style="77" customWidth="1"/>
    <col min="2" max="2" width="19.08984375" style="2" customWidth="1"/>
    <col min="3" max="3" width="12.7265625" style="2" customWidth="1"/>
    <col min="4" max="15" width="9.08984375" style="77"/>
    <col min="16" max="16" width="16.6328125" style="1" customWidth="1"/>
    <col min="17" max="16384" width="9.08984375" style="77"/>
  </cols>
  <sheetData>
    <row r="1" spans="1:2" ht="20.149999999999999" customHeight="1" x14ac:dyDescent="0.45">
      <c r="A1" s="79" t="s">
        <v>55</v>
      </c>
      <c r="B1"/>
    </row>
    <row r="2" spans="1:2" ht="20.149999999999999" customHeight="1" x14ac:dyDescent="0.35">
      <c r="A2"/>
      <c r="B2"/>
    </row>
    <row r="3" spans="1:2" ht="20.149999999999999" customHeight="1" x14ac:dyDescent="0.45">
      <c r="A3" s="80" t="s">
        <v>2</v>
      </c>
      <c r="B3" s="80" t="s">
        <v>1</v>
      </c>
    </row>
    <row r="4" spans="1:2" ht="20.149999999999999" customHeight="1" x14ac:dyDescent="0.45">
      <c r="A4" s="82" t="s">
        <v>18</v>
      </c>
      <c r="B4" s="83" t="s">
        <v>19</v>
      </c>
    </row>
    <row r="5" spans="1:2" ht="20.149999999999999" customHeight="1" x14ac:dyDescent="0.45">
      <c r="A5" s="82" t="s">
        <v>20</v>
      </c>
      <c r="B5" s="83" t="s">
        <v>59</v>
      </c>
    </row>
    <row r="6" spans="1:2" ht="20.149999999999999" customHeight="1" x14ac:dyDescent="0.45">
      <c r="A6" s="82" t="s">
        <v>21</v>
      </c>
      <c r="B6" s="83" t="s">
        <v>60</v>
      </c>
    </row>
    <row r="7" spans="1:2" ht="20.149999999999999" customHeight="1" x14ac:dyDescent="0.35">
      <c r="A7" s="82" t="s">
        <v>22</v>
      </c>
      <c r="B7" s="83" t="s">
        <v>23</v>
      </c>
    </row>
    <row r="8" spans="1:2" ht="20.149999999999999" customHeight="1" x14ac:dyDescent="0.45">
      <c r="A8" s="82" t="s">
        <v>24</v>
      </c>
      <c r="B8" s="83" t="s">
        <v>25</v>
      </c>
    </row>
    <row r="9" spans="1:2" ht="20.149999999999999" customHeight="1" x14ac:dyDescent="0.45">
      <c r="A9" s="82" t="s">
        <v>26</v>
      </c>
      <c r="B9" s="83" t="s">
        <v>27</v>
      </c>
    </row>
    <row r="10" spans="1:2" ht="20.149999999999999" customHeight="1" x14ac:dyDescent="0.45">
      <c r="A10" s="82" t="s">
        <v>28</v>
      </c>
      <c r="B10" s="83" t="s">
        <v>29</v>
      </c>
    </row>
    <row r="11" spans="1:2" ht="20.149999999999999" customHeight="1" x14ac:dyDescent="0.45">
      <c r="A11" s="82" t="s">
        <v>30</v>
      </c>
      <c r="B11" s="83" t="s">
        <v>31</v>
      </c>
    </row>
    <row r="12" spans="1:2" ht="20.149999999999999" customHeight="1" x14ac:dyDescent="0.45">
      <c r="A12" s="82" t="s">
        <v>0</v>
      </c>
      <c r="B12" s="83" t="s">
        <v>32</v>
      </c>
    </row>
    <row r="13" spans="1:2" ht="20.149999999999999" customHeight="1" x14ac:dyDescent="0.45">
      <c r="A13" s="82" t="s">
        <v>33</v>
      </c>
      <c r="B13" s="83" t="s">
        <v>34</v>
      </c>
    </row>
    <row r="14" spans="1:2" ht="20.149999999999999" customHeight="1" x14ac:dyDescent="0.45">
      <c r="A14" s="82" t="s">
        <v>35</v>
      </c>
      <c r="B14" s="83" t="s">
        <v>56</v>
      </c>
    </row>
    <row r="15" spans="1:2" ht="20.149999999999999" customHeight="1" x14ac:dyDescent="0.45">
      <c r="A15" s="82" t="s">
        <v>36</v>
      </c>
      <c r="B15" s="83" t="s">
        <v>92</v>
      </c>
    </row>
    <row r="16" spans="1:2" ht="20.149999999999999" customHeight="1" x14ac:dyDescent="0.45">
      <c r="A16" s="82" t="s">
        <v>64</v>
      </c>
      <c r="B16" s="83" t="s">
        <v>57</v>
      </c>
    </row>
    <row r="17" spans="1:2" ht="20.149999999999999" customHeight="1" x14ac:dyDescent="0.45">
      <c r="A17" s="81" t="s">
        <v>58</v>
      </c>
      <c r="B17" s="81" t="s">
        <v>61</v>
      </c>
    </row>
    <row r="18" spans="1:2" ht="20.149999999999999" customHeight="1" x14ac:dyDescent="0.45">
      <c r="A18" s="81"/>
      <c r="B18" s="88" t="s">
        <v>88</v>
      </c>
    </row>
    <row r="19" spans="1:2" ht="20.149999999999999" customHeight="1" x14ac:dyDescent="0.35">
      <c r="A19"/>
      <c r="B19" s="88" t="s">
        <v>89</v>
      </c>
    </row>
    <row r="20" spans="1:2" ht="20.149999999999999" customHeight="1" x14ac:dyDescent="0.35">
      <c r="A20"/>
      <c r="B20" s="88" t="s">
        <v>90</v>
      </c>
    </row>
    <row r="21" spans="1:2" ht="20.149999999999999" customHeight="1" x14ac:dyDescent="0.35">
      <c r="B21" s="88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16512-0AE1-4C36-8BF5-82AD4EAE2731}">
  <dimension ref="A1:N366"/>
  <sheetViews>
    <sheetView zoomScale="103" workbookViewId="0">
      <pane ySplit="1" topLeftCell="A2" activePane="bottomLeft" state="frozen"/>
      <selection pane="bottomLeft" activeCell="L1" sqref="L1:L1048576"/>
    </sheetView>
  </sheetViews>
  <sheetFormatPr defaultColWidth="12.7265625" defaultRowHeight="14.5" x14ac:dyDescent="0.35"/>
  <cols>
    <col min="1" max="1" width="12.7265625" style="85"/>
    <col min="3" max="7" width="12.7265625" style="85"/>
    <col min="11" max="12" width="12.7265625" style="85"/>
    <col min="13" max="13" width="14.81640625" customWidth="1"/>
    <col min="15" max="16" width="12.36328125" bestFit="1" customWidth="1"/>
    <col min="17" max="17" width="18.6328125" bestFit="1" customWidth="1"/>
    <col min="18" max="18" width="15.54296875" bestFit="1" customWidth="1"/>
    <col min="19" max="19" width="15.81640625" bestFit="1" customWidth="1"/>
    <col min="20" max="20" width="6.6328125" bestFit="1" customWidth="1"/>
    <col min="21" max="21" width="10.453125" bestFit="1" customWidth="1"/>
  </cols>
  <sheetData>
    <row r="1" spans="1:14" ht="20.25" customHeight="1" x14ac:dyDescent="0.35">
      <c r="A1" s="84" t="s">
        <v>37</v>
      </c>
      <c r="B1" s="84" t="s">
        <v>20</v>
      </c>
      <c r="C1" s="84" t="s">
        <v>38</v>
      </c>
      <c r="D1" s="84" t="s">
        <v>22</v>
      </c>
      <c r="E1" s="84" t="s">
        <v>24</v>
      </c>
      <c r="F1" s="84" t="s">
        <v>26</v>
      </c>
      <c r="G1" s="84" t="s">
        <v>28</v>
      </c>
      <c r="H1" s="84" t="s">
        <v>30</v>
      </c>
      <c r="I1" s="84" t="s">
        <v>0</v>
      </c>
      <c r="J1" s="84" t="s">
        <v>33</v>
      </c>
      <c r="K1" s="84" t="s">
        <v>35</v>
      </c>
      <c r="L1" s="84" t="s">
        <v>36</v>
      </c>
      <c r="M1" s="84" t="s">
        <v>64</v>
      </c>
      <c r="N1" s="84" t="s">
        <v>58</v>
      </c>
    </row>
    <row r="2" spans="1:14" x14ac:dyDescent="0.35">
      <c r="A2" s="85">
        <v>60</v>
      </c>
      <c r="B2" s="86">
        <v>44621</v>
      </c>
      <c r="C2" s="85" t="s">
        <v>52</v>
      </c>
      <c r="D2" s="85" t="s">
        <v>40</v>
      </c>
      <c r="E2" s="85" t="s">
        <v>47</v>
      </c>
      <c r="F2" s="85" t="s">
        <v>26</v>
      </c>
      <c r="G2" s="85" t="s">
        <v>46</v>
      </c>
      <c r="H2" s="87">
        <v>29.550014999999998</v>
      </c>
      <c r="I2" s="87">
        <v>53.5</v>
      </c>
      <c r="J2" s="87">
        <v>14.500475</v>
      </c>
      <c r="K2" s="85">
        <v>14</v>
      </c>
      <c r="L2" s="85">
        <v>87</v>
      </c>
      <c r="M2" s="85">
        <f t="shared" ref="M2:M65" si="0">K2+L2</f>
        <v>101</v>
      </c>
      <c r="N2" t="str" cm="1">
        <f t="array" ref="N2">_xlfn.IFS(M2&lt;40,"Queit",M2&lt;70,"Modest",M2&lt;100,"Good",M2&gt;=100,"Busy")</f>
        <v>Busy</v>
      </c>
    </row>
    <row r="3" spans="1:14" x14ac:dyDescent="0.35">
      <c r="A3" s="85">
        <v>61</v>
      </c>
      <c r="B3" s="86">
        <v>44622</v>
      </c>
      <c r="C3" s="85" t="s">
        <v>52</v>
      </c>
      <c r="D3" s="85" t="s">
        <v>40</v>
      </c>
      <c r="E3" s="85" t="s">
        <v>48</v>
      </c>
      <c r="F3" s="85" t="s">
        <v>26</v>
      </c>
      <c r="G3" s="85" t="s">
        <v>46</v>
      </c>
      <c r="H3" s="87">
        <v>29.475000000000001</v>
      </c>
      <c r="I3" s="87">
        <v>44.958300000000001</v>
      </c>
      <c r="J3" s="87">
        <v>20.624811000000001</v>
      </c>
      <c r="K3" s="85">
        <v>16</v>
      </c>
      <c r="L3" s="85">
        <v>87</v>
      </c>
      <c r="M3" s="85">
        <f t="shared" si="0"/>
        <v>103</v>
      </c>
      <c r="N3" t="str" cm="1">
        <f t="array" ref="N3">_xlfn.IFS(M3&lt;40,"Queit",M3&lt;70,"Modest",M3&lt;100,"Good",M3&gt;=100,"Busy")</f>
        <v>Busy</v>
      </c>
    </row>
    <row r="4" spans="1:14" x14ac:dyDescent="0.35">
      <c r="A4" s="85">
        <v>62</v>
      </c>
      <c r="B4" s="86">
        <v>44623</v>
      </c>
      <c r="C4" s="85" t="s">
        <v>52</v>
      </c>
      <c r="D4" s="85" t="s">
        <v>40</v>
      </c>
      <c r="E4" s="85" t="s">
        <v>49</v>
      </c>
      <c r="F4" s="85" t="s">
        <v>26</v>
      </c>
      <c r="G4" s="85" t="s">
        <v>46</v>
      </c>
      <c r="H4" s="87">
        <v>28.949985000000002</v>
      </c>
      <c r="I4" s="87">
        <v>31.833299999999998</v>
      </c>
      <c r="J4" s="87">
        <v>15.125518000000001</v>
      </c>
      <c r="K4" s="85">
        <v>18</v>
      </c>
      <c r="L4" s="85">
        <v>77</v>
      </c>
      <c r="M4" s="85">
        <f t="shared" si="0"/>
        <v>95</v>
      </c>
      <c r="N4" t="str" cm="1">
        <f t="array" ref="N4">_xlfn.IFS(M4&lt;40,"Queit",M4&lt;70,"Modest",M4&lt;100,"Good",M4&gt;=100,"Busy")</f>
        <v>Good</v>
      </c>
    </row>
    <row r="5" spans="1:14" x14ac:dyDescent="0.35">
      <c r="A5" s="85">
        <v>66</v>
      </c>
      <c r="B5" s="86">
        <v>44627</v>
      </c>
      <c r="C5" s="85" t="s">
        <v>52</v>
      </c>
      <c r="D5" s="85" t="s">
        <v>40</v>
      </c>
      <c r="E5" s="85" t="s">
        <v>45</v>
      </c>
      <c r="F5" s="85" t="s">
        <v>26</v>
      </c>
      <c r="G5" s="85" t="s">
        <v>46</v>
      </c>
      <c r="H5" s="87">
        <v>24.3</v>
      </c>
      <c r="I5" s="87">
        <v>55.130400000000002</v>
      </c>
      <c r="J5" s="87">
        <v>22.870584000000001</v>
      </c>
      <c r="K5" s="85">
        <v>4</v>
      </c>
      <c r="L5" s="85">
        <v>50</v>
      </c>
      <c r="M5" s="85">
        <f t="shared" si="0"/>
        <v>54</v>
      </c>
      <c r="N5" t="str" cm="1">
        <f t="array" ref="N5">_xlfn.IFS(M5&lt;40,"Queit",M5&lt;70,"Modest",M5&lt;100,"Good",M5&gt;=100,"Busy")</f>
        <v>Modest</v>
      </c>
    </row>
    <row r="6" spans="1:14" x14ac:dyDescent="0.35">
      <c r="A6" s="85">
        <v>67</v>
      </c>
      <c r="B6" s="86">
        <v>44628</v>
      </c>
      <c r="C6" s="85" t="s">
        <v>52</v>
      </c>
      <c r="D6" s="85" t="s">
        <v>40</v>
      </c>
      <c r="E6" s="85" t="s">
        <v>47</v>
      </c>
      <c r="F6" s="85" t="s">
        <v>26</v>
      </c>
      <c r="G6" s="85" t="s">
        <v>46</v>
      </c>
      <c r="H6" s="87">
        <v>26.962515</v>
      </c>
      <c r="I6" s="87">
        <v>42.083300000000001</v>
      </c>
      <c r="J6" s="87">
        <v>8.0835499999999989</v>
      </c>
      <c r="K6" s="85">
        <v>2</v>
      </c>
      <c r="L6" s="85">
        <v>38</v>
      </c>
      <c r="M6" s="85">
        <f t="shared" si="0"/>
        <v>40</v>
      </c>
      <c r="N6" t="str" cm="1">
        <f t="array" ref="N6">_xlfn.IFS(M6&lt;40,"Queit",M6&lt;70,"Modest",M6&lt;100,"Good",M6&gt;=100,"Busy")</f>
        <v>Modest</v>
      </c>
    </row>
    <row r="7" spans="1:14" x14ac:dyDescent="0.35">
      <c r="A7" s="85">
        <v>71</v>
      </c>
      <c r="B7" s="86">
        <v>44632</v>
      </c>
      <c r="C7" s="85" t="s">
        <v>52</v>
      </c>
      <c r="D7" s="85" t="s">
        <v>40</v>
      </c>
      <c r="E7" s="85" t="s">
        <v>41</v>
      </c>
      <c r="F7" s="85" t="s">
        <v>42</v>
      </c>
      <c r="G7" s="85" t="s">
        <v>46</v>
      </c>
      <c r="H7" s="87">
        <v>29.399985000000001</v>
      </c>
      <c r="I7" s="87">
        <v>59.458299999999994</v>
      </c>
      <c r="J7" s="87">
        <v>14.791924999999999</v>
      </c>
      <c r="K7" s="85">
        <v>33</v>
      </c>
      <c r="L7" s="85">
        <v>68</v>
      </c>
      <c r="M7" s="85">
        <f t="shared" si="0"/>
        <v>101</v>
      </c>
      <c r="N7" t="str" cm="1">
        <f t="array" ref="N7">_xlfn.IFS(M7&lt;40,"Queit",M7&lt;70,"Modest",M7&lt;100,"Good",M7&gt;=100,"Busy")</f>
        <v>Busy</v>
      </c>
    </row>
    <row r="8" spans="1:14" x14ac:dyDescent="0.35">
      <c r="A8" s="85">
        <v>72</v>
      </c>
      <c r="B8" s="86">
        <v>44633</v>
      </c>
      <c r="C8" s="85" t="s">
        <v>52</v>
      </c>
      <c r="D8" s="85" t="s">
        <v>40</v>
      </c>
      <c r="E8" s="85" t="s">
        <v>44</v>
      </c>
      <c r="F8" s="85" t="s">
        <v>42</v>
      </c>
      <c r="G8" s="85" t="s">
        <v>46</v>
      </c>
      <c r="H8" s="87">
        <v>28.995660000000001</v>
      </c>
      <c r="I8" s="87">
        <v>52.739100000000008</v>
      </c>
      <c r="J8" s="87">
        <v>18.130468</v>
      </c>
      <c r="K8" s="85">
        <v>14</v>
      </c>
      <c r="L8" s="85">
        <v>80</v>
      </c>
      <c r="M8" s="85">
        <f t="shared" si="0"/>
        <v>94</v>
      </c>
      <c r="N8" t="str" cm="1">
        <f t="array" ref="N8">_xlfn.IFS(M8&lt;40,"Queit",M8&lt;70,"Modest",M8&lt;100,"Good",M8&gt;=100,"Busy")</f>
        <v>Good</v>
      </c>
    </row>
    <row r="9" spans="1:14" x14ac:dyDescent="0.35">
      <c r="A9" s="85">
        <v>73</v>
      </c>
      <c r="B9" s="86">
        <v>44634</v>
      </c>
      <c r="C9" s="85" t="s">
        <v>52</v>
      </c>
      <c r="D9" s="85" t="s">
        <v>40</v>
      </c>
      <c r="E9" s="85" t="s">
        <v>45</v>
      </c>
      <c r="F9" s="85" t="s">
        <v>26</v>
      </c>
      <c r="G9" s="85" t="s">
        <v>46</v>
      </c>
      <c r="H9" s="87">
        <v>29.287485</v>
      </c>
      <c r="I9" s="87">
        <v>49.695699999999995</v>
      </c>
      <c r="J9" s="87">
        <v>9.174042</v>
      </c>
      <c r="K9" s="85">
        <v>14</v>
      </c>
      <c r="L9" s="85">
        <v>81</v>
      </c>
      <c r="M9" s="85">
        <f t="shared" si="0"/>
        <v>95</v>
      </c>
      <c r="N9" t="str" cm="1">
        <f t="array" ref="N9">_xlfn.IFS(M9&lt;40,"Queit",M9&lt;70,"Modest",M9&lt;100,"Good",M9&gt;=100,"Busy")</f>
        <v>Good</v>
      </c>
    </row>
    <row r="10" spans="1:14" x14ac:dyDescent="0.35">
      <c r="A10" s="85">
        <v>76</v>
      </c>
      <c r="B10" s="86">
        <v>44637</v>
      </c>
      <c r="C10" s="85" t="s">
        <v>52</v>
      </c>
      <c r="D10" s="85" t="s">
        <v>40</v>
      </c>
      <c r="E10" s="85" t="s">
        <v>49</v>
      </c>
      <c r="F10" s="85" t="s">
        <v>26</v>
      </c>
      <c r="G10" s="85" t="s">
        <v>46</v>
      </c>
      <c r="H10" s="87">
        <v>21.112514999999998</v>
      </c>
      <c r="I10" s="87">
        <v>60.291700000000006</v>
      </c>
      <c r="J10" s="87">
        <v>14.041792999999998</v>
      </c>
      <c r="K10" s="85">
        <v>15</v>
      </c>
      <c r="L10" s="85">
        <v>80</v>
      </c>
      <c r="M10" s="85">
        <f t="shared" si="0"/>
        <v>95</v>
      </c>
      <c r="N10" t="str" cm="1">
        <f t="array" ref="N10">_xlfn.IFS(M10&lt;40,"Queit",M10&lt;70,"Modest",M10&lt;100,"Good",M10&gt;=100,"Busy")</f>
        <v>Good</v>
      </c>
    </row>
    <row r="11" spans="1:14" x14ac:dyDescent="0.35">
      <c r="A11" s="85">
        <v>77</v>
      </c>
      <c r="B11" s="86">
        <v>44638</v>
      </c>
      <c r="C11" s="85" t="s">
        <v>52</v>
      </c>
      <c r="D11" s="85" t="s">
        <v>40</v>
      </c>
      <c r="E11" s="85" t="s">
        <v>50</v>
      </c>
      <c r="F11" s="85" t="s">
        <v>26</v>
      </c>
      <c r="G11" s="85" t="s">
        <v>46</v>
      </c>
      <c r="H11" s="87">
        <v>22.125015000000001</v>
      </c>
      <c r="I11" s="87">
        <v>52.521700000000003</v>
      </c>
      <c r="J11" s="87">
        <v>15.478139000000001</v>
      </c>
      <c r="K11" s="85">
        <v>29</v>
      </c>
      <c r="L11" s="85">
        <v>62</v>
      </c>
      <c r="M11" s="85">
        <f t="shared" si="0"/>
        <v>91</v>
      </c>
      <c r="N11" t="str" cm="1">
        <f t="array" ref="N11">_xlfn.IFS(M11&lt;40,"Queit",M11&lt;70,"Modest",M11&lt;100,"Good",M11&gt;=100,"Busy")</f>
        <v>Good</v>
      </c>
    </row>
    <row r="12" spans="1:14" x14ac:dyDescent="0.35">
      <c r="A12" s="85">
        <v>78</v>
      </c>
      <c r="B12" s="86">
        <v>44639</v>
      </c>
      <c r="C12" s="85" t="s">
        <v>52</v>
      </c>
      <c r="D12" s="85" t="s">
        <v>40</v>
      </c>
      <c r="E12" s="85" t="s">
        <v>41</v>
      </c>
      <c r="F12" s="85" t="s">
        <v>42</v>
      </c>
      <c r="G12" s="85" t="s">
        <v>46</v>
      </c>
      <c r="H12" s="87">
        <v>22.837499999999999</v>
      </c>
      <c r="I12" s="87">
        <v>37.916699999999999</v>
      </c>
      <c r="J12" s="87">
        <v>24.667189</v>
      </c>
      <c r="K12" s="85">
        <v>27</v>
      </c>
      <c r="L12" s="85">
        <v>58</v>
      </c>
      <c r="M12" s="85">
        <f t="shared" si="0"/>
        <v>85</v>
      </c>
      <c r="N12" t="str" cm="1">
        <f t="array" ref="N12">_xlfn.IFS(M12&lt;40,"Queit",M12&lt;70,"Modest",M12&lt;100,"Good",M12&gt;=100,"Busy")</f>
        <v>Good</v>
      </c>
    </row>
    <row r="13" spans="1:14" x14ac:dyDescent="0.35">
      <c r="A13" s="85">
        <v>79</v>
      </c>
      <c r="B13" s="86">
        <v>44640</v>
      </c>
      <c r="C13" s="85" t="s">
        <v>52</v>
      </c>
      <c r="D13" s="85" t="s">
        <v>40</v>
      </c>
      <c r="E13" s="85" t="s">
        <v>44</v>
      </c>
      <c r="F13" s="85" t="s">
        <v>42</v>
      </c>
      <c r="G13" s="85" t="s">
        <v>46</v>
      </c>
      <c r="H13" s="87">
        <v>24.712515</v>
      </c>
      <c r="I13" s="87">
        <v>47.375</v>
      </c>
      <c r="J13" s="87">
        <v>13.917306999999999</v>
      </c>
      <c r="K13" s="85">
        <v>14</v>
      </c>
      <c r="L13" s="85">
        <v>77</v>
      </c>
      <c r="M13" s="85">
        <f t="shared" si="0"/>
        <v>91</v>
      </c>
      <c r="N13" t="str" cm="1">
        <f t="array" ref="N13">_xlfn.IFS(M13&lt;40,"Queit",M13&lt;70,"Modest",M13&lt;100,"Good",M13&gt;=100,"Busy")</f>
        <v>Good</v>
      </c>
    </row>
    <row r="14" spans="1:14" x14ac:dyDescent="0.35">
      <c r="A14" s="85">
        <v>81</v>
      </c>
      <c r="B14" s="86">
        <v>44642</v>
      </c>
      <c r="C14" s="85" t="s">
        <v>52</v>
      </c>
      <c r="D14" s="85" t="s">
        <v>40</v>
      </c>
      <c r="E14" s="85" t="s">
        <v>47</v>
      </c>
      <c r="F14" s="85" t="s">
        <v>26</v>
      </c>
      <c r="G14" s="85" t="s">
        <v>46</v>
      </c>
      <c r="H14" s="87">
        <v>26.774999999999999</v>
      </c>
      <c r="I14" s="87">
        <v>62.458300000000001</v>
      </c>
      <c r="J14" s="87">
        <v>15.125250000000001</v>
      </c>
      <c r="K14" s="85">
        <v>11</v>
      </c>
      <c r="L14" s="85">
        <v>76</v>
      </c>
      <c r="M14" s="85">
        <f t="shared" si="0"/>
        <v>87</v>
      </c>
      <c r="N14" t="str" cm="1">
        <f t="array" ref="N14">_xlfn.IFS(M14&lt;40,"Queit",M14&lt;70,"Modest",M14&lt;100,"Good",M14&gt;=100,"Busy")</f>
        <v>Good</v>
      </c>
    </row>
    <row r="15" spans="1:14" x14ac:dyDescent="0.35">
      <c r="A15" s="85">
        <v>84</v>
      </c>
      <c r="B15" s="86">
        <v>44645</v>
      </c>
      <c r="C15" s="85" t="s">
        <v>52</v>
      </c>
      <c r="D15" s="85" t="s">
        <v>40</v>
      </c>
      <c r="E15" s="85" t="s">
        <v>50</v>
      </c>
      <c r="F15" s="85" t="s">
        <v>26</v>
      </c>
      <c r="G15" s="85" t="s">
        <v>46</v>
      </c>
      <c r="H15" s="87">
        <v>27.300014999999998</v>
      </c>
      <c r="I15" s="87">
        <v>49.5</v>
      </c>
      <c r="J15" s="87">
        <v>15.458575000000002</v>
      </c>
      <c r="K15" s="85">
        <v>36</v>
      </c>
      <c r="L15" s="85">
        <v>73</v>
      </c>
      <c r="M15" s="85">
        <f t="shared" si="0"/>
        <v>109</v>
      </c>
      <c r="N15" t="str" cm="1">
        <f t="array" ref="N15">_xlfn.IFS(M15&lt;40,"Queit",M15&lt;70,"Modest",M15&lt;100,"Good",M15&gt;=100,"Busy")</f>
        <v>Busy</v>
      </c>
    </row>
    <row r="16" spans="1:14" x14ac:dyDescent="0.35">
      <c r="A16" s="85">
        <v>85</v>
      </c>
      <c r="B16" s="86">
        <v>44646</v>
      </c>
      <c r="C16" s="85" t="s">
        <v>52</v>
      </c>
      <c r="D16" s="85" t="s">
        <v>40</v>
      </c>
      <c r="E16" s="85" t="s">
        <v>41</v>
      </c>
      <c r="F16" s="85" t="s">
        <v>42</v>
      </c>
      <c r="G16" s="85" t="s">
        <v>46</v>
      </c>
      <c r="H16" s="87">
        <v>28.537515000000003</v>
      </c>
      <c r="I16" s="87">
        <v>39.416699999999999</v>
      </c>
      <c r="J16" s="87">
        <v>14.041257</v>
      </c>
      <c r="K16" s="85">
        <v>31</v>
      </c>
      <c r="L16" s="85">
        <v>69</v>
      </c>
      <c r="M16" s="85">
        <f t="shared" si="0"/>
        <v>100</v>
      </c>
      <c r="N16" t="str" cm="1">
        <f t="array" ref="N16">_xlfn.IFS(M16&lt;40,"Queit",M16&lt;70,"Modest",M16&lt;100,"Good",M16&gt;=100,"Busy")</f>
        <v>Busy</v>
      </c>
    </row>
    <row r="17" spans="1:14" x14ac:dyDescent="0.35">
      <c r="A17" s="85">
        <v>87</v>
      </c>
      <c r="B17" s="86">
        <v>44648</v>
      </c>
      <c r="C17" s="85" t="s">
        <v>52</v>
      </c>
      <c r="D17" s="85" t="s">
        <v>40</v>
      </c>
      <c r="E17" s="85" t="s">
        <v>45</v>
      </c>
      <c r="F17" s="85" t="s">
        <v>26</v>
      </c>
      <c r="G17" s="85" t="s">
        <v>46</v>
      </c>
      <c r="H17" s="87">
        <v>28.650015</v>
      </c>
      <c r="I17" s="87">
        <v>30.217400000000001</v>
      </c>
      <c r="J17" s="87">
        <v>14.217668</v>
      </c>
      <c r="K17" s="85">
        <v>10</v>
      </c>
      <c r="L17" s="85">
        <v>73</v>
      </c>
      <c r="M17" s="85">
        <f t="shared" si="0"/>
        <v>83</v>
      </c>
      <c r="N17" t="str" cm="1">
        <f t="array" ref="N17">_xlfn.IFS(M17&lt;40,"Queit",M17&lt;70,"Modest",M17&lt;100,"Good",M17&gt;=100,"Busy")</f>
        <v>Good</v>
      </c>
    </row>
    <row r="18" spans="1:14" x14ac:dyDescent="0.35">
      <c r="A18" s="85">
        <v>88</v>
      </c>
      <c r="B18" s="86">
        <v>44649</v>
      </c>
      <c r="C18" s="85" t="s">
        <v>52</v>
      </c>
      <c r="D18" s="85" t="s">
        <v>40</v>
      </c>
      <c r="E18" s="85" t="s">
        <v>47</v>
      </c>
      <c r="F18" s="85" t="s">
        <v>26</v>
      </c>
      <c r="G18" s="85" t="s">
        <v>46</v>
      </c>
      <c r="H18" s="87">
        <v>28.574999999999999</v>
      </c>
      <c r="I18" s="87">
        <v>31.416699999999999</v>
      </c>
      <c r="J18" s="87">
        <v>15.208731999999999</v>
      </c>
      <c r="K18" s="85">
        <v>10</v>
      </c>
      <c r="L18" s="85">
        <v>69</v>
      </c>
      <c r="M18" s="85">
        <f t="shared" si="0"/>
        <v>79</v>
      </c>
      <c r="N18" t="str" cm="1">
        <f t="array" ref="N18">_xlfn.IFS(M18&lt;40,"Queit",M18&lt;70,"Modest",M18&lt;100,"Good",M18&gt;=100,"Busy")</f>
        <v>Good</v>
      </c>
    </row>
    <row r="19" spans="1:14" x14ac:dyDescent="0.35">
      <c r="A19" s="85">
        <v>93</v>
      </c>
      <c r="B19" s="86">
        <v>44654</v>
      </c>
      <c r="C19" s="85" t="s">
        <v>52</v>
      </c>
      <c r="D19" s="85" t="s">
        <v>40</v>
      </c>
      <c r="E19" s="85" t="s">
        <v>44</v>
      </c>
      <c r="F19" s="85" t="s">
        <v>42</v>
      </c>
      <c r="G19" s="85" t="s">
        <v>46</v>
      </c>
      <c r="H19" s="87">
        <v>17.287514999999999</v>
      </c>
      <c r="I19" s="87">
        <v>48</v>
      </c>
      <c r="J19" s="87">
        <v>12.208271000000002</v>
      </c>
      <c r="K19" s="85">
        <v>7</v>
      </c>
      <c r="L19" s="85">
        <v>65</v>
      </c>
      <c r="M19" s="85">
        <f t="shared" si="0"/>
        <v>72</v>
      </c>
      <c r="N19" t="str" cm="1">
        <f t="array" ref="N19">_xlfn.IFS(M19&lt;40,"Queit",M19&lt;70,"Modest",M19&lt;100,"Good",M19&gt;=100,"Busy")</f>
        <v>Good</v>
      </c>
    </row>
    <row r="20" spans="1:14" x14ac:dyDescent="0.35">
      <c r="A20" s="85">
        <v>94</v>
      </c>
      <c r="B20" s="86">
        <v>44655</v>
      </c>
      <c r="C20" s="85" t="s">
        <v>52</v>
      </c>
      <c r="D20" s="85" t="s">
        <v>40</v>
      </c>
      <c r="E20" s="85" t="s">
        <v>45</v>
      </c>
      <c r="F20" s="85" t="s">
        <v>26</v>
      </c>
      <c r="G20" s="85" t="s">
        <v>46</v>
      </c>
      <c r="H20" s="87">
        <v>21.787514999999999</v>
      </c>
      <c r="I20" s="87">
        <v>42.625</v>
      </c>
      <c r="J20" s="87">
        <v>25.833257</v>
      </c>
      <c r="K20" s="85">
        <v>10</v>
      </c>
      <c r="L20" s="85">
        <v>79</v>
      </c>
      <c r="M20" s="85">
        <f t="shared" si="0"/>
        <v>89</v>
      </c>
      <c r="N20" t="str" cm="1">
        <f t="array" ref="N20">_xlfn.IFS(M20&lt;40,"Queit",M20&lt;70,"Modest",M20&lt;100,"Good",M20&gt;=100,"Busy")</f>
        <v>Good</v>
      </c>
    </row>
    <row r="21" spans="1:14" x14ac:dyDescent="0.35">
      <c r="A21" s="85">
        <v>96</v>
      </c>
      <c r="B21" s="86">
        <v>44657</v>
      </c>
      <c r="C21" s="85" t="s">
        <v>52</v>
      </c>
      <c r="D21" s="85" t="s">
        <v>40</v>
      </c>
      <c r="E21" s="85" t="s">
        <v>48</v>
      </c>
      <c r="F21" s="85" t="s">
        <v>26</v>
      </c>
      <c r="G21" s="85" t="s">
        <v>46</v>
      </c>
      <c r="H21" s="87">
        <v>22.237515000000002</v>
      </c>
      <c r="I21" s="87">
        <v>47.083300000000001</v>
      </c>
      <c r="J21" s="87">
        <v>17.625221</v>
      </c>
      <c r="K21" s="85">
        <v>13</v>
      </c>
      <c r="L21" s="85">
        <v>83</v>
      </c>
      <c r="M21" s="85">
        <f t="shared" si="0"/>
        <v>96</v>
      </c>
      <c r="N21" t="str" cm="1">
        <f t="array" ref="N21">_xlfn.IFS(M21&lt;40,"Queit",M21&lt;70,"Modest",M21&lt;100,"Good",M21&gt;=100,"Busy")</f>
        <v>Good</v>
      </c>
    </row>
    <row r="22" spans="1:14" x14ac:dyDescent="0.35">
      <c r="A22" s="85">
        <v>97</v>
      </c>
      <c r="B22" s="86">
        <v>44658</v>
      </c>
      <c r="C22" s="85" t="s">
        <v>52</v>
      </c>
      <c r="D22" s="85" t="s">
        <v>40</v>
      </c>
      <c r="E22" s="85" t="s">
        <v>49</v>
      </c>
      <c r="F22" s="85" t="s">
        <v>26</v>
      </c>
      <c r="G22" s="85" t="s">
        <v>46</v>
      </c>
      <c r="H22" s="87">
        <v>22.987485</v>
      </c>
      <c r="I22" s="87">
        <v>60.291700000000006</v>
      </c>
      <c r="J22" s="87">
        <v>10.874904000000001</v>
      </c>
      <c r="K22" s="85">
        <v>19</v>
      </c>
      <c r="L22" s="85">
        <v>81</v>
      </c>
      <c r="M22" s="85">
        <f t="shared" si="0"/>
        <v>100</v>
      </c>
      <c r="N22" t="str" cm="1">
        <f t="array" ref="N22">_xlfn.IFS(M22&lt;40,"Queit",M22&lt;70,"Modest",M22&lt;100,"Good",M22&gt;=100,"Busy")</f>
        <v>Busy</v>
      </c>
    </row>
    <row r="23" spans="1:14" x14ac:dyDescent="0.35">
      <c r="A23" s="85">
        <v>104</v>
      </c>
      <c r="B23" s="86">
        <v>44665</v>
      </c>
      <c r="C23" s="85" t="s">
        <v>52</v>
      </c>
      <c r="D23" s="85" t="s">
        <v>40</v>
      </c>
      <c r="E23" s="85" t="s">
        <v>49</v>
      </c>
      <c r="F23" s="85" t="s">
        <v>26</v>
      </c>
      <c r="G23" s="85" t="s">
        <v>46</v>
      </c>
      <c r="H23" s="87">
        <v>24.787485</v>
      </c>
      <c r="I23" s="87">
        <v>54.041700000000006</v>
      </c>
      <c r="J23" s="87">
        <v>7.4169</v>
      </c>
      <c r="K23" s="85">
        <v>11</v>
      </c>
      <c r="L23" s="85">
        <v>62</v>
      </c>
      <c r="M23" s="85">
        <f t="shared" si="0"/>
        <v>73</v>
      </c>
      <c r="N23" t="str" cm="1">
        <f t="array" ref="N23">_xlfn.IFS(M23&lt;40,"Queit",M23&lt;70,"Modest",M23&lt;100,"Good",M23&gt;=100,"Busy")</f>
        <v>Good</v>
      </c>
    </row>
    <row r="24" spans="1:14" x14ac:dyDescent="0.35">
      <c r="A24" s="85">
        <v>105</v>
      </c>
      <c r="B24" s="86">
        <v>44666</v>
      </c>
      <c r="C24" s="85" t="s">
        <v>52</v>
      </c>
      <c r="D24" s="85" t="s">
        <v>22</v>
      </c>
      <c r="E24" s="85" t="s">
        <v>50</v>
      </c>
      <c r="F24" s="85" t="s">
        <v>42</v>
      </c>
      <c r="G24" s="85" t="s">
        <v>46</v>
      </c>
      <c r="H24" s="87">
        <v>22.800014999999998</v>
      </c>
      <c r="I24" s="87">
        <v>67.125</v>
      </c>
      <c r="J24" s="87">
        <v>15.167124999999999</v>
      </c>
      <c r="K24" s="85">
        <v>38</v>
      </c>
      <c r="L24" s="85">
        <v>66</v>
      </c>
      <c r="M24" s="85">
        <f t="shared" si="0"/>
        <v>104</v>
      </c>
      <c r="N24" t="str" cm="1">
        <f t="array" ref="N24">_xlfn.IFS(M24&lt;40,"Queit",M24&lt;70,"Modest",M24&lt;100,"Good",M24&gt;=100,"Busy")</f>
        <v>Busy</v>
      </c>
    </row>
    <row r="25" spans="1:14" x14ac:dyDescent="0.35">
      <c r="A25" s="85">
        <v>107</v>
      </c>
      <c r="B25" s="86">
        <v>44668</v>
      </c>
      <c r="C25" s="85" t="s">
        <v>52</v>
      </c>
      <c r="D25" s="85" t="s">
        <v>40</v>
      </c>
      <c r="E25" s="85" t="s">
        <v>44</v>
      </c>
      <c r="F25" s="85" t="s">
        <v>42</v>
      </c>
      <c r="G25" s="85" t="s">
        <v>46</v>
      </c>
      <c r="H25" s="87">
        <v>24.037514999999999</v>
      </c>
      <c r="I25" s="87">
        <v>47.958300000000001</v>
      </c>
      <c r="J25" s="87">
        <v>20.334232</v>
      </c>
      <c r="K25" s="85">
        <v>14</v>
      </c>
      <c r="L25" s="85">
        <v>77</v>
      </c>
      <c r="M25" s="85">
        <f t="shared" si="0"/>
        <v>91</v>
      </c>
      <c r="N25" t="str" cm="1">
        <f t="array" ref="N25">_xlfn.IFS(M25&lt;40,"Queit",M25&lt;70,"Modest",M25&lt;100,"Good",M25&gt;=100,"Busy")</f>
        <v>Good</v>
      </c>
    </row>
    <row r="26" spans="1:14" x14ac:dyDescent="0.35">
      <c r="A26" s="85">
        <v>108</v>
      </c>
      <c r="B26" s="86">
        <v>44669</v>
      </c>
      <c r="C26" s="85" t="s">
        <v>52</v>
      </c>
      <c r="D26" s="85" t="s">
        <v>40</v>
      </c>
      <c r="E26" s="85" t="s">
        <v>45</v>
      </c>
      <c r="F26" s="85" t="s">
        <v>26</v>
      </c>
      <c r="G26" s="85" t="s">
        <v>46</v>
      </c>
      <c r="H26" s="87">
        <v>23.962499999999999</v>
      </c>
      <c r="I26" s="87">
        <v>54.25</v>
      </c>
      <c r="J26" s="87">
        <v>10.958988999999999</v>
      </c>
      <c r="K26" s="85">
        <v>13</v>
      </c>
      <c r="L26" s="85">
        <v>82</v>
      </c>
      <c r="M26" s="85">
        <f t="shared" si="0"/>
        <v>95</v>
      </c>
      <c r="N26" t="str" cm="1">
        <f t="array" ref="N26">_xlfn.IFS(M26&lt;40,"Queit",M26&lt;70,"Modest",M26&lt;100,"Good",M26&gt;=100,"Busy")</f>
        <v>Good</v>
      </c>
    </row>
    <row r="27" spans="1:14" x14ac:dyDescent="0.35">
      <c r="A27" s="85">
        <v>110</v>
      </c>
      <c r="B27" s="86">
        <v>44671</v>
      </c>
      <c r="C27" s="85" t="s">
        <v>52</v>
      </c>
      <c r="D27" s="85" t="s">
        <v>40</v>
      </c>
      <c r="E27" s="85" t="s">
        <v>48</v>
      </c>
      <c r="F27" s="85" t="s">
        <v>26</v>
      </c>
      <c r="G27" s="85" t="s">
        <v>46</v>
      </c>
      <c r="H27" s="87">
        <v>21.412485</v>
      </c>
      <c r="I27" s="87">
        <v>61.416699999999999</v>
      </c>
      <c r="J27" s="87">
        <v>16.208974999999999</v>
      </c>
      <c r="K27" s="85">
        <v>9</v>
      </c>
      <c r="L27" s="85">
        <v>74</v>
      </c>
      <c r="M27" s="85">
        <f t="shared" si="0"/>
        <v>83</v>
      </c>
      <c r="N27" t="str" cm="1">
        <f t="array" ref="N27">_xlfn.IFS(M27&lt;40,"Queit",M27&lt;70,"Modest",M27&lt;100,"Good",M27&gt;=100,"Busy")</f>
        <v>Good</v>
      </c>
    </row>
    <row r="28" spans="1:14" x14ac:dyDescent="0.35">
      <c r="A28" s="85">
        <v>111</v>
      </c>
      <c r="B28" s="86">
        <v>44672</v>
      </c>
      <c r="C28" s="85" t="s">
        <v>52</v>
      </c>
      <c r="D28" s="85" t="s">
        <v>40</v>
      </c>
      <c r="E28" s="85" t="s">
        <v>49</v>
      </c>
      <c r="F28" s="85" t="s">
        <v>26</v>
      </c>
      <c r="G28" s="85" t="s">
        <v>46</v>
      </c>
      <c r="H28" s="87">
        <v>19.237500000000001</v>
      </c>
      <c r="I28" s="87">
        <v>40.708299999999994</v>
      </c>
      <c r="J28" s="87">
        <v>21.792286000000001</v>
      </c>
      <c r="K28" s="85">
        <v>14</v>
      </c>
      <c r="L28" s="85">
        <v>73</v>
      </c>
      <c r="M28" s="85">
        <f t="shared" si="0"/>
        <v>87</v>
      </c>
      <c r="N28" t="str" cm="1">
        <f t="array" ref="N28">_xlfn.IFS(M28&lt;40,"Queit",M28&lt;70,"Modest",M28&lt;100,"Good",M28&gt;=100,"Busy")</f>
        <v>Good</v>
      </c>
    </row>
    <row r="29" spans="1:14" x14ac:dyDescent="0.35">
      <c r="A29" s="85">
        <v>115</v>
      </c>
      <c r="B29" s="86">
        <v>44676</v>
      </c>
      <c r="C29" s="85" t="s">
        <v>52</v>
      </c>
      <c r="D29" s="85" t="s">
        <v>40</v>
      </c>
      <c r="E29" s="85" t="s">
        <v>45</v>
      </c>
      <c r="F29" s="85" t="s">
        <v>26</v>
      </c>
      <c r="G29" s="85" t="s">
        <v>46</v>
      </c>
      <c r="H29" s="87">
        <v>21.225014999999999</v>
      </c>
      <c r="I29" s="87">
        <v>77.666700000000006</v>
      </c>
      <c r="J29" s="87">
        <v>12.417311</v>
      </c>
      <c r="K29" s="85">
        <v>14</v>
      </c>
      <c r="L29" s="85">
        <v>80</v>
      </c>
      <c r="M29" s="85">
        <f t="shared" si="0"/>
        <v>94</v>
      </c>
      <c r="N29" t="str" cm="1">
        <f t="array" ref="N29">_xlfn.IFS(M29&lt;40,"Queit",M29&lt;70,"Modest",M29&lt;100,"Good",M29&gt;=100,"Busy")</f>
        <v>Good</v>
      </c>
    </row>
    <row r="30" spans="1:14" x14ac:dyDescent="0.35">
      <c r="A30" s="85">
        <v>116</v>
      </c>
      <c r="B30" s="86">
        <v>44677</v>
      </c>
      <c r="C30" s="85" t="s">
        <v>52</v>
      </c>
      <c r="D30" s="85" t="s">
        <v>40</v>
      </c>
      <c r="E30" s="85" t="s">
        <v>47</v>
      </c>
      <c r="F30" s="85" t="s">
        <v>26</v>
      </c>
      <c r="G30" s="85" t="s">
        <v>46</v>
      </c>
      <c r="H30" s="87">
        <v>21.787514999999999</v>
      </c>
      <c r="I30" s="87">
        <v>72.916700000000006</v>
      </c>
      <c r="J30" s="87">
        <v>21.875500000000002</v>
      </c>
      <c r="K30" s="85">
        <v>8</v>
      </c>
      <c r="L30" s="85">
        <v>70</v>
      </c>
      <c r="M30" s="85">
        <f t="shared" si="0"/>
        <v>78</v>
      </c>
      <c r="N30" t="str" cm="1">
        <f t="array" ref="N30">_xlfn.IFS(M30&lt;40,"Queit",M30&lt;70,"Modest",M30&lt;100,"Good",M30&gt;=100,"Busy")</f>
        <v>Good</v>
      </c>
    </row>
    <row r="31" spans="1:14" x14ac:dyDescent="0.35">
      <c r="A31" s="85">
        <v>119</v>
      </c>
      <c r="B31" s="86">
        <v>44680</v>
      </c>
      <c r="C31" s="85" t="s">
        <v>52</v>
      </c>
      <c r="D31" s="85" t="s">
        <v>40</v>
      </c>
      <c r="E31" s="85" t="s">
        <v>50</v>
      </c>
      <c r="F31" s="85" t="s">
        <v>26</v>
      </c>
      <c r="G31" s="85" t="s">
        <v>46</v>
      </c>
      <c r="H31" s="87">
        <v>11.437514999999999</v>
      </c>
      <c r="I31" s="87">
        <v>45.708300000000001</v>
      </c>
      <c r="J31" s="87">
        <v>16.084220999999999</v>
      </c>
      <c r="K31" s="85">
        <v>1</v>
      </c>
      <c r="L31" s="85">
        <v>11</v>
      </c>
      <c r="M31" s="85">
        <f t="shared" si="0"/>
        <v>12</v>
      </c>
      <c r="N31" t="str" cm="1">
        <f t="array" ref="N31">_xlfn.IFS(M31&lt;40,"Queit",M31&lt;70,"Modest",M31&lt;100,"Good",M31&gt;=100,"Busy")</f>
        <v>Queit</v>
      </c>
    </row>
    <row r="32" spans="1:14" x14ac:dyDescent="0.35">
      <c r="A32" s="85">
        <v>120</v>
      </c>
      <c r="B32" s="86">
        <v>44681</v>
      </c>
      <c r="C32" s="85" t="s">
        <v>52</v>
      </c>
      <c r="D32" s="85" t="s">
        <v>40</v>
      </c>
      <c r="E32" s="85" t="s">
        <v>41</v>
      </c>
      <c r="F32" s="85" t="s">
        <v>42</v>
      </c>
      <c r="G32" s="85" t="s">
        <v>46</v>
      </c>
      <c r="H32" s="87">
        <v>14.362514999999998</v>
      </c>
      <c r="I32" s="87">
        <v>50.333300000000001</v>
      </c>
      <c r="J32" s="87">
        <v>15.750025000000001</v>
      </c>
      <c r="K32" s="85">
        <v>18</v>
      </c>
      <c r="L32" s="85">
        <v>49</v>
      </c>
      <c r="M32" s="85">
        <f t="shared" si="0"/>
        <v>67</v>
      </c>
      <c r="N32" t="str" cm="1">
        <f t="array" ref="N32">_xlfn.IFS(M32&lt;40,"Queit",M32&lt;70,"Modest",M32&lt;100,"Good",M32&gt;=100,"Busy")</f>
        <v>Modest</v>
      </c>
    </row>
    <row r="33" spans="1:14" x14ac:dyDescent="0.35">
      <c r="A33" s="85">
        <v>125</v>
      </c>
      <c r="B33" s="86">
        <v>44686</v>
      </c>
      <c r="C33" s="85" t="s">
        <v>52</v>
      </c>
      <c r="D33" s="85" t="s">
        <v>40</v>
      </c>
      <c r="E33" s="85" t="s">
        <v>49</v>
      </c>
      <c r="F33" s="85" t="s">
        <v>26</v>
      </c>
      <c r="G33" s="85" t="s">
        <v>46</v>
      </c>
      <c r="H33" s="87">
        <v>18.149985000000001</v>
      </c>
      <c r="I33" s="87">
        <v>44.416699999999999</v>
      </c>
      <c r="J33" s="87">
        <v>19.791263999999998</v>
      </c>
      <c r="K33" s="85">
        <v>9</v>
      </c>
      <c r="L33" s="85">
        <v>72</v>
      </c>
      <c r="M33" s="85">
        <f t="shared" si="0"/>
        <v>81</v>
      </c>
      <c r="N33" t="str" cm="1">
        <f t="array" ref="N33">_xlfn.IFS(M33&lt;40,"Queit",M33&lt;70,"Modest",M33&lt;100,"Good",M33&gt;=100,"Busy")</f>
        <v>Good</v>
      </c>
    </row>
    <row r="34" spans="1:14" x14ac:dyDescent="0.35">
      <c r="A34" s="85">
        <v>126</v>
      </c>
      <c r="B34" s="86">
        <v>44687</v>
      </c>
      <c r="C34" s="85" t="s">
        <v>52</v>
      </c>
      <c r="D34" s="85" t="s">
        <v>40</v>
      </c>
      <c r="E34" s="85" t="s">
        <v>50</v>
      </c>
      <c r="F34" s="85" t="s">
        <v>26</v>
      </c>
      <c r="G34" s="85" t="s">
        <v>46</v>
      </c>
      <c r="H34" s="87">
        <v>14.700014999999999</v>
      </c>
      <c r="I34" s="87">
        <v>59</v>
      </c>
      <c r="J34" s="87">
        <v>15.292482</v>
      </c>
      <c r="K34" s="85">
        <v>23</v>
      </c>
      <c r="L34" s="85">
        <v>55</v>
      </c>
      <c r="M34" s="85">
        <f t="shared" si="0"/>
        <v>78</v>
      </c>
      <c r="N34" t="str" cm="1">
        <f t="array" ref="N34">_xlfn.IFS(M34&lt;40,"Queit",M34&lt;70,"Modest",M34&lt;100,"Good",M34&gt;=100,"Busy")</f>
        <v>Good</v>
      </c>
    </row>
    <row r="35" spans="1:14" x14ac:dyDescent="0.35">
      <c r="A35" s="85">
        <v>127</v>
      </c>
      <c r="B35" s="86">
        <v>44688</v>
      </c>
      <c r="C35" s="85" t="s">
        <v>52</v>
      </c>
      <c r="D35" s="85" t="s">
        <v>40</v>
      </c>
      <c r="E35" s="85" t="s">
        <v>41</v>
      </c>
      <c r="F35" s="85" t="s">
        <v>42</v>
      </c>
      <c r="G35" s="85" t="s">
        <v>46</v>
      </c>
      <c r="H35" s="87">
        <v>15.674985</v>
      </c>
      <c r="I35" s="87">
        <v>54.125</v>
      </c>
      <c r="J35" s="87">
        <v>10.750150000000001</v>
      </c>
      <c r="K35" s="85">
        <v>19</v>
      </c>
      <c r="L35" s="85">
        <v>54</v>
      </c>
      <c r="M35" s="85">
        <f t="shared" si="0"/>
        <v>73</v>
      </c>
      <c r="N35" t="str" cm="1">
        <f t="array" ref="N35">_xlfn.IFS(M35&lt;40,"Queit",M35&lt;70,"Modest",M35&lt;100,"Good",M35&gt;=100,"Busy")</f>
        <v>Good</v>
      </c>
    </row>
    <row r="36" spans="1:14" x14ac:dyDescent="0.35">
      <c r="A36" s="85">
        <v>128</v>
      </c>
      <c r="B36" s="86">
        <v>44689</v>
      </c>
      <c r="C36" s="85" t="s">
        <v>52</v>
      </c>
      <c r="D36" s="85" t="s">
        <v>40</v>
      </c>
      <c r="E36" s="85" t="s">
        <v>44</v>
      </c>
      <c r="F36" s="85" t="s">
        <v>42</v>
      </c>
      <c r="G36" s="85" t="s">
        <v>46</v>
      </c>
      <c r="H36" s="87">
        <v>17.775000000000002</v>
      </c>
      <c r="I36" s="87">
        <v>63.166699999999999</v>
      </c>
      <c r="J36" s="87">
        <v>5.0007124999999997</v>
      </c>
      <c r="K36" s="85">
        <v>7</v>
      </c>
      <c r="L36" s="85">
        <v>73</v>
      </c>
      <c r="M36" s="85">
        <f t="shared" si="0"/>
        <v>80</v>
      </c>
      <c r="N36" t="str" cm="1">
        <f t="array" ref="N36">_xlfn.IFS(M36&lt;40,"Queit",M36&lt;70,"Modest",M36&lt;100,"Good",M36&gt;=100,"Busy")</f>
        <v>Good</v>
      </c>
    </row>
    <row r="37" spans="1:14" x14ac:dyDescent="0.35">
      <c r="A37" s="85">
        <v>129</v>
      </c>
      <c r="B37" s="86">
        <v>44690</v>
      </c>
      <c r="C37" s="85" t="s">
        <v>52</v>
      </c>
      <c r="D37" s="85" t="s">
        <v>40</v>
      </c>
      <c r="E37" s="85" t="s">
        <v>45</v>
      </c>
      <c r="F37" s="85" t="s">
        <v>26</v>
      </c>
      <c r="G37" s="85" t="s">
        <v>46</v>
      </c>
      <c r="H37" s="87">
        <v>18.374984999999999</v>
      </c>
      <c r="I37" s="87">
        <v>58.875</v>
      </c>
      <c r="J37" s="87">
        <v>11.792</v>
      </c>
      <c r="K37" s="85">
        <v>8</v>
      </c>
      <c r="L37" s="85">
        <v>77</v>
      </c>
      <c r="M37" s="85">
        <f t="shared" si="0"/>
        <v>85</v>
      </c>
      <c r="N37" t="str" cm="1">
        <f t="array" ref="N37">_xlfn.IFS(M37&lt;40,"Queit",M37&lt;70,"Modest",M37&lt;100,"Good",M37&gt;=100,"Busy")</f>
        <v>Good</v>
      </c>
    </row>
    <row r="38" spans="1:14" x14ac:dyDescent="0.35">
      <c r="A38" s="85">
        <v>130</v>
      </c>
      <c r="B38" s="86">
        <v>44691</v>
      </c>
      <c r="C38" s="85" t="s">
        <v>52</v>
      </c>
      <c r="D38" s="85" t="s">
        <v>40</v>
      </c>
      <c r="E38" s="85" t="s">
        <v>47</v>
      </c>
      <c r="F38" s="85" t="s">
        <v>26</v>
      </c>
      <c r="G38" s="85" t="s">
        <v>46</v>
      </c>
      <c r="H38" s="87">
        <v>18</v>
      </c>
      <c r="I38" s="87">
        <v>48.916699999999999</v>
      </c>
      <c r="J38" s="87">
        <v>7.7499569999999993</v>
      </c>
      <c r="K38" s="85">
        <v>6</v>
      </c>
      <c r="L38" s="85">
        <v>76</v>
      </c>
      <c r="M38" s="85">
        <f t="shared" si="0"/>
        <v>82</v>
      </c>
      <c r="N38" t="str" cm="1">
        <f t="array" ref="N38">_xlfn.IFS(M38&lt;40,"Queit",M38&lt;70,"Modest",M38&lt;100,"Good",M38&gt;=100,"Busy")</f>
        <v>Good</v>
      </c>
    </row>
    <row r="39" spans="1:14" x14ac:dyDescent="0.35">
      <c r="A39" s="85">
        <v>131</v>
      </c>
      <c r="B39" s="86">
        <v>44692</v>
      </c>
      <c r="C39" s="85" t="s">
        <v>52</v>
      </c>
      <c r="D39" s="85" t="s">
        <v>40</v>
      </c>
      <c r="E39" s="85" t="s">
        <v>48</v>
      </c>
      <c r="F39" s="85" t="s">
        <v>26</v>
      </c>
      <c r="G39" s="85" t="s">
        <v>46</v>
      </c>
      <c r="H39" s="87">
        <v>17.100000000000001</v>
      </c>
      <c r="I39" s="87">
        <v>63.291699999999992</v>
      </c>
      <c r="J39" s="87">
        <v>8.0830140000000004</v>
      </c>
      <c r="K39" s="85">
        <v>4</v>
      </c>
      <c r="L39" s="85">
        <v>55</v>
      </c>
      <c r="M39" s="85">
        <f t="shared" si="0"/>
        <v>59</v>
      </c>
      <c r="N39" t="str" cm="1">
        <f t="array" ref="N39">_xlfn.IFS(M39&lt;40,"Queit",M39&lt;70,"Modest",M39&lt;100,"Good",M39&gt;=100,"Busy")</f>
        <v>Modest</v>
      </c>
    </row>
    <row r="40" spans="1:14" x14ac:dyDescent="0.35">
      <c r="A40" s="85">
        <v>132</v>
      </c>
      <c r="B40" s="86">
        <v>44693</v>
      </c>
      <c r="C40" s="85" t="s">
        <v>52</v>
      </c>
      <c r="D40" s="85" t="s">
        <v>40</v>
      </c>
      <c r="E40" s="85" t="s">
        <v>49</v>
      </c>
      <c r="F40" s="85" t="s">
        <v>26</v>
      </c>
      <c r="G40" s="85" t="s">
        <v>46</v>
      </c>
      <c r="H40" s="87">
        <v>14.587515</v>
      </c>
      <c r="I40" s="87">
        <v>74.75</v>
      </c>
      <c r="J40" s="87">
        <v>12.707689</v>
      </c>
      <c r="K40" s="85">
        <v>9</v>
      </c>
      <c r="L40" s="85">
        <v>59</v>
      </c>
      <c r="M40" s="85">
        <f t="shared" si="0"/>
        <v>68</v>
      </c>
      <c r="N40" t="str" cm="1">
        <f t="array" ref="N40">_xlfn.IFS(M40&lt;40,"Queit",M40&lt;70,"Modest",M40&lt;100,"Good",M40&gt;=100,"Busy")</f>
        <v>Modest</v>
      </c>
    </row>
    <row r="41" spans="1:14" x14ac:dyDescent="0.35">
      <c r="A41" s="85">
        <v>136</v>
      </c>
      <c r="B41" s="86">
        <v>44697</v>
      </c>
      <c r="C41" s="85" t="s">
        <v>52</v>
      </c>
      <c r="D41" s="85" t="s">
        <v>40</v>
      </c>
      <c r="E41" s="85" t="s">
        <v>45</v>
      </c>
      <c r="F41" s="85" t="s">
        <v>26</v>
      </c>
      <c r="G41" s="85" t="s">
        <v>46</v>
      </c>
      <c r="H41" s="87">
        <v>23.85</v>
      </c>
      <c r="I41" s="87">
        <v>78.791699999999992</v>
      </c>
      <c r="J41" s="87">
        <v>8.5003570000000011</v>
      </c>
      <c r="K41" s="85">
        <v>9</v>
      </c>
      <c r="L41" s="85">
        <v>75</v>
      </c>
      <c r="M41" s="85">
        <f t="shared" si="0"/>
        <v>84</v>
      </c>
      <c r="N41" t="str" cm="1">
        <f t="array" ref="N41">_xlfn.IFS(M41&lt;40,"Queit",M41&lt;70,"Modest",M41&lt;100,"Good",M41&gt;=100,"Busy")</f>
        <v>Good</v>
      </c>
    </row>
    <row r="42" spans="1:14" x14ac:dyDescent="0.35">
      <c r="A42" s="85">
        <v>140</v>
      </c>
      <c r="B42" s="86">
        <v>44701</v>
      </c>
      <c r="C42" s="85" t="s">
        <v>52</v>
      </c>
      <c r="D42" s="85" t="s">
        <v>40</v>
      </c>
      <c r="E42" s="85" t="s">
        <v>50</v>
      </c>
      <c r="F42" s="85" t="s">
        <v>26</v>
      </c>
      <c r="G42" s="85" t="s">
        <v>46</v>
      </c>
      <c r="H42" s="87">
        <v>14.812514999999999</v>
      </c>
      <c r="I42" s="87">
        <v>71.958299999999994</v>
      </c>
      <c r="J42" s="87">
        <v>8.3758710000000001</v>
      </c>
      <c r="K42" s="85">
        <v>19</v>
      </c>
      <c r="L42" s="85">
        <v>54</v>
      </c>
      <c r="M42" s="85">
        <f t="shared" si="0"/>
        <v>73</v>
      </c>
      <c r="N42" t="str" cm="1">
        <f t="array" ref="N42">_xlfn.IFS(M42&lt;40,"Queit",M42&lt;70,"Modest",M42&lt;100,"Good",M42&gt;=100,"Busy")</f>
        <v>Good</v>
      </c>
    </row>
    <row r="43" spans="1:14" x14ac:dyDescent="0.35">
      <c r="A43" s="85">
        <v>141</v>
      </c>
      <c r="B43" s="86">
        <v>44702</v>
      </c>
      <c r="C43" s="85" t="s">
        <v>52</v>
      </c>
      <c r="D43" s="85" t="s">
        <v>40</v>
      </c>
      <c r="E43" s="85" t="s">
        <v>41</v>
      </c>
      <c r="F43" s="85" t="s">
        <v>42</v>
      </c>
      <c r="G43" s="85" t="s">
        <v>46</v>
      </c>
      <c r="H43" s="87">
        <v>20.849985</v>
      </c>
      <c r="I43" s="87">
        <v>62.666699999999999</v>
      </c>
      <c r="J43" s="87">
        <v>8.0835499999999989</v>
      </c>
      <c r="K43" s="85">
        <v>16</v>
      </c>
      <c r="L43" s="85">
        <v>55</v>
      </c>
      <c r="M43" s="85">
        <f t="shared" si="0"/>
        <v>71</v>
      </c>
      <c r="N43" t="str" cm="1">
        <f t="array" ref="N43">_xlfn.IFS(M43&lt;40,"Queit",M43&lt;70,"Modest",M43&lt;100,"Good",M43&gt;=100,"Busy")</f>
        <v>Good</v>
      </c>
    </row>
    <row r="44" spans="1:14" x14ac:dyDescent="0.35">
      <c r="A44" s="85">
        <v>142</v>
      </c>
      <c r="B44" s="86">
        <v>44703</v>
      </c>
      <c r="C44" s="85" t="s">
        <v>52</v>
      </c>
      <c r="D44" s="85" t="s">
        <v>40</v>
      </c>
      <c r="E44" s="85" t="s">
        <v>44</v>
      </c>
      <c r="F44" s="85" t="s">
        <v>42</v>
      </c>
      <c r="G44" s="85" t="s">
        <v>46</v>
      </c>
      <c r="H44" s="87">
        <v>20.137499999999999</v>
      </c>
      <c r="I44" s="87">
        <v>74.958299999999994</v>
      </c>
      <c r="J44" s="87">
        <v>9.9165360000000007</v>
      </c>
      <c r="K44" s="85">
        <v>4</v>
      </c>
      <c r="L44" s="85">
        <v>51</v>
      </c>
      <c r="M44" s="85">
        <f t="shared" si="0"/>
        <v>55</v>
      </c>
      <c r="N44" t="str" cm="1">
        <f t="array" ref="N44">_xlfn.IFS(M44&lt;40,"Queit",M44&lt;70,"Modest",M44&lt;100,"Good",M44&gt;=100,"Busy")</f>
        <v>Modest</v>
      </c>
    </row>
    <row r="45" spans="1:14" x14ac:dyDescent="0.35">
      <c r="A45" s="85">
        <v>145</v>
      </c>
      <c r="B45" s="86">
        <v>44706</v>
      </c>
      <c r="C45" s="85" t="s">
        <v>52</v>
      </c>
      <c r="D45" s="85" t="s">
        <v>40</v>
      </c>
      <c r="E45" s="85" t="s">
        <v>48</v>
      </c>
      <c r="F45" s="85" t="s">
        <v>26</v>
      </c>
      <c r="G45" s="85" t="s">
        <v>46</v>
      </c>
      <c r="H45" s="87">
        <v>16.799985</v>
      </c>
      <c r="I45" s="87">
        <v>69.625</v>
      </c>
      <c r="J45" s="87">
        <v>10.333611000000001</v>
      </c>
      <c r="K45" s="85">
        <v>11</v>
      </c>
      <c r="L45" s="85">
        <v>19</v>
      </c>
      <c r="M45" s="85">
        <f t="shared" si="0"/>
        <v>30</v>
      </c>
      <c r="N45" t="str" cm="1">
        <f t="array" ref="N45">_xlfn.IFS(M45&lt;40,"Queit",M45&lt;70,"Modest",M45&lt;100,"Good",M45&gt;=100,"Busy")</f>
        <v>Queit</v>
      </c>
    </row>
    <row r="46" spans="1:14" x14ac:dyDescent="0.35">
      <c r="A46" s="85">
        <v>146</v>
      </c>
      <c r="B46" s="86">
        <v>44707</v>
      </c>
      <c r="C46" s="85" t="s">
        <v>52</v>
      </c>
      <c r="D46" s="85" t="s">
        <v>40</v>
      </c>
      <c r="E46" s="85" t="s">
        <v>49</v>
      </c>
      <c r="F46" s="85" t="s">
        <v>26</v>
      </c>
      <c r="G46" s="85" t="s">
        <v>46</v>
      </c>
      <c r="H46" s="87">
        <v>16.875</v>
      </c>
      <c r="I46" s="87">
        <v>67.75</v>
      </c>
      <c r="J46" s="87">
        <v>13.376014</v>
      </c>
      <c r="K46" s="85">
        <v>22</v>
      </c>
      <c r="L46" s="85">
        <v>34</v>
      </c>
      <c r="M46" s="85">
        <f t="shared" si="0"/>
        <v>56</v>
      </c>
      <c r="N46" t="str" cm="1">
        <f t="array" ref="N46">_xlfn.IFS(M46&lt;40,"Queit",M46&lt;70,"Modest",M46&lt;100,"Good",M46&gt;=100,"Busy")</f>
        <v>Modest</v>
      </c>
    </row>
    <row r="47" spans="1:14" x14ac:dyDescent="0.35">
      <c r="A47" s="85">
        <v>147</v>
      </c>
      <c r="B47" s="86">
        <v>44708</v>
      </c>
      <c r="C47" s="85" t="s">
        <v>52</v>
      </c>
      <c r="D47" s="85" t="s">
        <v>40</v>
      </c>
      <c r="E47" s="85" t="s">
        <v>50</v>
      </c>
      <c r="F47" s="85" t="s">
        <v>26</v>
      </c>
      <c r="G47" s="85" t="s">
        <v>46</v>
      </c>
      <c r="H47" s="87">
        <v>16.912485</v>
      </c>
      <c r="I47" s="87">
        <v>65.375</v>
      </c>
      <c r="J47" s="87">
        <v>16.125492999999999</v>
      </c>
      <c r="K47" s="85">
        <v>25</v>
      </c>
      <c r="L47" s="85">
        <v>36</v>
      </c>
      <c r="M47" s="85">
        <f t="shared" si="0"/>
        <v>61</v>
      </c>
      <c r="N47" t="str" cm="1">
        <f t="array" ref="N47">_xlfn.IFS(M47&lt;40,"Queit",M47&lt;70,"Modest",M47&lt;100,"Good",M47&gt;=100,"Busy")</f>
        <v>Modest</v>
      </c>
    </row>
    <row r="48" spans="1:14" x14ac:dyDescent="0.35">
      <c r="A48" s="85">
        <v>148</v>
      </c>
      <c r="B48" s="86">
        <v>44709</v>
      </c>
      <c r="C48" s="85" t="s">
        <v>52</v>
      </c>
      <c r="D48" s="85" t="s">
        <v>40</v>
      </c>
      <c r="E48" s="85" t="s">
        <v>41</v>
      </c>
      <c r="F48" s="85" t="s">
        <v>42</v>
      </c>
      <c r="G48" s="85" t="s">
        <v>46</v>
      </c>
      <c r="H48" s="87">
        <v>20.662514999999999</v>
      </c>
      <c r="I48" s="87">
        <v>72.958299999999994</v>
      </c>
      <c r="J48" s="87">
        <v>15.416164</v>
      </c>
      <c r="K48" s="85">
        <v>16</v>
      </c>
      <c r="L48" s="85">
        <v>45</v>
      </c>
      <c r="M48" s="85">
        <f t="shared" si="0"/>
        <v>61</v>
      </c>
      <c r="N48" t="str" cm="1">
        <f t="array" ref="N48">_xlfn.IFS(M48&lt;40,"Queit",M48&lt;70,"Modest",M48&lt;100,"Good",M48&gt;=100,"Busy")</f>
        <v>Modest</v>
      </c>
    </row>
    <row r="49" spans="1:14" x14ac:dyDescent="0.35">
      <c r="A49" s="85">
        <v>149</v>
      </c>
      <c r="B49" s="86">
        <v>44710</v>
      </c>
      <c r="C49" s="85" t="s">
        <v>52</v>
      </c>
      <c r="D49" s="85" t="s">
        <v>40</v>
      </c>
      <c r="E49" s="85" t="s">
        <v>44</v>
      </c>
      <c r="F49" s="85" t="s">
        <v>42</v>
      </c>
      <c r="G49" s="85" t="s">
        <v>46</v>
      </c>
      <c r="H49" s="87">
        <v>22.656510000000001</v>
      </c>
      <c r="I49" s="87">
        <v>81.875</v>
      </c>
      <c r="J49" s="87">
        <v>14.333845999999999</v>
      </c>
      <c r="K49" s="85">
        <v>5</v>
      </c>
      <c r="L49" s="85">
        <v>72</v>
      </c>
      <c r="M49" s="85">
        <f t="shared" si="0"/>
        <v>77</v>
      </c>
      <c r="N49" t="str" cm="1">
        <f t="array" ref="N49">_xlfn.IFS(M49&lt;40,"Queit",M49&lt;70,"Modest",M49&lt;100,"Good",M49&gt;=100,"Busy")</f>
        <v>Good</v>
      </c>
    </row>
    <row r="50" spans="1:14" x14ac:dyDescent="0.35">
      <c r="A50" s="85">
        <v>150</v>
      </c>
      <c r="B50" s="86">
        <v>44711</v>
      </c>
      <c r="C50" s="85" t="s">
        <v>52</v>
      </c>
      <c r="D50" s="85" t="s">
        <v>22</v>
      </c>
      <c r="E50" s="85" t="s">
        <v>45</v>
      </c>
      <c r="F50" s="85" t="s">
        <v>42</v>
      </c>
      <c r="G50" s="85" t="s">
        <v>46</v>
      </c>
      <c r="H50" s="87">
        <v>20.624984999999999</v>
      </c>
      <c r="I50" s="87">
        <v>68.5</v>
      </c>
      <c r="J50" s="87">
        <v>8.7920750000000005</v>
      </c>
      <c r="K50" s="85">
        <v>2</v>
      </c>
      <c r="L50" s="85">
        <v>56</v>
      </c>
      <c r="M50" s="85">
        <f t="shared" si="0"/>
        <v>58</v>
      </c>
      <c r="N50" t="str" cm="1">
        <f t="array" ref="N50">_xlfn.IFS(M50&lt;40,"Queit",M50&lt;70,"Modest",M50&lt;100,"Good",M50&gt;=100,"Busy")</f>
        <v>Modest</v>
      </c>
    </row>
    <row r="51" spans="1:14" x14ac:dyDescent="0.35">
      <c r="A51" s="85">
        <v>151</v>
      </c>
      <c r="B51" s="86">
        <v>44712</v>
      </c>
      <c r="C51" s="85" t="s">
        <v>52</v>
      </c>
      <c r="D51" s="85" t="s">
        <v>40</v>
      </c>
      <c r="E51" s="85" t="s">
        <v>47</v>
      </c>
      <c r="F51" s="85" t="s">
        <v>26</v>
      </c>
      <c r="G51" s="85" t="s">
        <v>46</v>
      </c>
      <c r="H51" s="87">
        <v>14.625</v>
      </c>
      <c r="I51" s="87">
        <v>63.666699999999999</v>
      </c>
      <c r="J51" s="87">
        <v>7.4590429999999994</v>
      </c>
      <c r="K51" s="85">
        <v>4</v>
      </c>
      <c r="L51" s="85">
        <v>69</v>
      </c>
      <c r="M51" s="85">
        <f t="shared" si="0"/>
        <v>73</v>
      </c>
      <c r="N51" t="str" cm="1">
        <f t="array" ref="N51">_xlfn.IFS(M51&lt;40,"Queit",M51&lt;70,"Modest",M51&lt;100,"Good",M51&gt;=100,"Busy")</f>
        <v>Good</v>
      </c>
    </row>
    <row r="52" spans="1:14" x14ac:dyDescent="0.35">
      <c r="A52" s="85">
        <v>244</v>
      </c>
      <c r="B52" s="86">
        <v>44805</v>
      </c>
      <c r="C52" s="85" t="s">
        <v>54</v>
      </c>
      <c r="D52" s="85" t="s">
        <v>40</v>
      </c>
      <c r="E52" s="85" t="s">
        <v>49</v>
      </c>
      <c r="F52" s="85" t="s">
        <v>26</v>
      </c>
      <c r="G52" s="85" t="s">
        <v>46</v>
      </c>
      <c r="H52" s="87">
        <v>8.9249850000000013</v>
      </c>
      <c r="I52" s="87">
        <v>63.916700000000006</v>
      </c>
      <c r="J52" s="87">
        <v>9.5003320000000002</v>
      </c>
      <c r="K52" s="85">
        <v>2</v>
      </c>
      <c r="L52" s="85">
        <v>31</v>
      </c>
      <c r="M52" s="85">
        <f t="shared" si="0"/>
        <v>33</v>
      </c>
      <c r="N52" t="str" cm="1">
        <f t="array" ref="N52">_xlfn.IFS(M52&lt;40,"Queit",M52&lt;70,"Modest",M52&lt;100,"Good",M52&gt;=100,"Busy")</f>
        <v>Queit</v>
      </c>
    </row>
    <row r="53" spans="1:14" x14ac:dyDescent="0.35">
      <c r="A53" s="85">
        <v>246</v>
      </c>
      <c r="B53" s="86">
        <v>44807</v>
      </c>
      <c r="C53" s="85" t="s">
        <v>54</v>
      </c>
      <c r="D53" s="85" t="s">
        <v>40</v>
      </c>
      <c r="E53" s="85" t="s">
        <v>41</v>
      </c>
      <c r="F53" s="85" t="s">
        <v>42</v>
      </c>
      <c r="G53" s="85" t="s">
        <v>46</v>
      </c>
      <c r="H53" s="87">
        <v>17.287514999999999</v>
      </c>
      <c r="I53" s="87">
        <v>71.666700000000006</v>
      </c>
      <c r="J53" s="87">
        <v>12.416774999999999</v>
      </c>
      <c r="K53" s="85">
        <v>13</v>
      </c>
      <c r="L53" s="85">
        <v>29</v>
      </c>
      <c r="M53" s="85">
        <f t="shared" si="0"/>
        <v>42</v>
      </c>
      <c r="N53" t="str" cm="1">
        <f t="array" ref="N53">_xlfn.IFS(M53&lt;40,"Queit",M53&lt;70,"Modest",M53&lt;100,"Good",M53&gt;=100,"Busy")</f>
        <v>Modest</v>
      </c>
    </row>
    <row r="54" spans="1:14" x14ac:dyDescent="0.35">
      <c r="A54" s="85">
        <v>247</v>
      </c>
      <c r="B54" s="86">
        <v>44808</v>
      </c>
      <c r="C54" s="85" t="s">
        <v>54</v>
      </c>
      <c r="D54" s="85" t="s">
        <v>40</v>
      </c>
      <c r="E54" s="85" t="s">
        <v>44</v>
      </c>
      <c r="F54" s="85" t="s">
        <v>42</v>
      </c>
      <c r="G54" s="85" t="s">
        <v>46</v>
      </c>
      <c r="H54" s="87">
        <v>16.943490000000001</v>
      </c>
      <c r="I54" s="87">
        <v>74.208300000000008</v>
      </c>
      <c r="J54" s="87">
        <v>13.833289000000001</v>
      </c>
      <c r="K54" s="85">
        <v>2</v>
      </c>
      <c r="L54" s="85">
        <v>10</v>
      </c>
      <c r="M54" s="85">
        <f t="shared" si="0"/>
        <v>12</v>
      </c>
      <c r="N54" t="str" cm="1">
        <f t="array" ref="N54">_xlfn.IFS(M54&lt;40,"Queit",M54&lt;70,"Modest",M54&lt;100,"Good",M54&gt;=100,"Busy")</f>
        <v>Queit</v>
      </c>
    </row>
    <row r="55" spans="1:14" x14ac:dyDescent="0.35">
      <c r="A55" s="85">
        <v>253</v>
      </c>
      <c r="B55" s="86">
        <v>44814</v>
      </c>
      <c r="C55" s="85" t="s">
        <v>54</v>
      </c>
      <c r="D55" s="85" t="s">
        <v>40</v>
      </c>
      <c r="E55" s="85" t="s">
        <v>41</v>
      </c>
      <c r="F55" s="85" t="s">
        <v>42</v>
      </c>
      <c r="G55" s="85" t="s">
        <v>46</v>
      </c>
      <c r="H55" s="87">
        <v>14.812514999999999</v>
      </c>
      <c r="I55" s="87">
        <v>75.375</v>
      </c>
      <c r="J55" s="87">
        <v>10.291736</v>
      </c>
      <c r="K55" s="85">
        <v>14</v>
      </c>
      <c r="L55" s="85">
        <v>28</v>
      </c>
      <c r="M55" s="85">
        <f t="shared" si="0"/>
        <v>42</v>
      </c>
      <c r="N55" t="str" cm="1">
        <f t="array" ref="N55">_xlfn.IFS(M55&lt;40,"Queit",M55&lt;70,"Modest",M55&lt;100,"Good",M55&gt;=100,"Busy")</f>
        <v>Modest</v>
      </c>
    </row>
    <row r="56" spans="1:14" x14ac:dyDescent="0.35">
      <c r="A56" s="85">
        <v>254</v>
      </c>
      <c r="B56" s="86">
        <v>44815</v>
      </c>
      <c r="C56" s="85" t="s">
        <v>54</v>
      </c>
      <c r="D56" s="85" t="s">
        <v>40</v>
      </c>
      <c r="E56" s="85" t="s">
        <v>44</v>
      </c>
      <c r="F56" s="85" t="s">
        <v>42</v>
      </c>
      <c r="G56" s="85" t="s">
        <v>46</v>
      </c>
      <c r="H56" s="87">
        <v>17.295660000000002</v>
      </c>
      <c r="I56" s="87">
        <v>71.375</v>
      </c>
      <c r="J56" s="87">
        <v>7.7086180000000004</v>
      </c>
      <c r="K56" s="85">
        <v>20</v>
      </c>
      <c r="L56" s="85">
        <v>29</v>
      </c>
      <c r="M56" s="85">
        <f t="shared" si="0"/>
        <v>49</v>
      </c>
      <c r="N56" t="str" cm="1">
        <f t="array" ref="N56">_xlfn.IFS(M56&lt;40,"Queit",M56&lt;70,"Modest",M56&lt;100,"Good",M56&gt;=100,"Busy")</f>
        <v>Modest</v>
      </c>
    </row>
    <row r="57" spans="1:14" x14ac:dyDescent="0.35">
      <c r="A57" s="85">
        <v>255</v>
      </c>
      <c r="B57" s="86">
        <v>44816</v>
      </c>
      <c r="C57" s="85" t="s">
        <v>54</v>
      </c>
      <c r="D57" s="85" t="s">
        <v>40</v>
      </c>
      <c r="E57" s="85" t="s">
        <v>45</v>
      </c>
      <c r="F57" s="85" t="s">
        <v>26</v>
      </c>
      <c r="G57" s="85" t="s">
        <v>46</v>
      </c>
      <c r="H57" s="87">
        <v>14.634765</v>
      </c>
      <c r="I57" s="87">
        <v>69.217399999999998</v>
      </c>
      <c r="J57" s="87">
        <v>5.9571710000000007</v>
      </c>
      <c r="K57" s="85">
        <v>7</v>
      </c>
      <c r="L57" s="85">
        <v>34</v>
      </c>
      <c r="M57" s="85">
        <f t="shared" si="0"/>
        <v>41</v>
      </c>
      <c r="N57" t="str" cm="1">
        <f t="array" ref="N57">_xlfn.IFS(M57&lt;40,"Queit",M57&lt;70,"Modest",M57&lt;100,"Good",M57&gt;=100,"Busy")</f>
        <v>Modest</v>
      </c>
    </row>
    <row r="58" spans="1:14" x14ac:dyDescent="0.35">
      <c r="A58" s="85">
        <v>256</v>
      </c>
      <c r="B58" s="86">
        <v>44817</v>
      </c>
      <c r="C58" s="85" t="s">
        <v>54</v>
      </c>
      <c r="D58" s="85" t="s">
        <v>40</v>
      </c>
      <c r="E58" s="85" t="s">
        <v>47</v>
      </c>
      <c r="F58" s="85" t="s">
        <v>26</v>
      </c>
      <c r="G58" s="85" t="s">
        <v>46</v>
      </c>
      <c r="H58" s="87">
        <v>14.282594999999999</v>
      </c>
      <c r="I58" s="87">
        <v>71.25</v>
      </c>
      <c r="J58" s="87">
        <v>9.5008680000000005</v>
      </c>
      <c r="K58" s="85">
        <v>6</v>
      </c>
      <c r="L58" s="85">
        <v>35</v>
      </c>
      <c r="M58" s="85">
        <f t="shared" si="0"/>
        <v>41</v>
      </c>
      <c r="N58" t="str" cm="1">
        <f t="array" ref="N58">_xlfn.IFS(M58&lt;40,"Queit",M58&lt;70,"Modest",M58&lt;100,"Good",M58&gt;=100,"Busy")</f>
        <v>Modest</v>
      </c>
    </row>
    <row r="59" spans="1:14" x14ac:dyDescent="0.35">
      <c r="A59" s="85">
        <v>257</v>
      </c>
      <c r="B59" s="86">
        <v>44818</v>
      </c>
      <c r="C59" s="85" t="s">
        <v>54</v>
      </c>
      <c r="D59" s="85" t="s">
        <v>40</v>
      </c>
      <c r="E59" s="85" t="s">
        <v>48</v>
      </c>
      <c r="F59" s="85" t="s">
        <v>26</v>
      </c>
      <c r="G59" s="85" t="s">
        <v>46</v>
      </c>
      <c r="H59" s="87">
        <v>16.434765000000002</v>
      </c>
      <c r="I59" s="87">
        <v>69.708299999999994</v>
      </c>
      <c r="J59" s="87">
        <v>11.209099999999999</v>
      </c>
      <c r="K59" s="85">
        <v>6</v>
      </c>
      <c r="L59" s="85">
        <v>37</v>
      </c>
      <c r="M59" s="85">
        <f t="shared" si="0"/>
        <v>43</v>
      </c>
      <c r="N59" t="str" cm="1">
        <f t="array" ref="N59">_xlfn.IFS(M59&lt;40,"Queit",M59&lt;70,"Modest",M59&lt;100,"Good",M59&gt;=100,"Busy")</f>
        <v>Modest</v>
      </c>
    </row>
    <row r="60" spans="1:14" x14ac:dyDescent="0.35">
      <c r="A60" s="85">
        <v>261</v>
      </c>
      <c r="B60" s="86">
        <v>44822</v>
      </c>
      <c r="C60" s="85" t="s">
        <v>54</v>
      </c>
      <c r="D60" s="85" t="s">
        <v>40</v>
      </c>
      <c r="E60" s="85" t="s">
        <v>44</v>
      </c>
      <c r="F60" s="85" t="s">
        <v>42</v>
      </c>
      <c r="G60" s="85" t="s">
        <v>46</v>
      </c>
      <c r="H60" s="87">
        <v>14.9625</v>
      </c>
      <c r="I60" s="87">
        <v>69.5</v>
      </c>
      <c r="J60" s="87">
        <v>11.958361</v>
      </c>
      <c r="K60" s="85">
        <v>21</v>
      </c>
      <c r="L60" s="85">
        <v>28</v>
      </c>
      <c r="M60" s="85">
        <f t="shared" si="0"/>
        <v>49</v>
      </c>
      <c r="N60" t="str" cm="1">
        <f t="array" ref="N60">_xlfn.IFS(M60&lt;40,"Queit",M60&lt;70,"Modest",M60&lt;100,"Good",M60&gt;=100,"Busy")</f>
        <v>Modest</v>
      </c>
    </row>
    <row r="61" spans="1:14" x14ac:dyDescent="0.35">
      <c r="A61" s="85">
        <v>272</v>
      </c>
      <c r="B61" s="86">
        <v>44833</v>
      </c>
      <c r="C61" s="85" t="s">
        <v>54</v>
      </c>
      <c r="D61" s="85" t="s">
        <v>40</v>
      </c>
      <c r="E61" s="85" t="s">
        <v>49</v>
      </c>
      <c r="F61" s="85" t="s">
        <v>26</v>
      </c>
      <c r="G61" s="85" t="s">
        <v>46</v>
      </c>
      <c r="H61" s="87">
        <v>12.074985</v>
      </c>
      <c r="I61" s="87">
        <v>69.916699999999992</v>
      </c>
      <c r="J61" s="87">
        <v>11.583161</v>
      </c>
      <c r="K61" s="85">
        <v>4</v>
      </c>
      <c r="L61" s="85">
        <v>30</v>
      </c>
      <c r="M61" s="85">
        <f t="shared" si="0"/>
        <v>34</v>
      </c>
      <c r="N61" t="str" cm="1">
        <f t="array" ref="N61">_xlfn.IFS(M61&lt;40,"Queit",M61&lt;70,"Modest",M61&lt;100,"Good",M61&gt;=100,"Busy")</f>
        <v>Queit</v>
      </c>
    </row>
    <row r="62" spans="1:14" x14ac:dyDescent="0.35">
      <c r="A62" s="85">
        <v>273</v>
      </c>
      <c r="B62" s="86">
        <v>44834</v>
      </c>
      <c r="C62" s="85" t="s">
        <v>54</v>
      </c>
      <c r="D62" s="85" t="s">
        <v>40</v>
      </c>
      <c r="E62" s="85" t="s">
        <v>50</v>
      </c>
      <c r="F62" s="85" t="s">
        <v>26</v>
      </c>
      <c r="G62" s="85" t="s">
        <v>46</v>
      </c>
      <c r="H62" s="87">
        <v>13.5</v>
      </c>
      <c r="I62" s="87">
        <v>64.75</v>
      </c>
      <c r="J62" s="87">
        <v>13.833824999999999</v>
      </c>
      <c r="K62" s="85">
        <v>6</v>
      </c>
      <c r="L62" s="85">
        <v>38</v>
      </c>
      <c r="M62" s="85">
        <f t="shared" si="0"/>
        <v>44</v>
      </c>
      <c r="N62" t="str" cm="1">
        <f t="array" ref="N62">_xlfn.IFS(M62&lt;40,"Queit",M62&lt;70,"Modest",M62&lt;100,"Good",M62&gt;=100,"Busy")</f>
        <v>Modest</v>
      </c>
    </row>
    <row r="63" spans="1:14" x14ac:dyDescent="0.35">
      <c r="A63" s="85">
        <v>277</v>
      </c>
      <c r="B63" s="86">
        <v>44838</v>
      </c>
      <c r="C63" s="85" t="s">
        <v>54</v>
      </c>
      <c r="D63" s="85" t="s">
        <v>40</v>
      </c>
      <c r="E63" s="85" t="s">
        <v>47</v>
      </c>
      <c r="F63" s="85" t="s">
        <v>26</v>
      </c>
      <c r="G63" s="85" t="s">
        <v>46</v>
      </c>
      <c r="H63" s="87">
        <v>18.637515</v>
      </c>
      <c r="I63" s="87">
        <v>71</v>
      </c>
      <c r="J63" s="87">
        <v>13.792218</v>
      </c>
      <c r="K63" s="85">
        <v>3</v>
      </c>
      <c r="L63" s="85">
        <v>33</v>
      </c>
      <c r="M63" s="85">
        <f t="shared" si="0"/>
        <v>36</v>
      </c>
      <c r="N63" t="str" cm="1">
        <f t="array" ref="N63">_xlfn.IFS(M63&lt;40,"Queit",M63&lt;70,"Modest",M63&lt;100,"Good",M63&gt;=100,"Busy")</f>
        <v>Queit</v>
      </c>
    </row>
    <row r="64" spans="1:14" x14ac:dyDescent="0.35">
      <c r="A64" s="85">
        <v>278</v>
      </c>
      <c r="B64" s="86">
        <v>44839</v>
      </c>
      <c r="C64" s="85" t="s">
        <v>54</v>
      </c>
      <c r="D64" s="85" t="s">
        <v>40</v>
      </c>
      <c r="E64" s="85" t="s">
        <v>48</v>
      </c>
      <c r="F64" s="85" t="s">
        <v>26</v>
      </c>
      <c r="G64" s="85" t="s">
        <v>46</v>
      </c>
      <c r="H64" s="87">
        <v>17.587485000000001</v>
      </c>
      <c r="I64" s="87">
        <v>64.791699999999992</v>
      </c>
      <c r="J64" s="87">
        <v>11.87575</v>
      </c>
      <c r="K64" s="85">
        <v>8</v>
      </c>
      <c r="L64" s="85">
        <v>48</v>
      </c>
      <c r="M64" s="85">
        <f t="shared" si="0"/>
        <v>56</v>
      </c>
      <c r="N64" t="str" cm="1">
        <f t="array" ref="N64">_xlfn.IFS(M64&lt;40,"Queit",M64&lt;70,"Modest",M64&lt;100,"Good",M64&gt;=100,"Busy")</f>
        <v>Modest</v>
      </c>
    </row>
    <row r="65" spans="1:14" x14ac:dyDescent="0.35">
      <c r="A65" s="85">
        <v>279</v>
      </c>
      <c r="B65" s="86">
        <v>44840</v>
      </c>
      <c r="C65" s="85" t="s">
        <v>54</v>
      </c>
      <c r="D65" s="85" t="s">
        <v>40</v>
      </c>
      <c r="E65" s="85" t="s">
        <v>49</v>
      </c>
      <c r="F65" s="85" t="s">
        <v>26</v>
      </c>
      <c r="G65" s="85" t="s">
        <v>46</v>
      </c>
      <c r="H65" s="87">
        <v>19.6875</v>
      </c>
      <c r="I65" s="87">
        <v>62.083299999999994</v>
      </c>
      <c r="J65" s="87">
        <v>9.041917999999999</v>
      </c>
      <c r="K65" s="85">
        <v>11</v>
      </c>
      <c r="L65" s="85">
        <v>51</v>
      </c>
      <c r="M65" s="85">
        <f t="shared" si="0"/>
        <v>62</v>
      </c>
      <c r="N65" t="str" cm="1">
        <f t="array" ref="N65">_xlfn.IFS(M65&lt;40,"Queit",M65&lt;70,"Modest",M65&lt;100,"Good",M65&gt;=100,"Busy")</f>
        <v>Modest</v>
      </c>
    </row>
    <row r="66" spans="1:14" x14ac:dyDescent="0.35">
      <c r="A66" s="85">
        <v>280</v>
      </c>
      <c r="B66" s="86">
        <v>44841</v>
      </c>
      <c r="C66" s="85" t="s">
        <v>54</v>
      </c>
      <c r="D66" s="85" t="s">
        <v>40</v>
      </c>
      <c r="E66" s="85" t="s">
        <v>50</v>
      </c>
      <c r="F66" s="85" t="s">
        <v>26</v>
      </c>
      <c r="G66" s="85" t="s">
        <v>46</v>
      </c>
      <c r="H66" s="87">
        <v>15.112485</v>
      </c>
      <c r="I66" s="87">
        <v>68.416699999999992</v>
      </c>
      <c r="J66" s="87">
        <v>1.5002439000000001</v>
      </c>
      <c r="K66" s="85">
        <v>3</v>
      </c>
      <c r="L66" s="85">
        <v>26</v>
      </c>
      <c r="M66" s="85">
        <f t="shared" ref="M66:M129" si="1">K66+L66</f>
        <v>29</v>
      </c>
      <c r="N66" t="str" cm="1">
        <f t="array" ref="N66">_xlfn.IFS(M66&lt;40,"Queit",M66&lt;70,"Modest",M66&lt;100,"Good",M66&gt;=100,"Busy")</f>
        <v>Queit</v>
      </c>
    </row>
    <row r="67" spans="1:14" x14ac:dyDescent="0.35">
      <c r="A67" s="85">
        <v>281</v>
      </c>
      <c r="B67" s="86">
        <v>44842</v>
      </c>
      <c r="C67" s="85" t="s">
        <v>54</v>
      </c>
      <c r="D67" s="85" t="s">
        <v>40</v>
      </c>
      <c r="E67" s="85" t="s">
        <v>41</v>
      </c>
      <c r="F67" s="85" t="s">
        <v>42</v>
      </c>
      <c r="G67" s="85" t="s">
        <v>46</v>
      </c>
      <c r="H67" s="87">
        <v>15.412500000000001</v>
      </c>
      <c r="I67" s="87">
        <v>70.125</v>
      </c>
      <c r="J67" s="87">
        <v>3.0420813999999998</v>
      </c>
      <c r="K67" s="85">
        <v>18</v>
      </c>
      <c r="L67" s="85">
        <v>32</v>
      </c>
      <c r="M67" s="85">
        <f t="shared" si="1"/>
        <v>50</v>
      </c>
      <c r="N67" t="str" cm="1">
        <f t="array" ref="N67">_xlfn.IFS(M67&lt;40,"Queit",M67&lt;70,"Modest",M67&lt;100,"Good",M67&gt;=100,"Busy")</f>
        <v>Modest</v>
      </c>
    </row>
    <row r="68" spans="1:14" x14ac:dyDescent="0.35">
      <c r="A68" s="85">
        <v>282</v>
      </c>
      <c r="B68" s="86">
        <v>44843</v>
      </c>
      <c r="C68" s="85" t="s">
        <v>54</v>
      </c>
      <c r="D68" s="85" t="s">
        <v>40</v>
      </c>
      <c r="E68" s="85" t="s">
        <v>44</v>
      </c>
      <c r="F68" s="85" t="s">
        <v>42</v>
      </c>
      <c r="G68" s="85" t="s">
        <v>46</v>
      </c>
      <c r="H68" s="87">
        <v>19.200015</v>
      </c>
      <c r="I68" s="87">
        <v>72.75</v>
      </c>
      <c r="J68" s="87">
        <v>4.2511500000000009</v>
      </c>
      <c r="K68" s="85">
        <v>24</v>
      </c>
      <c r="L68" s="85">
        <v>34</v>
      </c>
      <c r="M68" s="85">
        <f t="shared" si="1"/>
        <v>58</v>
      </c>
      <c r="N68" t="str" cm="1">
        <f t="array" ref="N68">_xlfn.IFS(M68&lt;40,"Queit",M68&lt;70,"Modest",M68&lt;100,"Good",M68&gt;=100,"Busy")</f>
        <v>Modest</v>
      </c>
    </row>
    <row r="69" spans="1:14" x14ac:dyDescent="0.35">
      <c r="A69" s="85">
        <v>283</v>
      </c>
      <c r="B69" s="86">
        <v>44844</v>
      </c>
      <c r="C69" s="85" t="s">
        <v>54</v>
      </c>
      <c r="D69" s="85" t="s">
        <v>22</v>
      </c>
      <c r="E69" s="85" t="s">
        <v>45</v>
      </c>
      <c r="F69" s="85" t="s">
        <v>42</v>
      </c>
      <c r="G69" s="85" t="s">
        <v>46</v>
      </c>
      <c r="H69" s="87">
        <v>26.80434</v>
      </c>
      <c r="I69" s="87">
        <v>73.375</v>
      </c>
      <c r="J69" s="87">
        <v>2.8343813999999998</v>
      </c>
      <c r="K69" s="85">
        <v>17</v>
      </c>
      <c r="L69" s="85">
        <v>50</v>
      </c>
      <c r="M69" s="85">
        <f t="shared" si="1"/>
        <v>67</v>
      </c>
      <c r="N69" t="str" cm="1">
        <f t="array" ref="N69">_xlfn.IFS(M69&lt;40,"Queit",M69&lt;70,"Modest",M69&lt;100,"Good",M69&gt;=100,"Busy")</f>
        <v>Modest</v>
      </c>
    </row>
    <row r="70" spans="1:14" x14ac:dyDescent="0.35">
      <c r="A70" s="85">
        <v>288</v>
      </c>
      <c r="B70" s="86">
        <v>44849</v>
      </c>
      <c r="C70" s="85" t="s">
        <v>54</v>
      </c>
      <c r="D70" s="85" t="s">
        <v>40</v>
      </c>
      <c r="E70" s="85" t="s">
        <v>41</v>
      </c>
      <c r="F70" s="85" t="s">
        <v>42</v>
      </c>
      <c r="G70" s="85" t="s">
        <v>46</v>
      </c>
      <c r="H70" s="87">
        <v>19.387485000000002</v>
      </c>
      <c r="I70" s="87">
        <v>48.333300000000001</v>
      </c>
      <c r="J70" s="87">
        <v>17.291561000000002</v>
      </c>
      <c r="K70" s="85">
        <v>2</v>
      </c>
      <c r="L70" s="85">
        <v>13</v>
      </c>
      <c r="M70" s="85">
        <f t="shared" si="1"/>
        <v>15</v>
      </c>
      <c r="N70" t="str" cm="1">
        <f t="array" ref="N70">_xlfn.IFS(M70&lt;40,"Queit",M70&lt;70,"Modest",M70&lt;100,"Good",M70&gt;=100,"Busy")</f>
        <v>Queit</v>
      </c>
    </row>
    <row r="71" spans="1:14" x14ac:dyDescent="0.35">
      <c r="A71" s="85">
        <v>289</v>
      </c>
      <c r="B71" s="86">
        <v>44850</v>
      </c>
      <c r="C71" s="85" t="s">
        <v>54</v>
      </c>
      <c r="D71" s="85" t="s">
        <v>40</v>
      </c>
      <c r="E71" s="85" t="s">
        <v>44</v>
      </c>
      <c r="F71" s="85" t="s">
        <v>42</v>
      </c>
      <c r="G71" s="85" t="s">
        <v>46</v>
      </c>
      <c r="H71" s="87">
        <v>20.550014999999998</v>
      </c>
      <c r="I71" s="87">
        <v>48.666699999999999</v>
      </c>
      <c r="J71" s="87">
        <v>18.875039000000001</v>
      </c>
      <c r="K71" s="85">
        <v>31</v>
      </c>
      <c r="L71" s="85">
        <v>44</v>
      </c>
      <c r="M71" s="85">
        <f t="shared" si="1"/>
        <v>75</v>
      </c>
      <c r="N71" t="str" cm="1">
        <f t="array" ref="N71">_xlfn.IFS(M71&lt;40,"Queit",M71&lt;70,"Modest",M71&lt;100,"Good",M71&gt;=100,"Busy")</f>
        <v>Good</v>
      </c>
    </row>
    <row r="72" spans="1:14" x14ac:dyDescent="0.35">
      <c r="A72" s="85">
        <v>290</v>
      </c>
      <c r="B72" s="86">
        <v>44851</v>
      </c>
      <c r="C72" s="85" t="s">
        <v>54</v>
      </c>
      <c r="D72" s="85" t="s">
        <v>40</v>
      </c>
      <c r="E72" s="85" t="s">
        <v>45</v>
      </c>
      <c r="F72" s="85" t="s">
        <v>26</v>
      </c>
      <c r="G72" s="85" t="s">
        <v>46</v>
      </c>
      <c r="H72" s="87">
        <v>23.062499999999996</v>
      </c>
      <c r="I72" s="87">
        <v>57.958299999999994</v>
      </c>
      <c r="J72" s="87">
        <v>11.750393000000001</v>
      </c>
      <c r="K72" s="85">
        <v>13</v>
      </c>
      <c r="L72" s="85">
        <v>55</v>
      </c>
      <c r="M72" s="85">
        <f t="shared" si="1"/>
        <v>68</v>
      </c>
      <c r="N72" t="str" cm="1">
        <f t="array" ref="N72">_xlfn.IFS(M72&lt;40,"Queit",M72&lt;70,"Modest",M72&lt;100,"Good",M72&gt;=100,"Busy")</f>
        <v>Modest</v>
      </c>
    </row>
    <row r="73" spans="1:14" x14ac:dyDescent="0.35">
      <c r="A73" s="85">
        <v>293</v>
      </c>
      <c r="B73" s="86">
        <v>44854</v>
      </c>
      <c r="C73" s="85" t="s">
        <v>54</v>
      </c>
      <c r="D73" s="85" t="s">
        <v>40</v>
      </c>
      <c r="E73" s="85" t="s">
        <v>49</v>
      </c>
      <c r="F73" s="85" t="s">
        <v>26</v>
      </c>
      <c r="G73" s="85" t="s">
        <v>46</v>
      </c>
      <c r="H73" s="87">
        <v>20.662514999999999</v>
      </c>
      <c r="I73" s="87">
        <v>63.625</v>
      </c>
      <c r="J73" s="87">
        <v>28.292425000000001</v>
      </c>
      <c r="K73" s="85">
        <v>15</v>
      </c>
      <c r="L73" s="85">
        <v>69</v>
      </c>
      <c r="M73" s="85">
        <f t="shared" si="1"/>
        <v>84</v>
      </c>
      <c r="N73" t="str" cm="1">
        <f t="array" ref="N73">_xlfn.IFS(M73&lt;40,"Queit",M73&lt;70,"Modest",M73&lt;100,"Good",M73&gt;=100,"Busy")</f>
        <v>Good</v>
      </c>
    </row>
    <row r="74" spans="1:14" x14ac:dyDescent="0.35">
      <c r="A74" s="85">
        <v>294</v>
      </c>
      <c r="B74" s="86">
        <v>44855</v>
      </c>
      <c r="C74" s="85" t="s">
        <v>54</v>
      </c>
      <c r="D74" s="85" t="s">
        <v>40</v>
      </c>
      <c r="E74" s="85" t="s">
        <v>50</v>
      </c>
      <c r="F74" s="85" t="s">
        <v>26</v>
      </c>
      <c r="G74" s="85" t="s">
        <v>46</v>
      </c>
      <c r="H74" s="87">
        <v>15.150015</v>
      </c>
      <c r="I74" s="87">
        <v>57.416699999999999</v>
      </c>
      <c r="J74" s="87">
        <v>14.833532</v>
      </c>
      <c r="K74" s="85">
        <v>4</v>
      </c>
      <c r="L74" s="85">
        <v>30</v>
      </c>
      <c r="M74" s="85">
        <f t="shared" si="1"/>
        <v>34</v>
      </c>
      <c r="N74" t="str" cm="1">
        <f t="array" ref="N74">_xlfn.IFS(M74&lt;40,"Queit",M74&lt;70,"Modest",M74&lt;100,"Good",M74&gt;=100,"Busy")</f>
        <v>Queit</v>
      </c>
    </row>
    <row r="75" spans="1:14" x14ac:dyDescent="0.35">
      <c r="A75" s="85">
        <v>295</v>
      </c>
      <c r="B75" s="86">
        <v>44856</v>
      </c>
      <c r="C75" s="85" t="s">
        <v>54</v>
      </c>
      <c r="D75" s="85" t="s">
        <v>40</v>
      </c>
      <c r="E75" s="85" t="s">
        <v>41</v>
      </c>
      <c r="F75" s="85" t="s">
        <v>42</v>
      </c>
      <c r="G75" s="85" t="s">
        <v>46</v>
      </c>
      <c r="H75" s="87">
        <v>20.7</v>
      </c>
      <c r="I75" s="87">
        <v>62.916700000000006</v>
      </c>
      <c r="J75" s="87">
        <v>6.2086689000000002</v>
      </c>
      <c r="K75" s="85">
        <v>29</v>
      </c>
      <c r="L75" s="85">
        <v>51</v>
      </c>
      <c r="M75" s="85">
        <f t="shared" si="1"/>
        <v>80</v>
      </c>
      <c r="N75" t="str" cm="1">
        <f t="array" ref="N75">_xlfn.IFS(M75&lt;40,"Queit",M75&lt;70,"Modest",M75&lt;100,"Good",M75&gt;=100,"Busy")</f>
        <v>Good</v>
      </c>
    </row>
    <row r="76" spans="1:14" x14ac:dyDescent="0.35">
      <c r="A76" s="85">
        <v>296</v>
      </c>
      <c r="B76" s="86">
        <v>44857</v>
      </c>
      <c r="C76" s="85" t="s">
        <v>54</v>
      </c>
      <c r="D76" s="85" t="s">
        <v>40</v>
      </c>
      <c r="E76" s="85" t="s">
        <v>44</v>
      </c>
      <c r="F76" s="85" t="s">
        <v>42</v>
      </c>
      <c r="G76" s="85" t="s">
        <v>46</v>
      </c>
      <c r="H76" s="87">
        <v>26.175015000000002</v>
      </c>
      <c r="I76" s="87">
        <v>74.125</v>
      </c>
      <c r="J76" s="87">
        <v>6.6673375000000004</v>
      </c>
      <c r="K76" s="85">
        <v>34</v>
      </c>
      <c r="L76" s="85">
        <v>50</v>
      </c>
      <c r="M76" s="85">
        <f t="shared" si="1"/>
        <v>84</v>
      </c>
      <c r="N76" t="str" cm="1">
        <f t="array" ref="N76">_xlfn.IFS(M76&lt;40,"Queit",M76&lt;70,"Modest",M76&lt;100,"Good",M76&gt;=100,"Busy")</f>
        <v>Good</v>
      </c>
    </row>
    <row r="77" spans="1:14" x14ac:dyDescent="0.35">
      <c r="A77" s="85">
        <v>297</v>
      </c>
      <c r="B77" s="86">
        <v>44858</v>
      </c>
      <c r="C77" s="85" t="s">
        <v>54</v>
      </c>
      <c r="D77" s="85" t="s">
        <v>40</v>
      </c>
      <c r="E77" s="85" t="s">
        <v>45</v>
      </c>
      <c r="F77" s="85" t="s">
        <v>26</v>
      </c>
      <c r="G77" s="85" t="s">
        <v>46</v>
      </c>
      <c r="H77" s="87">
        <v>27.300014999999998</v>
      </c>
      <c r="I77" s="87">
        <v>77.208299999999994</v>
      </c>
      <c r="J77" s="87">
        <v>7.9590639999999997</v>
      </c>
      <c r="K77" s="85">
        <v>15</v>
      </c>
      <c r="L77" s="85">
        <v>66</v>
      </c>
      <c r="M77" s="85">
        <f t="shared" si="1"/>
        <v>81</v>
      </c>
      <c r="N77" t="str" cm="1">
        <f t="array" ref="N77">_xlfn.IFS(M77&lt;40,"Queit",M77&lt;70,"Modest",M77&lt;100,"Good",M77&gt;=100,"Busy")</f>
        <v>Good</v>
      </c>
    </row>
    <row r="78" spans="1:14" x14ac:dyDescent="0.35">
      <c r="A78" s="85">
        <v>298</v>
      </c>
      <c r="B78" s="86">
        <v>44859</v>
      </c>
      <c r="C78" s="85" t="s">
        <v>54</v>
      </c>
      <c r="D78" s="85" t="s">
        <v>40</v>
      </c>
      <c r="E78" s="85" t="s">
        <v>47</v>
      </c>
      <c r="F78" s="85" t="s">
        <v>26</v>
      </c>
      <c r="G78" s="85" t="s">
        <v>46</v>
      </c>
      <c r="H78" s="87">
        <v>28.425014999999998</v>
      </c>
      <c r="I78" s="87">
        <v>62.291700000000006</v>
      </c>
      <c r="J78" s="87">
        <v>11.166086</v>
      </c>
      <c r="K78" s="85">
        <v>14</v>
      </c>
      <c r="L78" s="85">
        <v>74</v>
      </c>
      <c r="M78" s="85">
        <f t="shared" si="1"/>
        <v>88</v>
      </c>
      <c r="N78" t="str" cm="1">
        <f t="array" ref="N78">_xlfn.IFS(M78&lt;40,"Queit",M78&lt;70,"Modest",M78&lt;100,"Good",M78&gt;=100,"Busy")</f>
        <v>Good</v>
      </c>
    </row>
    <row r="79" spans="1:14" x14ac:dyDescent="0.35">
      <c r="A79" s="85">
        <v>303</v>
      </c>
      <c r="B79" s="86">
        <v>44864</v>
      </c>
      <c r="C79" s="85" t="s">
        <v>54</v>
      </c>
      <c r="D79" s="85" t="s">
        <v>40</v>
      </c>
      <c r="E79" s="85" t="s">
        <v>44</v>
      </c>
      <c r="F79" s="85" t="s">
        <v>42</v>
      </c>
      <c r="G79" s="85" t="s">
        <v>46</v>
      </c>
      <c r="H79" s="87">
        <v>20.325015</v>
      </c>
      <c r="I79" s="87">
        <v>62.375</v>
      </c>
      <c r="J79" s="87">
        <v>11.833339</v>
      </c>
      <c r="K79" s="85">
        <v>23</v>
      </c>
      <c r="L79" s="85">
        <v>44</v>
      </c>
      <c r="M79" s="85">
        <f t="shared" si="1"/>
        <v>67</v>
      </c>
      <c r="N79" t="str" cm="1">
        <f t="array" ref="N79">_xlfn.IFS(M79&lt;40,"Queit",M79&lt;70,"Modest",M79&lt;100,"Good",M79&gt;=100,"Busy")</f>
        <v>Modest</v>
      </c>
    </row>
    <row r="80" spans="1:14" x14ac:dyDescent="0.35">
      <c r="A80" s="85">
        <v>304</v>
      </c>
      <c r="B80" s="86">
        <v>44865</v>
      </c>
      <c r="C80" s="85" t="s">
        <v>54</v>
      </c>
      <c r="D80" s="85" t="s">
        <v>40</v>
      </c>
      <c r="E80" s="85" t="s">
        <v>45</v>
      </c>
      <c r="F80" s="85" t="s">
        <v>26</v>
      </c>
      <c r="G80" s="85" t="s">
        <v>46</v>
      </c>
      <c r="H80" s="87">
        <v>24.712515</v>
      </c>
      <c r="I80" s="87">
        <v>70.333299999999994</v>
      </c>
      <c r="J80" s="87">
        <v>7.1254499999999998</v>
      </c>
      <c r="K80" s="85">
        <v>17</v>
      </c>
      <c r="L80" s="85">
        <v>71</v>
      </c>
      <c r="M80" s="85">
        <f t="shared" si="1"/>
        <v>88</v>
      </c>
      <c r="N80" t="str" cm="1">
        <f t="array" ref="N80">_xlfn.IFS(M80&lt;40,"Queit",M80&lt;70,"Modest",M80&lt;100,"Good",M80&gt;=100,"Busy")</f>
        <v>Good</v>
      </c>
    </row>
    <row r="81" spans="1:14" x14ac:dyDescent="0.35">
      <c r="A81" s="85">
        <v>305</v>
      </c>
      <c r="B81" s="86">
        <v>44866</v>
      </c>
      <c r="C81" s="85" t="s">
        <v>54</v>
      </c>
      <c r="D81" s="85" t="s">
        <v>40</v>
      </c>
      <c r="E81" s="85" t="s">
        <v>47</v>
      </c>
      <c r="F81" s="85" t="s">
        <v>26</v>
      </c>
      <c r="G81" s="85" t="s">
        <v>46</v>
      </c>
      <c r="H81" s="87">
        <v>27.750014999999998</v>
      </c>
      <c r="I81" s="87">
        <v>68.375</v>
      </c>
      <c r="J81" s="87">
        <v>9.0832569999999997</v>
      </c>
      <c r="K81" s="85">
        <v>12</v>
      </c>
      <c r="L81" s="85">
        <v>77</v>
      </c>
      <c r="M81" s="85">
        <f t="shared" si="1"/>
        <v>89</v>
      </c>
      <c r="N81" t="str" cm="1">
        <f t="array" ref="N81">_xlfn.IFS(M81&lt;40,"Queit",M81&lt;70,"Modest",M81&lt;100,"Good",M81&gt;=100,"Busy")</f>
        <v>Good</v>
      </c>
    </row>
    <row r="82" spans="1:14" x14ac:dyDescent="0.35">
      <c r="A82" s="85">
        <v>306</v>
      </c>
      <c r="B82" s="86">
        <v>44867</v>
      </c>
      <c r="C82" s="85" t="s">
        <v>54</v>
      </c>
      <c r="D82" s="85" t="s">
        <v>40</v>
      </c>
      <c r="E82" s="85" t="s">
        <v>48</v>
      </c>
      <c r="F82" s="85" t="s">
        <v>26</v>
      </c>
      <c r="G82" s="85" t="s">
        <v>46</v>
      </c>
      <c r="H82" s="87">
        <v>18.637515</v>
      </c>
      <c r="I82" s="87">
        <v>71.875</v>
      </c>
      <c r="J82" s="87">
        <v>5.5001439000000003</v>
      </c>
      <c r="K82" s="85">
        <v>5</v>
      </c>
      <c r="L82" s="85">
        <v>48</v>
      </c>
      <c r="M82" s="85">
        <f t="shared" si="1"/>
        <v>53</v>
      </c>
      <c r="N82" t="str" cm="1">
        <f t="array" ref="N82">_xlfn.IFS(M82&lt;40,"Queit",M82&lt;70,"Modest",M82&lt;100,"Good",M82&gt;=100,"Busy")</f>
        <v>Modest</v>
      </c>
    </row>
    <row r="83" spans="1:14" x14ac:dyDescent="0.35">
      <c r="A83" s="85">
        <v>307</v>
      </c>
      <c r="B83" s="86">
        <v>44868</v>
      </c>
      <c r="C83" s="85" t="s">
        <v>54</v>
      </c>
      <c r="D83" s="85" t="s">
        <v>40</v>
      </c>
      <c r="E83" s="85" t="s">
        <v>49</v>
      </c>
      <c r="F83" s="85" t="s">
        <v>26</v>
      </c>
      <c r="G83" s="85" t="s">
        <v>46</v>
      </c>
      <c r="H83" s="87">
        <v>20.662514999999999</v>
      </c>
      <c r="I83" s="87">
        <v>70.208300000000008</v>
      </c>
      <c r="J83" s="87">
        <v>9.1667389999999997</v>
      </c>
      <c r="K83" s="85">
        <v>12</v>
      </c>
      <c r="L83" s="85">
        <v>76</v>
      </c>
      <c r="M83" s="85">
        <f t="shared" si="1"/>
        <v>88</v>
      </c>
      <c r="N83" t="str" cm="1">
        <f t="array" ref="N83">_xlfn.IFS(M83&lt;40,"Queit",M83&lt;70,"Modest",M83&lt;100,"Good",M83&gt;=100,"Busy")</f>
        <v>Good</v>
      </c>
    </row>
    <row r="84" spans="1:14" x14ac:dyDescent="0.35">
      <c r="A84" s="85">
        <v>309</v>
      </c>
      <c r="B84" s="86">
        <v>44870</v>
      </c>
      <c r="C84" s="85" t="s">
        <v>54</v>
      </c>
      <c r="D84" s="85" t="s">
        <v>40</v>
      </c>
      <c r="E84" s="85" t="s">
        <v>41</v>
      </c>
      <c r="F84" s="85" t="s">
        <v>42</v>
      </c>
      <c r="G84" s="85" t="s">
        <v>46</v>
      </c>
      <c r="H84" s="87">
        <v>23.400000000000002</v>
      </c>
      <c r="I84" s="87">
        <v>51.916700000000006</v>
      </c>
      <c r="J84" s="87">
        <v>12.667154</v>
      </c>
      <c r="K84" s="85">
        <v>32</v>
      </c>
      <c r="L84" s="85">
        <v>62</v>
      </c>
      <c r="M84" s="85">
        <f t="shared" si="1"/>
        <v>94</v>
      </c>
      <c r="N84" t="str" cm="1">
        <f t="array" ref="N84">_xlfn.IFS(M84&lt;40,"Queit",M84&lt;70,"Modest",M84&lt;100,"Good",M84&gt;=100,"Busy")</f>
        <v>Good</v>
      </c>
    </row>
    <row r="85" spans="1:14" x14ac:dyDescent="0.35">
      <c r="A85" s="85">
        <v>310</v>
      </c>
      <c r="B85" s="86">
        <v>44871</v>
      </c>
      <c r="C85" s="85" t="s">
        <v>54</v>
      </c>
      <c r="D85" s="85" t="s">
        <v>40</v>
      </c>
      <c r="E85" s="85" t="s">
        <v>44</v>
      </c>
      <c r="F85" s="85" t="s">
        <v>42</v>
      </c>
      <c r="G85" s="85" t="s">
        <v>46</v>
      </c>
      <c r="H85" s="87">
        <v>23.774985000000001</v>
      </c>
      <c r="I85" s="87">
        <v>73.458299999999994</v>
      </c>
      <c r="J85" s="87">
        <v>6.1676314000000003</v>
      </c>
      <c r="K85" s="85">
        <v>28</v>
      </c>
      <c r="L85" s="85">
        <v>59</v>
      </c>
      <c r="M85" s="85">
        <f t="shared" si="1"/>
        <v>87</v>
      </c>
      <c r="N85" t="str" cm="1">
        <f t="array" ref="N85">_xlfn.IFS(M85&lt;40,"Queit",M85&lt;70,"Modest",M85&lt;100,"Good",M85&gt;=100,"Busy")</f>
        <v>Good</v>
      </c>
    </row>
    <row r="86" spans="1:14" x14ac:dyDescent="0.35">
      <c r="A86" s="85">
        <v>311</v>
      </c>
      <c r="B86" s="86">
        <v>44872</v>
      </c>
      <c r="C86" s="85" t="s">
        <v>54</v>
      </c>
      <c r="D86" s="85" t="s">
        <v>40</v>
      </c>
      <c r="E86" s="85" t="s">
        <v>45</v>
      </c>
      <c r="F86" s="85" t="s">
        <v>26</v>
      </c>
      <c r="G86" s="85" t="s">
        <v>46</v>
      </c>
      <c r="H86" s="87">
        <v>23.962499999999999</v>
      </c>
      <c r="I86" s="87">
        <v>75.875</v>
      </c>
      <c r="J86" s="87">
        <v>3.8340749999999999</v>
      </c>
      <c r="K86" s="85">
        <v>13</v>
      </c>
      <c r="L86" s="85">
        <v>74</v>
      </c>
      <c r="M86" s="85">
        <f t="shared" si="1"/>
        <v>87</v>
      </c>
      <c r="N86" t="str" cm="1">
        <f t="array" ref="N86">_xlfn.IFS(M86&lt;40,"Queit",M86&lt;70,"Modest",M86&lt;100,"Good",M86&gt;=100,"Busy")</f>
        <v>Good</v>
      </c>
    </row>
    <row r="87" spans="1:14" x14ac:dyDescent="0.35">
      <c r="A87" s="85">
        <v>312</v>
      </c>
      <c r="B87" s="86">
        <v>44873</v>
      </c>
      <c r="C87" s="85" t="s">
        <v>54</v>
      </c>
      <c r="D87" s="85" t="s">
        <v>40</v>
      </c>
      <c r="E87" s="85" t="s">
        <v>47</v>
      </c>
      <c r="F87" s="85" t="s">
        <v>26</v>
      </c>
      <c r="G87" s="85" t="s">
        <v>46</v>
      </c>
      <c r="H87" s="87">
        <v>23.962499999999999</v>
      </c>
      <c r="I87" s="87">
        <v>72.166699999999992</v>
      </c>
      <c r="J87" s="87">
        <v>4.6255125000000001</v>
      </c>
      <c r="K87" s="85">
        <v>14</v>
      </c>
      <c r="L87" s="85">
        <v>82</v>
      </c>
      <c r="M87" s="85">
        <f t="shared" si="1"/>
        <v>96</v>
      </c>
      <c r="N87" t="str" cm="1">
        <f t="array" ref="N87">_xlfn.IFS(M87&lt;40,"Queit",M87&lt;70,"Modest",M87&lt;100,"Good",M87&gt;=100,"Busy")</f>
        <v>Good</v>
      </c>
    </row>
    <row r="88" spans="1:14" x14ac:dyDescent="0.35">
      <c r="A88" s="85">
        <v>313</v>
      </c>
      <c r="B88" s="86">
        <v>44874</v>
      </c>
      <c r="C88" s="85" t="s">
        <v>54</v>
      </c>
      <c r="D88" s="85" t="s">
        <v>40</v>
      </c>
      <c r="E88" s="85" t="s">
        <v>48</v>
      </c>
      <c r="F88" s="85" t="s">
        <v>26</v>
      </c>
      <c r="G88" s="85" t="s">
        <v>46</v>
      </c>
      <c r="H88" s="87">
        <v>24.412499999999998</v>
      </c>
      <c r="I88" s="87">
        <v>75.833300000000008</v>
      </c>
      <c r="J88" s="87">
        <v>4.1671186000000002</v>
      </c>
      <c r="K88" s="85">
        <v>11</v>
      </c>
      <c r="L88" s="85">
        <v>73</v>
      </c>
      <c r="M88" s="85">
        <f t="shared" si="1"/>
        <v>84</v>
      </c>
      <c r="N88" t="str" cm="1">
        <f t="array" ref="N88">_xlfn.IFS(M88&lt;40,"Queit",M88&lt;70,"Modest",M88&lt;100,"Good",M88&gt;=100,"Busy")</f>
        <v>Good</v>
      </c>
    </row>
    <row r="89" spans="1:14" x14ac:dyDescent="0.35">
      <c r="A89" s="85">
        <v>315</v>
      </c>
      <c r="B89" s="86">
        <v>44876</v>
      </c>
      <c r="C89" s="85" t="s">
        <v>54</v>
      </c>
      <c r="D89" s="85" t="s">
        <v>22</v>
      </c>
      <c r="E89" s="85" t="s">
        <v>50</v>
      </c>
      <c r="F89" s="85" t="s">
        <v>42</v>
      </c>
      <c r="G89" s="85" t="s">
        <v>46</v>
      </c>
      <c r="H89" s="87">
        <v>23.062499999999996</v>
      </c>
      <c r="I89" s="87">
        <v>44.625</v>
      </c>
      <c r="J89" s="87">
        <v>21.083224999999999</v>
      </c>
      <c r="K89" s="85">
        <v>14</v>
      </c>
      <c r="L89" s="85">
        <v>68</v>
      </c>
      <c r="M89" s="85">
        <f t="shared" si="1"/>
        <v>82</v>
      </c>
      <c r="N89" t="str" cm="1">
        <f t="array" ref="N89">_xlfn.IFS(M89&lt;40,"Queit",M89&lt;70,"Modest",M89&lt;100,"Good",M89&gt;=100,"Busy")</f>
        <v>Good</v>
      </c>
    </row>
    <row r="90" spans="1:14" x14ac:dyDescent="0.35">
      <c r="A90" s="85">
        <v>316</v>
      </c>
      <c r="B90" s="86">
        <v>44877</v>
      </c>
      <c r="C90" s="85" t="s">
        <v>54</v>
      </c>
      <c r="D90" s="85" t="s">
        <v>40</v>
      </c>
      <c r="E90" s="85" t="s">
        <v>41</v>
      </c>
      <c r="F90" s="85" t="s">
        <v>42</v>
      </c>
      <c r="G90" s="85" t="s">
        <v>46</v>
      </c>
      <c r="H90" s="87">
        <v>23.437484999999999</v>
      </c>
      <c r="I90" s="87">
        <v>55.291699999999999</v>
      </c>
      <c r="J90" s="87">
        <v>14.208154</v>
      </c>
      <c r="K90" s="85">
        <v>18</v>
      </c>
      <c r="L90" s="85">
        <v>50</v>
      </c>
      <c r="M90" s="85">
        <f t="shared" si="1"/>
        <v>68</v>
      </c>
      <c r="N90" t="str" cm="1">
        <f t="array" ref="N90">_xlfn.IFS(M90&lt;40,"Queit",M90&lt;70,"Modest",M90&lt;100,"Good",M90&gt;=100,"Busy")</f>
        <v>Modest</v>
      </c>
    </row>
    <row r="91" spans="1:14" x14ac:dyDescent="0.35">
      <c r="A91" s="85">
        <v>317</v>
      </c>
      <c r="B91" s="86">
        <v>44878</v>
      </c>
      <c r="C91" s="85" t="s">
        <v>54</v>
      </c>
      <c r="D91" s="85" t="s">
        <v>40</v>
      </c>
      <c r="E91" s="85" t="s">
        <v>44</v>
      </c>
      <c r="F91" s="85" t="s">
        <v>42</v>
      </c>
      <c r="G91" s="85" t="s">
        <v>46</v>
      </c>
      <c r="H91" s="87">
        <v>25.3125</v>
      </c>
      <c r="I91" s="87">
        <v>45.833300000000001</v>
      </c>
      <c r="J91" s="87">
        <v>18.875306999999999</v>
      </c>
      <c r="K91" s="85">
        <v>32</v>
      </c>
      <c r="L91" s="85">
        <v>59</v>
      </c>
      <c r="M91" s="85">
        <f t="shared" si="1"/>
        <v>91</v>
      </c>
      <c r="N91" t="str" cm="1">
        <f t="array" ref="N91">_xlfn.IFS(M91&lt;40,"Queit",M91&lt;70,"Modest",M91&lt;100,"Good",M91&gt;=100,"Busy")</f>
        <v>Good</v>
      </c>
    </row>
    <row r="92" spans="1:14" x14ac:dyDescent="0.35">
      <c r="A92" s="85">
        <v>318</v>
      </c>
      <c r="B92" s="86">
        <v>44879</v>
      </c>
      <c r="C92" s="85" t="s">
        <v>54</v>
      </c>
      <c r="D92" s="85" t="s">
        <v>40</v>
      </c>
      <c r="E92" s="85" t="s">
        <v>45</v>
      </c>
      <c r="F92" s="85" t="s">
        <v>26</v>
      </c>
      <c r="G92" s="85" t="s">
        <v>46</v>
      </c>
      <c r="H92" s="87">
        <v>25.987500000000001</v>
      </c>
      <c r="I92" s="87">
        <v>58.708300000000001</v>
      </c>
      <c r="J92" s="87">
        <v>20.541931999999999</v>
      </c>
      <c r="K92" s="85">
        <v>15</v>
      </c>
      <c r="L92" s="85">
        <v>64</v>
      </c>
      <c r="M92" s="85">
        <f t="shared" si="1"/>
        <v>79</v>
      </c>
      <c r="N92" t="str" cm="1">
        <f t="array" ref="N92">_xlfn.IFS(M92&lt;40,"Queit",M92&lt;70,"Modest",M92&lt;100,"Good",M92&gt;=100,"Busy")</f>
        <v>Good</v>
      </c>
    </row>
    <row r="93" spans="1:14" x14ac:dyDescent="0.35">
      <c r="A93" s="85">
        <v>322</v>
      </c>
      <c r="B93" s="86">
        <v>44883</v>
      </c>
      <c r="C93" s="85" t="s">
        <v>54</v>
      </c>
      <c r="D93" s="85" t="s">
        <v>40</v>
      </c>
      <c r="E93" s="85" t="s">
        <v>50</v>
      </c>
      <c r="F93" s="85" t="s">
        <v>26</v>
      </c>
      <c r="G93" s="85" t="s">
        <v>46</v>
      </c>
      <c r="H93" s="87">
        <v>24.150015</v>
      </c>
      <c r="I93" s="87">
        <v>41</v>
      </c>
      <c r="J93" s="87">
        <v>11.291710999999999</v>
      </c>
      <c r="K93" s="85">
        <v>18</v>
      </c>
      <c r="L93" s="85">
        <v>80</v>
      </c>
      <c r="M93" s="85">
        <f t="shared" si="1"/>
        <v>98</v>
      </c>
      <c r="N93" t="str" cm="1">
        <f t="array" ref="N93">_xlfn.IFS(M93&lt;40,"Queit",M93&lt;70,"Modest",M93&lt;100,"Good",M93&gt;=100,"Busy")</f>
        <v>Good</v>
      </c>
    </row>
    <row r="94" spans="1:14" x14ac:dyDescent="0.35">
      <c r="A94" s="85">
        <v>323</v>
      </c>
      <c r="B94" s="86">
        <v>44884</v>
      </c>
      <c r="C94" s="85" t="s">
        <v>54</v>
      </c>
      <c r="D94" s="85" t="s">
        <v>40</v>
      </c>
      <c r="E94" s="85" t="s">
        <v>41</v>
      </c>
      <c r="F94" s="85" t="s">
        <v>42</v>
      </c>
      <c r="G94" s="85" t="s">
        <v>46</v>
      </c>
      <c r="H94" s="87">
        <v>27.112500000000001</v>
      </c>
      <c r="I94" s="87">
        <v>50.208299999999994</v>
      </c>
      <c r="J94" s="87">
        <v>15.041232000000001</v>
      </c>
      <c r="K94" s="85">
        <v>45</v>
      </c>
      <c r="L94" s="85">
        <v>71</v>
      </c>
      <c r="M94" s="85">
        <f t="shared" si="1"/>
        <v>116</v>
      </c>
      <c r="N94" t="str" cm="1">
        <f t="array" ref="N94">_xlfn.IFS(M94&lt;40,"Queit",M94&lt;70,"Modest",M94&lt;100,"Good",M94&gt;=100,"Busy")</f>
        <v>Busy</v>
      </c>
    </row>
    <row r="95" spans="1:14" x14ac:dyDescent="0.35">
      <c r="A95" s="85">
        <v>328</v>
      </c>
      <c r="B95" s="86">
        <v>44889</v>
      </c>
      <c r="C95" s="85" t="s">
        <v>54</v>
      </c>
      <c r="D95" s="85" t="s">
        <v>22</v>
      </c>
      <c r="E95" s="85" t="s">
        <v>49</v>
      </c>
      <c r="F95" s="85" t="s">
        <v>42</v>
      </c>
      <c r="G95" s="85" t="s">
        <v>46</v>
      </c>
      <c r="H95" s="87">
        <v>31.874984999999999</v>
      </c>
      <c r="I95" s="87">
        <v>54.916699999999999</v>
      </c>
      <c r="J95" s="87">
        <v>11.209368000000001</v>
      </c>
      <c r="K95" s="85">
        <v>15</v>
      </c>
      <c r="L95" s="85">
        <v>78</v>
      </c>
      <c r="M95" s="85">
        <f t="shared" si="1"/>
        <v>93</v>
      </c>
      <c r="N95" t="str" cm="1">
        <f t="array" ref="N95">_xlfn.IFS(M95&lt;40,"Queit",M95&lt;70,"Modest",M95&lt;100,"Good",M95&gt;=100,"Busy")</f>
        <v>Good</v>
      </c>
    </row>
    <row r="96" spans="1:14" x14ac:dyDescent="0.35">
      <c r="A96" s="85">
        <v>329</v>
      </c>
      <c r="B96" s="86">
        <v>44890</v>
      </c>
      <c r="C96" s="85" t="s">
        <v>54</v>
      </c>
      <c r="D96" s="85" t="s">
        <v>40</v>
      </c>
      <c r="E96" s="85" t="s">
        <v>50</v>
      </c>
      <c r="F96" s="85" t="s">
        <v>26</v>
      </c>
      <c r="G96" s="85" t="s">
        <v>46</v>
      </c>
      <c r="H96" s="87">
        <v>30.675015000000002</v>
      </c>
      <c r="I96" s="87">
        <v>64.375</v>
      </c>
      <c r="J96" s="87">
        <v>6.6260186000000001</v>
      </c>
      <c r="K96" s="85">
        <v>17</v>
      </c>
      <c r="L96" s="85">
        <v>76</v>
      </c>
      <c r="M96" s="85">
        <f t="shared" si="1"/>
        <v>93</v>
      </c>
      <c r="N96" t="str" cm="1">
        <f t="array" ref="N96">_xlfn.IFS(M96&lt;40,"Queit",M96&lt;70,"Modest",M96&lt;100,"Good",M96&gt;=100,"Busy")</f>
        <v>Good</v>
      </c>
    </row>
    <row r="97" spans="1:14" x14ac:dyDescent="0.35">
      <c r="A97" s="85">
        <v>330</v>
      </c>
      <c r="B97" s="86">
        <v>44891</v>
      </c>
      <c r="C97" s="85" t="s">
        <v>54</v>
      </c>
      <c r="D97" s="85" t="s">
        <v>40</v>
      </c>
      <c r="E97" s="85" t="s">
        <v>41</v>
      </c>
      <c r="F97" s="85" t="s">
        <v>42</v>
      </c>
      <c r="G97" s="85" t="s">
        <v>46</v>
      </c>
      <c r="H97" s="87">
        <v>29.512485000000002</v>
      </c>
      <c r="I97" s="87">
        <v>68.166700000000006</v>
      </c>
      <c r="J97" s="87">
        <v>4.5841935999999999</v>
      </c>
      <c r="K97" s="85">
        <v>40</v>
      </c>
      <c r="L97" s="85">
        <v>55</v>
      </c>
      <c r="M97" s="85">
        <f t="shared" si="1"/>
        <v>95</v>
      </c>
      <c r="N97" t="str" cm="1">
        <f t="array" ref="N97">_xlfn.IFS(M97&lt;40,"Queit",M97&lt;70,"Modest",M97&lt;100,"Good",M97&gt;=100,"Busy")</f>
        <v>Good</v>
      </c>
    </row>
    <row r="98" spans="1:14" x14ac:dyDescent="0.35">
      <c r="A98" s="85">
        <v>331</v>
      </c>
      <c r="B98" s="86">
        <v>44892</v>
      </c>
      <c r="C98" s="85" t="s">
        <v>54</v>
      </c>
      <c r="D98" s="85" t="s">
        <v>40</v>
      </c>
      <c r="E98" s="85" t="s">
        <v>44</v>
      </c>
      <c r="F98" s="85" t="s">
        <v>42</v>
      </c>
      <c r="G98" s="85" t="s">
        <v>46</v>
      </c>
      <c r="H98" s="87">
        <v>30.037499999999998</v>
      </c>
      <c r="I98" s="87">
        <v>69.833299999999994</v>
      </c>
      <c r="J98" s="87">
        <v>13.999917999999999</v>
      </c>
      <c r="K98" s="85">
        <v>47</v>
      </c>
      <c r="L98" s="85">
        <v>49</v>
      </c>
      <c r="M98" s="85">
        <f t="shared" si="1"/>
        <v>96</v>
      </c>
      <c r="N98" t="str" cm="1">
        <f t="array" ref="N98">_xlfn.IFS(M98&lt;40,"Queit",M98&lt;70,"Modest",M98&lt;100,"Good",M98&gt;=100,"Busy")</f>
        <v>Good</v>
      </c>
    </row>
    <row r="99" spans="1:14" x14ac:dyDescent="0.35">
      <c r="A99" s="85">
        <v>332</v>
      </c>
      <c r="B99" s="86">
        <v>44893</v>
      </c>
      <c r="C99" s="85" t="s">
        <v>54</v>
      </c>
      <c r="D99" s="85" t="s">
        <v>40</v>
      </c>
      <c r="E99" s="85" t="s">
        <v>45</v>
      </c>
      <c r="F99" s="85" t="s">
        <v>26</v>
      </c>
      <c r="G99" s="85" t="s">
        <v>46</v>
      </c>
      <c r="H99" s="87">
        <v>32.999985000000002</v>
      </c>
      <c r="I99" s="87">
        <v>74.304299999999998</v>
      </c>
      <c r="J99" s="87">
        <v>9.5221739999999997</v>
      </c>
      <c r="K99" s="85">
        <v>31</v>
      </c>
      <c r="L99" s="85">
        <v>51</v>
      </c>
      <c r="M99" s="85">
        <f t="shared" si="1"/>
        <v>82</v>
      </c>
      <c r="N99" t="str" cm="1">
        <f t="array" ref="N99">_xlfn.IFS(M99&lt;40,"Queit",M99&lt;70,"Modest",M99&lt;100,"Good",M99&gt;=100,"Busy")</f>
        <v>Good</v>
      </c>
    </row>
    <row r="100" spans="1:14" x14ac:dyDescent="0.35">
      <c r="A100" s="85">
        <v>334</v>
      </c>
      <c r="B100" s="86">
        <v>44895</v>
      </c>
      <c r="C100" s="85" t="s">
        <v>54</v>
      </c>
      <c r="D100" s="85" t="s">
        <v>40</v>
      </c>
      <c r="E100" s="85" t="s">
        <v>48</v>
      </c>
      <c r="F100" s="85" t="s">
        <v>26</v>
      </c>
      <c r="G100" s="85" t="s">
        <v>46</v>
      </c>
      <c r="H100" s="87">
        <v>34.387515</v>
      </c>
      <c r="I100" s="87">
        <v>61.333300000000001</v>
      </c>
      <c r="J100" s="87">
        <v>18.167586</v>
      </c>
      <c r="K100" s="85">
        <v>10</v>
      </c>
      <c r="L100" s="85">
        <v>69</v>
      </c>
      <c r="M100" s="85">
        <f t="shared" si="1"/>
        <v>79</v>
      </c>
      <c r="N100" t="str" cm="1">
        <f t="array" ref="N100">_xlfn.IFS(M100&lt;40,"Queit",M100&lt;70,"Modest",M100&lt;100,"Good",M100&gt;=100,"Busy")</f>
        <v>Good</v>
      </c>
    </row>
    <row r="101" spans="1:14" x14ac:dyDescent="0.35">
      <c r="A101" s="85">
        <v>3</v>
      </c>
      <c r="B101" s="86">
        <v>44564</v>
      </c>
      <c r="C101" s="85" t="s">
        <v>39</v>
      </c>
      <c r="D101" s="85" t="s">
        <v>40</v>
      </c>
      <c r="E101" s="85" t="s">
        <v>45</v>
      </c>
      <c r="F101" s="85" t="s">
        <v>26</v>
      </c>
      <c r="G101" s="85" t="s">
        <v>46</v>
      </c>
      <c r="H101" s="87">
        <v>33.600014999999999</v>
      </c>
      <c r="I101" s="87">
        <v>43.7273</v>
      </c>
      <c r="J101" s="87">
        <v>16.636703000000001</v>
      </c>
      <c r="K101" s="85">
        <v>21</v>
      </c>
      <c r="L101" s="85">
        <v>73</v>
      </c>
      <c r="M101" s="85">
        <f t="shared" si="1"/>
        <v>94</v>
      </c>
      <c r="N101" t="str" cm="1">
        <f t="array" ref="N101">_xlfn.IFS(M101&lt;40,"Queit",M101&lt;70,"Modest",M101&lt;100,"Good",M101&gt;=100,"Busy")</f>
        <v>Good</v>
      </c>
    </row>
    <row r="102" spans="1:14" x14ac:dyDescent="0.35">
      <c r="A102" s="85">
        <v>4</v>
      </c>
      <c r="B102" s="86">
        <v>44565</v>
      </c>
      <c r="C102" s="85" t="s">
        <v>39</v>
      </c>
      <c r="D102" s="85" t="s">
        <v>40</v>
      </c>
      <c r="E102" s="85" t="s">
        <v>47</v>
      </c>
      <c r="F102" s="85" t="s">
        <v>26</v>
      </c>
      <c r="G102" s="85" t="s">
        <v>46</v>
      </c>
      <c r="H102" s="87">
        <v>32.4</v>
      </c>
      <c r="I102" s="87">
        <v>59.043500000000002</v>
      </c>
      <c r="J102" s="87">
        <v>10.739832</v>
      </c>
      <c r="K102" s="85">
        <v>16</v>
      </c>
      <c r="L102" s="85">
        <v>77</v>
      </c>
      <c r="M102" s="85">
        <f t="shared" si="1"/>
        <v>93</v>
      </c>
      <c r="N102" t="str" cm="1">
        <f t="array" ref="N102">_xlfn.IFS(M102&lt;40,"Queit",M102&lt;70,"Modest",M102&lt;100,"Good",M102&gt;=100,"Busy")</f>
        <v>Good</v>
      </c>
    </row>
    <row r="103" spans="1:14" x14ac:dyDescent="0.35">
      <c r="A103" s="85">
        <v>5</v>
      </c>
      <c r="B103" s="86">
        <v>44566</v>
      </c>
      <c r="C103" s="85" t="s">
        <v>39</v>
      </c>
      <c r="D103" s="85" t="s">
        <v>40</v>
      </c>
      <c r="E103" s="85" t="s">
        <v>48</v>
      </c>
      <c r="F103" s="85" t="s">
        <v>26</v>
      </c>
      <c r="G103" s="85" t="s">
        <v>46</v>
      </c>
      <c r="H103" s="87">
        <v>33.75</v>
      </c>
      <c r="I103" s="87">
        <v>43.695699999999995</v>
      </c>
      <c r="J103" s="87">
        <v>12.522300000000001</v>
      </c>
      <c r="K103" s="85">
        <v>15</v>
      </c>
      <c r="L103" s="85">
        <v>77</v>
      </c>
      <c r="M103" s="85">
        <f t="shared" si="1"/>
        <v>92</v>
      </c>
      <c r="N103" t="str" cm="1">
        <f t="array" ref="N103">_xlfn.IFS(M103&lt;40,"Queit",M103&lt;70,"Modest",M103&lt;100,"Good",M103&gt;=100,"Busy")</f>
        <v>Good</v>
      </c>
    </row>
    <row r="104" spans="1:14" x14ac:dyDescent="0.35">
      <c r="A104" s="85">
        <v>6</v>
      </c>
      <c r="B104" s="86">
        <v>44567</v>
      </c>
      <c r="C104" s="85" t="s">
        <v>39</v>
      </c>
      <c r="D104" s="85" t="s">
        <v>40</v>
      </c>
      <c r="E104" s="85" t="s">
        <v>49</v>
      </c>
      <c r="F104" s="85" t="s">
        <v>26</v>
      </c>
      <c r="G104" s="85" t="s">
        <v>46</v>
      </c>
      <c r="H104" s="87">
        <v>31.912514999999999</v>
      </c>
      <c r="I104" s="87">
        <v>51.826099999999997</v>
      </c>
      <c r="J104" s="87">
        <v>6.0008683999999999</v>
      </c>
      <c r="K104" s="85">
        <v>14</v>
      </c>
      <c r="L104" s="85">
        <v>67</v>
      </c>
      <c r="M104" s="85">
        <f t="shared" si="1"/>
        <v>81</v>
      </c>
      <c r="N104" t="str" cm="1">
        <f t="array" ref="N104">_xlfn.IFS(M104&lt;40,"Queit",M104&lt;70,"Modest",M104&lt;100,"Good",M104&gt;=100,"Busy")</f>
        <v>Good</v>
      </c>
    </row>
    <row r="105" spans="1:14" x14ac:dyDescent="0.35">
      <c r="A105" s="85">
        <v>9</v>
      </c>
      <c r="B105" s="86">
        <v>44570</v>
      </c>
      <c r="C105" s="85" t="s">
        <v>39</v>
      </c>
      <c r="D105" s="85" t="s">
        <v>40</v>
      </c>
      <c r="E105" s="85" t="s">
        <v>44</v>
      </c>
      <c r="F105" s="85" t="s">
        <v>42</v>
      </c>
      <c r="G105" s="85" t="s">
        <v>46</v>
      </c>
      <c r="H105" s="87">
        <v>34.3125</v>
      </c>
      <c r="I105" s="87">
        <v>43.416700000000006</v>
      </c>
      <c r="J105" s="87">
        <v>24.25065</v>
      </c>
      <c r="K105" s="85">
        <v>14</v>
      </c>
      <c r="L105" s="85">
        <v>67</v>
      </c>
      <c r="M105" s="85">
        <f t="shared" si="1"/>
        <v>81</v>
      </c>
      <c r="N105" t="str" cm="1">
        <f t="array" ref="N105">_xlfn.IFS(M105&lt;40,"Queit",M105&lt;70,"Modest",M105&lt;100,"Good",M105&gt;=100,"Busy")</f>
        <v>Good</v>
      </c>
    </row>
    <row r="106" spans="1:14" x14ac:dyDescent="0.35">
      <c r="A106" s="85">
        <v>10</v>
      </c>
      <c r="B106" s="86">
        <v>44571</v>
      </c>
      <c r="C106" s="85" t="s">
        <v>39</v>
      </c>
      <c r="D106" s="85" t="s">
        <v>40</v>
      </c>
      <c r="E106" s="85" t="s">
        <v>45</v>
      </c>
      <c r="F106" s="85" t="s">
        <v>26</v>
      </c>
      <c r="G106" s="85" t="s">
        <v>46</v>
      </c>
      <c r="H106" s="87">
        <v>35.737514999999995</v>
      </c>
      <c r="I106" s="87">
        <v>48.291699999999999</v>
      </c>
      <c r="J106" s="87">
        <v>14.958888999999999</v>
      </c>
      <c r="K106" s="85">
        <v>13</v>
      </c>
      <c r="L106" s="85">
        <v>72</v>
      </c>
      <c r="M106" s="85">
        <f t="shared" si="1"/>
        <v>85</v>
      </c>
      <c r="N106" t="str" cm="1">
        <f t="array" ref="N106">_xlfn.IFS(M106&lt;40,"Queit",M106&lt;70,"Modest",M106&lt;100,"Good",M106&gt;=100,"Busy")</f>
        <v>Good</v>
      </c>
    </row>
    <row r="107" spans="1:14" x14ac:dyDescent="0.35">
      <c r="A107" s="85">
        <v>12</v>
      </c>
      <c r="B107" s="86">
        <v>44573</v>
      </c>
      <c r="C107" s="85" t="s">
        <v>39</v>
      </c>
      <c r="D107" s="85" t="s">
        <v>40</v>
      </c>
      <c r="E107" s="85" t="s">
        <v>48</v>
      </c>
      <c r="F107" s="85" t="s">
        <v>26</v>
      </c>
      <c r="G107" s="85" t="s">
        <v>46</v>
      </c>
      <c r="H107" s="87">
        <v>30.637485000000002</v>
      </c>
      <c r="I107" s="87">
        <v>59.954499999999996</v>
      </c>
      <c r="J107" s="87">
        <v>20.410008999999999</v>
      </c>
      <c r="K107" s="85">
        <v>18</v>
      </c>
      <c r="L107" s="85">
        <v>84</v>
      </c>
      <c r="M107" s="85">
        <f t="shared" si="1"/>
        <v>102</v>
      </c>
      <c r="N107" t="str" cm="1">
        <f t="array" ref="N107">_xlfn.IFS(M107&lt;40,"Queit",M107&lt;70,"Modest",M107&lt;100,"Good",M107&gt;=100,"Busy")</f>
        <v>Busy</v>
      </c>
    </row>
    <row r="108" spans="1:14" x14ac:dyDescent="0.35">
      <c r="A108" s="85">
        <v>13</v>
      </c>
      <c r="B108" s="86">
        <v>44574</v>
      </c>
      <c r="C108" s="85" t="s">
        <v>39</v>
      </c>
      <c r="D108" s="85" t="s">
        <v>40</v>
      </c>
      <c r="E108" s="85" t="s">
        <v>49</v>
      </c>
      <c r="F108" s="85" t="s">
        <v>26</v>
      </c>
      <c r="G108" s="85" t="s">
        <v>46</v>
      </c>
      <c r="H108" s="87">
        <v>29.849984999999997</v>
      </c>
      <c r="I108" s="87">
        <v>47.041699999999999</v>
      </c>
      <c r="J108" s="87">
        <v>20.166999999999998</v>
      </c>
      <c r="K108" s="85">
        <v>26</v>
      </c>
      <c r="L108" s="85">
        <v>84</v>
      </c>
      <c r="M108" s="85">
        <f t="shared" si="1"/>
        <v>110</v>
      </c>
      <c r="N108" t="str" cm="1">
        <f t="array" ref="N108">_xlfn.IFS(M108&lt;40,"Queit",M108&lt;70,"Modest",M108&lt;100,"Good",M108&gt;=100,"Busy")</f>
        <v>Busy</v>
      </c>
    </row>
    <row r="109" spans="1:14" x14ac:dyDescent="0.35">
      <c r="A109" s="85">
        <v>14</v>
      </c>
      <c r="B109" s="86">
        <v>44575</v>
      </c>
      <c r="C109" s="85" t="s">
        <v>39</v>
      </c>
      <c r="D109" s="85" t="s">
        <v>40</v>
      </c>
      <c r="E109" s="85" t="s">
        <v>50</v>
      </c>
      <c r="F109" s="85" t="s">
        <v>26</v>
      </c>
      <c r="G109" s="85" t="s">
        <v>46</v>
      </c>
      <c r="H109" s="87">
        <v>30.900015</v>
      </c>
      <c r="I109" s="87">
        <v>53.782600000000002</v>
      </c>
      <c r="J109" s="87">
        <v>8.4787160000000004</v>
      </c>
      <c r="K109" s="85">
        <v>48</v>
      </c>
      <c r="L109" s="85">
        <v>70</v>
      </c>
      <c r="M109" s="85">
        <f t="shared" si="1"/>
        <v>118</v>
      </c>
      <c r="N109" t="str" cm="1">
        <f t="array" ref="N109">_xlfn.IFS(M109&lt;40,"Queit",M109&lt;70,"Modest",M109&lt;100,"Good",M109&gt;=100,"Busy")</f>
        <v>Busy</v>
      </c>
    </row>
    <row r="110" spans="1:14" x14ac:dyDescent="0.35">
      <c r="A110" s="85">
        <v>16</v>
      </c>
      <c r="B110" s="86">
        <v>44577</v>
      </c>
      <c r="C110" s="85" t="s">
        <v>39</v>
      </c>
      <c r="D110" s="85" t="s">
        <v>40</v>
      </c>
      <c r="E110" s="85" t="s">
        <v>44</v>
      </c>
      <c r="F110" s="85" t="s">
        <v>42</v>
      </c>
      <c r="G110" s="85" t="s">
        <v>46</v>
      </c>
      <c r="H110" s="87">
        <v>33.600014999999999</v>
      </c>
      <c r="I110" s="87">
        <v>48.375</v>
      </c>
      <c r="J110" s="87">
        <v>12.625010999999999</v>
      </c>
      <c r="K110" s="85">
        <v>17</v>
      </c>
      <c r="L110" s="85">
        <v>72</v>
      </c>
      <c r="M110" s="85">
        <f t="shared" si="1"/>
        <v>89</v>
      </c>
      <c r="N110" t="str" cm="1">
        <f t="array" ref="N110">_xlfn.IFS(M110&lt;40,"Queit",M110&lt;70,"Modest",M110&lt;100,"Good",M110&gt;=100,"Busy")</f>
        <v>Good</v>
      </c>
    </row>
    <row r="111" spans="1:14" x14ac:dyDescent="0.35">
      <c r="A111" s="85">
        <v>21</v>
      </c>
      <c r="B111" s="86">
        <v>44582</v>
      </c>
      <c r="C111" s="85" t="s">
        <v>39</v>
      </c>
      <c r="D111" s="85" t="s">
        <v>40</v>
      </c>
      <c r="E111" s="85" t="s">
        <v>50</v>
      </c>
      <c r="F111" s="85" t="s">
        <v>26</v>
      </c>
      <c r="G111" s="85" t="s">
        <v>46</v>
      </c>
      <c r="H111" s="87">
        <v>38.212515000000003</v>
      </c>
      <c r="I111" s="87">
        <v>45.708300000000001</v>
      </c>
      <c r="J111" s="87">
        <v>23.667214000000001</v>
      </c>
      <c r="K111" s="85">
        <v>20</v>
      </c>
      <c r="L111" s="85">
        <v>46</v>
      </c>
      <c r="M111" s="85">
        <f t="shared" si="1"/>
        <v>66</v>
      </c>
      <c r="N111" t="str" cm="1">
        <f t="array" ref="N111">_xlfn.IFS(M111&lt;40,"Queit",M111&lt;70,"Modest",M111&lt;100,"Good",M111&gt;=100,"Busy")</f>
        <v>Modest</v>
      </c>
    </row>
    <row r="112" spans="1:14" x14ac:dyDescent="0.35">
      <c r="A112" s="85">
        <v>22</v>
      </c>
      <c r="B112" s="86">
        <v>44583</v>
      </c>
      <c r="C112" s="85" t="s">
        <v>39</v>
      </c>
      <c r="D112" s="85" t="s">
        <v>40</v>
      </c>
      <c r="E112" s="85" t="s">
        <v>41</v>
      </c>
      <c r="F112" s="85" t="s">
        <v>42</v>
      </c>
      <c r="G112" s="85" t="s">
        <v>46</v>
      </c>
      <c r="H112" s="87">
        <v>37.35</v>
      </c>
      <c r="I112" s="87">
        <v>40</v>
      </c>
      <c r="J112" s="87">
        <v>11.521990000000001</v>
      </c>
      <c r="K112" s="85">
        <v>21</v>
      </c>
      <c r="L112" s="85">
        <v>51</v>
      </c>
      <c r="M112" s="85">
        <f t="shared" si="1"/>
        <v>72</v>
      </c>
      <c r="N112" t="str" cm="1">
        <f t="array" ref="N112">_xlfn.IFS(M112&lt;40,"Queit",M112&lt;70,"Modest",M112&lt;100,"Good",M112&gt;=100,"Busy")</f>
        <v>Good</v>
      </c>
    </row>
    <row r="113" spans="1:14" x14ac:dyDescent="0.35">
      <c r="A113" s="85">
        <v>23</v>
      </c>
      <c r="B113" s="86">
        <v>44584</v>
      </c>
      <c r="C113" s="85" t="s">
        <v>39</v>
      </c>
      <c r="D113" s="85" t="s">
        <v>40</v>
      </c>
      <c r="E113" s="85" t="s">
        <v>44</v>
      </c>
      <c r="F113" s="85" t="s">
        <v>42</v>
      </c>
      <c r="G113" s="85" t="s">
        <v>46</v>
      </c>
      <c r="H113" s="87">
        <v>33.449984999999998</v>
      </c>
      <c r="I113" s="87">
        <v>43.652200000000001</v>
      </c>
      <c r="J113" s="87">
        <v>16.522200000000002</v>
      </c>
      <c r="K113" s="85">
        <v>11</v>
      </c>
      <c r="L113" s="85">
        <v>65</v>
      </c>
      <c r="M113" s="85">
        <f t="shared" si="1"/>
        <v>76</v>
      </c>
      <c r="N113" t="str" cm="1">
        <f t="array" ref="N113">_xlfn.IFS(M113&lt;40,"Queit",M113&lt;70,"Modest",M113&lt;100,"Good",M113&gt;=100,"Busy")</f>
        <v>Good</v>
      </c>
    </row>
    <row r="114" spans="1:14" x14ac:dyDescent="0.35">
      <c r="A114" s="85">
        <v>24</v>
      </c>
      <c r="B114" s="86">
        <v>44585</v>
      </c>
      <c r="C114" s="85" t="s">
        <v>39</v>
      </c>
      <c r="D114" s="85" t="s">
        <v>40</v>
      </c>
      <c r="E114" s="85" t="s">
        <v>45</v>
      </c>
      <c r="F114" s="85" t="s">
        <v>26</v>
      </c>
      <c r="G114" s="85" t="s">
        <v>46</v>
      </c>
      <c r="H114" s="87">
        <v>34.725014999999999</v>
      </c>
      <c r="I114" s="87">
        <v>49.173899999999996</v>
      </c>
      <c r="J114" s="87">
        <v>10.60811</v>
      </c>
      <c r="K114" s="85">
        <v>15</v>
      </c>
      <c r="L114" s="85">
        <v>77</v>
      </c>
      <c r="M114" s="85">
        <f t="shared" si="1"/>
        <v>92</v>
      </c>
      <c r="N114" t="str" cm="1">
        <f t="array" ref="N114">_xlfn.IFS(M114&lt;40,"Queit",M114&lt;70,"Modest",M114&lt;100,"Good",M114&gt;=100,"Busy")</f>
        <v>Good</v>
      </c>
    </row>
    <row r="115" spans="1:14" x14ac:dyDescent="0.35">
      <c r="A115" s="85">
        <v>27</v>
      </c>
      <c r="B115" s="86">
        <v>44588</v>
      </c>
      <c r="C115" s="85" t="s">
        <v>39</v>
      </c>
      <c r="D115" s="85" t="s">
        <v>40</v>
      </c>
      <c r="E115" s="85" t="s">
        <v>49</v>
      </c>
      <c r="F115" s="85" t="s">
        <v>26</v>
      </c>
      <c r="G115" s="85" t="s">
        <v>46</v>
      </c>
      <c r="H115" s="87">
        <v>37.724984999999997</v>
      </c>
      <c r="I115" s="87">
        <v>68.75</v>
      </c>
      <c r="J115" s="87">
        <v>7.6270789999999993</v>
      </c>
      <c r="K115" s="85">
        <v>13</v>
      </c>
      <c r="L115" s="85">
        <v>64</v>
      </c>
      <c r="M115" s="85">
        <f t="shared" si="1"/>
        <v>77</v>
      </c>
      <c r="N115" t="str" cm="1">
        <f t="array" ref="N115">_xlfn.IFS(M115&lt;40,"Queit",M115&lt;70,"Modest",M115&lt;100,"Good",M115&gt;=100,"Busy")</f>
        <v>Good</v>
      </c>
    </row>
    <row r="116" spans="1:14" x14ac:dyDescent="0.35">
      <c r="A116" s="85">
        <v>29</v>
      </c>
      <c r="B116" s="86">
        <v>44590</v>
      </c>
      <c r="C116" s="85" t="s">
        <v>39</v>
      </c>
      <c r="D116" s="85" t="s">
        <v>40</v>
      </c>
      <c r="E116" s="85" t="s">
        <v>41</v>
      </c>
      <c r="F116" s="85" t="s">
        <v>42</v>
      </c>
      <c r="G116" s="85" t="s">
        <v>46</v>
      </c>
      <c r="H116" s="87">
        <v>36.262484999999998</v>
      </c>
      <c r="I116" s="87">
        <v>65.173899999999989</v>
      </c>
      <c r="J116" s="87">
        <v>9.7394549999999995</v>
      </c>
      <c r="K116" s="85">
        <v>30</v>
      </c>
      <c r="L116" s="85">
        <v>56</v>
      </c>
      <c r="M116" s="85">
        <f t="shared" si="1"/>
        <v>86</v>
      </c>
      <c r="N116" t="str" cm="1">
        <f t="array" ref="N116">_xlfn.IFS(M116&lt;40,"Queit",M116&lt;70,"Modest",M116&lt;100,"Good",M116&gt;=100,"Busy")</f>
        <v>Good</v>
      </c>
    </row>
    <row r="117" spans="1:14" x14ac:dyDescent="0.35">
      <c r="A117" s="85">
        <v>30</v>
      </c>
      <c r="B117" s="86">
        <v>44591</v>
      </c>
      <c r="C117" s="85" t="s">
        <v>39</v>
      </c>
      <c r="D117" s="85" t="s">
        <v>40</v>
      </c>
      <c r="E117" s="85" t="s">
        <v>44</v>
      </c>
      <c r="F117" s="85" t="s">
        <v>42</v>
      </c>
      <c r="G117" s="85" t="s">
        <v>46</v>
      </c>
      <c r="H117" s="87">
        <v>34.725014999999999</v>
      </c>
      <c r="I117" s="87">
        <v>72.217399999999998</v>
      </c>
      <c r="J117" s="87">
        <v>4.9568341999999994</v>
      </c>
      <c r="K117" s="85">
        <v>15</v>
      </c>
      <c r="L117" s="85">
        <v>71</v>
      </c>
      <c r="M117" s="85">
        <f t="shared" si="1"/>
        <v>86</v>
      </c>
      <c r="N117" t="str" cm="1">
        <f t="array" ref="N117">_xlfn.IFS(M117&lt;40,"Queit",M117&lt;70,"Modest",M117&lt;100,"Good",M117&gt;=100,"Busy")</f>
        <v>Good</v>
      </c>
    </row>
    <row r="118" spans="1:14" x14ac:dyDescent="0.35">
      <c r="A118" s="85">
        <v>34</v>
      </c>
      <c r="B118" s="86">
        <v>44595</v>
      </c>
      <c r="C118" s="85" t="s">
        <v>39</v>
      </c>
      <c r="D118" s="85" t="s">
        <v>40</v>
      </c>
      <c r="E118" s="85" t="s">
        <v>49</v>
      </c>
      <c r="F118" s="85" t="s">
        <v>26</v>
      </c>
      <c r="G118" s="85" t="s">
        <v>46</v>
      </c>
      <c r="H118" s="87">
        <v>31.987485000000003</v>
      </c>
      <c r="I118" s="87">
        <v>43.782600000000002</v>
      </c>
      <c r="J118" s="87">
        <v>18.609383999999999</v>
      </c>
      <c r="K118" s="85">
        <v>20</v>
      </c>
      <c r="L118" s="85">
        <v>77</v>
      </c>
      <c r="M118" s="85">
        <f t="shared" si="1"/>
        <v>97</v>
      </c>
      <c r="N118" t="str" cm="1">
        <f t="array" ref="N118">_xlfn.IFS(M118&lt;40,"Queit",M118&lt;70,"Modest",M118&lt;100,"Good",M118&gt;=100,"Busy")</f>
        <v>Good</v>
      </c>
    </row>
    <row r="119" spans="1:14" x14ac:dyDescent="0.35">
      <c r="A119" s="85">
        <v>37</v>
      </c>
      <c r="B119" s="86">
        <v>44598</v>
      </c>
      <c r="C119" s="85" t="s">
        <v>39</v>
      </c>
      <c r="D119" s="85" t="s">
        <v>40</v>
      </c>
      <c r="E119" s="85" t="s">
        <v>44</v>
      </c>
      <c r="F119" s="85" t="s">
        <v>42</v>
      </c>
      <c r="G119" s="85" t="s">
        <v>46</v>
      </c>
      <c r="H119" s="87">
        <v>34.424999999999997</v>
      </c>
      <c r="I119" s="87">
        <v>56.833299999999994</v>
      </c>
      <c r="J119" s="87">
        <v>9.5006000000000004</v>
      </c>
      <c r="K119" s="85">
        <v>17</v>
      </c>
      <c r="L119" s="85">
        <v>70</v>
      </c>
      <c r="M119" s="85">
        <f t="shared" si="1"/>
        <v>87</v>
      </c>
      <c r="N119" t="str" cm="1">
        <f t="array" ref="N119">_xlfn.IFS(M119&lt;40,"Queit",M119&lt;70,"Modest",M119&lt;100,"Good",M119&gt;=100,"Busy")</f>
        <v>Good</v>
      </c>
    </row>
    <row r="120" spans="1:14" x14ac:dyDescent="0.35">
      <c r="A120" s="85">
        <v>38</v>
      </c>
      <c r="B120" s="86">
        <v>44599</v>
      </c>
      <c r="C120" s="85" t="s">
        <v>39</v>
      </c>
      <c r="D120" s="85" t="s">
        <v>40</v>
      </c>
      <c r="E120" s="85" t="s">
        <v>45</v>
      </c>
      <c r="F120" s="85" t="s">
        <v>26</v>
      </c>
      <c r="G120" s="85" t="s">
        <v>46</v>
      </c>
      <c r="H120" s="87">
        <v>34.875</v>
      </c>
      <c r="I120" s="87">
        <v>73.833300000000008</v>
      </c>
      <c r="J120" s="87">
        <v>3.0423561000000001</v>
      </c>
      <c r="K120" s="85">
        <v>18</v>
      </c>
      <c r="L120" s="85">
        <v>74</v>
      </c>
      <c r="M120" s="85">
        <f t="shared" si="1"/>
        <v>92</v>
      </c>
      <c r="N120" t="str" cm="1">
        <f t="array" ref="N120">_xlfn.IFS(M120&lt;40,"Queit",M120&lt;70,"Modest",M120&lt;100,"Good",M120&gt;=100,"Busy")</f>
        <v>Good</v>
      </c>
    </row>
    <row r="121" spans="1:14" x14ac:dyDescent="0.35">
      <c r="A121" s="85">
        <v>39</v>
      </c>
      <c r="B121" s="86">
        <v>44600</v>
      </c>
      <c r="C121" s="85" t="s">
        <v>39</v>
      </c>
      <c r="D121" s="85" t="s">
        <v>40</v>
      </c>
      <c r="E121" s="85" t="s">
        <v>47</v>
      </c>
      <c r="F121" s="85" t="s">
        <v>26</v>
      </c>
      <c r="G121" s="85" t="s">
        <v>46</v>
      </c>
      <c r="H121" s="87">
        <v>34.500014999999998</v>
      </c>
      <c r="I121" s="87">
        <v>53.791699999999999</v>
      </c>
      <c r="J121" s="87">
        <v>24.25065</v>
      </c>
      <c r="K121" s="85">
        <v>18</v>
      </c>
      <c r="L121" s="85">
        <v>78</v>
      </c>
      <c r="M121" s="85">
        <f t="shared" si="1"/>
        <v>96</v>
      </c>
      <c r="N121" t="str" cm="1">
        <f t="array" ref="N121">_xlfn.IFS(M121&lt;40,"Queit",M121&lt;70,"Modest",M121&lt;100,"Good",M121&gt;=100,"Busy")</f>
        <v>Good</v>
      </c>
    </row>
    <row r="122" spans="1:14" x14ac:dyDescent="0.35">
      <c r="A122" s="85">
        <v>41</v>
      </c>
      <c r="B122" s="86">
        <v>44602</v>
      </c>
      <c r="C122" s="85" t="s">
        <v>39</v>
      </c>
      <c r="D122" s="85" t="s">
        <v>40</v>
      </c>
      <c r="E122" s="85" t="s">
        <v>49</v>
      </c>
      <c r="F122" s="85" t="s">
        <v>26</v>
      </c>
      <c r="G122" s="85" t="s">
        <v>46</v>
      </c>
      <c r="H122" s="87">
        <v>31.874984999999999</v>
      </c>
      <c r="I122" s="87">
        <v>43.739100000000001</v>
      </c>
      <c r="J122" s="87">
        <v>14.869645</v>
      </c>
      <c r="K122" s="85">
        <v>21</v>
      </c>
      <c r="L122" s="85">
        <v>77</v>
      </c>
      <c r="M122" s="85">
        <f t="shared" si="1"/>
        <v>98</v>
      </c>
      <c r="N122" t="str" cm="1">
        <f t="array" ref="N122">_xlfn.IFS(M122&lt;40,"Queit",M122&lt;70,"Modest",M122&lt;100,"Good",M122&gt;=100,"Busy")</f>
        <v>Good</v>
      </c>
    </row>
    <row r="123" spans="1:14" x14ac:dyDescent="0.35">
      <c r="A123" s="85">
        <v>42</v>
      </c>
      <c r="B123" s="86">
        <v>44603</v>
      </c>
      <c r="C123" s="85" t="s">
        <v>39</v>
      </c>
      <c r="D123" s="85" t="s">
        <v>40</v>
      </c>
      <c r="E123" s="85" t="s">
        <v>50</v>
      </c>
      <c r="F123" s="85" t="s">
        <v>26</v>
      </c>
      <c r="G123" s="85" t="s">
        <v>46</v>
      </c>
      <c r="H123" s="87">
        <v>30.862485</v>
      </c>
      <c r="I123" s="87">
        <v>50.636400000000002</v>
      </c>
      <c r="J123" s="87">
        <v>7.2728499999999991</v>
      </c>
      <c r="K123" s="85">
        <v>30</v>
      </c>
      <c r="L123" s="85">
        <v>53</v>
      </c>
      <c r="M123" s="85">
        <f t="shared" si="1"/>
        <v>83</v>
      </c>
      <c r="N123" t="str" cm="1">
        <f t="array" ref="N123">_xlfn.IFS(M123&lt;40,"Queit",M123&lt;70,"Modest",M123&lt;100,"Good",M123&gt;=100,"Busy")</f>
        <v>Good</v>
      </c>
    </row>
    <row r="124" spans="1:14" x14ac:dyDescent="0.35">
      <c r="A124" s="85">
        <v>43</v>
      </c>
      <c r="B124" s="86">
        <v>44604</v>
      </c>
      <c r="C124" s="85" t="s">
        <v>39</v>
      </c>
      <c r="D124" s="85" t="s">
        <v>40</v>
      </c>
      <c r="E124" s="85" t="s">
        <v>41</v>
      </c>
      <c r="F124" s="85" t="s">
        <v>42</v>
      </c>
      <c r="G124" s="85" t="s">
        <v>46</v>
      </c>
      <c r="H124" s="87">
        <v>30.450015</v>
      </c>
      <c r="I124" s="87">
        <v>54.416699999999999</v>
      </c>
      <c r="J124" s="87">
        <v>13.625589</v>
      </c>
      <c r="K124" s="85">
        <v>27</v>
      </c>
      <c r="L124" s="85">
        <v>50</v>
      </c>
      <c r="M124" s="85">
        <f t="shared" si="1"/>
        <v>77</v>
      </c>
      <c r="N124" t="str" cm="1">
        <f t="array" ref="N124">_xlfn.IFS(M124&lt;40,"Queit",M124&lt;70,"Modest",M124&lt;100,"Good",M124&gt;=100,"Busy")</f>
        <v>Good</v>
      </c>
    </row>
    <row r="125" spans="1:14" x14ac:dyDescent="0.35">
      <c r="A125" s="85">
        <v>44</v>
      </c>
      <c r="B125" s="86">
        <v>44605</v>
      </c>
      <c r="C125" s="85" t="s">
        <v>39</v>
      </c>
      <c r="D125" s="85" t="s">
        <v>40</v>
      </c>
      <c r="E125" s="85" t="s">
        <v>44</v>
      </c>
      <c r="F125" s="85" t="s">
        <v>42</v>
      </c>
      <c r="G125" s="85" t="s">
        <v>46</v>
      </c>
      <c r="H125" s="87">
        <v>29.962485000000001</v>
      </c>
      <c r="I125" s="87">
        <v>45.739100000000001</v>
      </c>
      <c r="J125" s="87">
        <v>17.479160999999998</v>
      </c>
      <c r="K125" s="85">
        <v>16</v>
      </c>
      <c r="L125" s="85">
        <v>71</v>
      </c>
      <c r="M125" s="85">
        <f t="shared" si="1"/>
        <v>87</v>
      </c>
      <c r="N125" t="str" cm="1">
        <f t="array" ref="N125">_xlfn.IFS(M125&lt;40,"Queit",M125&lt;70,"Modest",M125&lt;100,"Good",M125&gt;=100,"Busy")</f>
        <v>Good</v>
      </c>
    </row>
    <row r="126" spans="1:14" x14ac:dyDescent="0.35">
      <c r="A126" s="85">
        <v>45</v>
      </c>
      <c r="B126" s="86">
        <v>44606</v>
      </c>
      <c r="C126" s="85" t="s">
        <v>39</v>
      </c>
      <c r="D126" s="85" t="s">
        <v>40</v>
      </c>
      <c r="E126" s="85" t="s">
        <v>45</v>
      </c>
      <c r="F126" s="85" t="s">
        <v>26</v>
      </c>
      <c r="G126" s="85" t="s">
        <v>46</v>
      </c>
      <c r="H126" s="87">
        <v>31.537485</v>
      </c>
      <c r="I126" s="87">
        <v>37.583299999999994</v>
      </c>
      <c r="J126" s="87">
        <v>27.999835999999998</v>
      </c>
      <c r="K126" s="85">
        <v>14</v>
      </c>
      <c r="L126" s="85">
        <v>80</v>
      </c>
      <c r="M126" s="85">
        <f t="shared" si="1"/>
        <v>94</v>
      </c>
      <c r="N126" t="str" cm="1">
        <f t="array" ref="N126">_xlfn.IFS(M126&lt;40,"Queit",M126&lt;70,"Modest",M126&lt;100,"Good",M126&gt;=100,"Busy")</f>
        <v>Good</v>
      </c>
    </row>
    <row r="127" spans="1:14" x14ac:dyDescent="0.35">
      <c r="A127" s="85">
        <v>46</v>
      </c>
      <c r="B127" s="86">
        <v>44607</v>
      </c>
      <c r="C127" s="85" t="s">
        <v>39</v>
      </c>
      <c r="D127" s="85" t="s">
        <v>40</v>
      </c>
      <c r="E127" s="85" t="s">
        <v>47</v>
      </c>
      <c r="F127" s="85" t="s">
        <v>26</v>
      </c>
      <c r="G127" s="85" t="s">
        <v>46</v>
      </c>
      <c r="H127" s="87">
        <v>32.549985</v>
      </c>
      <c r="I127" s="87">
        <v>31.434800000000003</v>
      </c>
      <c r="J127" s="87">
        <v>19.522058000000001</v>
      </c>
      <c r="K127" s="85">
        <v>13</v>
      </c>
      <c r="L127" s="85">
        <v>81</v>
      </c>
      <c r="M127" s="85">
        <f t="shared" si="1"/>
        <v>94</v>
      </c>
      <c r="N127" t="str" cm="1">
        <f t="array" ref="N127">_xlfn.IFS(M127&lt;40,"Queit",M127&lt;70,"Modest",M127&lt;100,"Good",M127&gt;=100,"Busy")</f>
        <v>Good</v>
      </c>
    </row>
    <row r="128" spans="1:14" x14ac:dyDescent="0.35">
      <c r="A128" s="85">
        <v>47</v>
      </c>
      <c r="B128" s="86">
        <v>44608</v>
      </c>
      <c r="C128" s="85" t="s">
        <v>39</v>
      </c>
      <c r="D128" s="85" t="s">
        <v>40</v>
      </c>
      <c r="E128" s="85" t="s">
        <v>48</v>
      </c>
      <c r="F128" s="85" t="s">
        <v>26</v>
      </c>
      <c r="G128" s="85" t="s">
        <v>46</v>
      </c>
      <c r="H128" s="87">
        <v>32.025015000000003</v>
      </c>
      <c r="I128" s="87">
        <v>42.347799999999999</v>
      </c>
      <c r="J128" s="87">
        <v>16.869996999999998</v>
      </c>
      <c r="K128" s="85">
        <v>13</v>
      </c>
      <c r="L128" s="85">
        <v>63</v>
      </c>
      <c r="M128" s="85">
        <f t="shared" si="1"/>
        <v>76</v>
      </c>
      <c r="N128" t="str" cm="1">
        <f t="array" ref="N128">_xlfn.IFS(M128&lt;40,"Queit",M128&lt;70,"Modest",M128&lt;100,"Good",M128&gt;=100,"Busy")</f>
        <v>Good</v>
      </c>
    </row>
    <row r="129" spans="1:14" x14ac:dyDescent="0.35">
      <c r="A129" s="85">
        <v>48</v>
      </c>
      <c r="B129" s="86">
        <v>44609</v>
      </c>
      <c r="C129" s="85" t="s">
        <v>39</v>
      </c>
      <c r="D129" s="85" t="s">
        <v>40</v>
      </c>
      <c r="E129" s="85" t="s">
        <v>49</v>
      </c>
      <c r="F129" s="85" t="s">
        <v>26</v>
      </c>
      <c r="G129" s="85" t="s">
        <v>46</v>
      </c>
      <c r="H129" s="87">
        <v>30.825000000000003</v>
      </c>
      <c r="I129" s="87">
        <v>50.5</v>
      </c>
      <c r="J129" s="87">
        <v>15.416968000000001</v>
      </c>
      <c r="K129" s="85">
        <v>16</v>
      </c>
      <c r="L129" s="85">
        <v>67</v>
      </c>
      <c r="M129" s="85">
        <f t="shared" si="1"/>
        <v>83</v>
      </c>
      <c r="N129" t="str" cm="1">
        <f t="array" ref="N129">_xlfn.IFS(M129&lt;40,"Queit",M129&lt;70,"Modest",M129&lt;100,"Good",M129&gt;=100,"Busy")</f>
        <v>Good</v>
      </c>
    </row>
    <row r="130" spans="1:14" x14ac:dyDescent="0.35">
      <c r="A130" s="85">
        <v>49</v>
      </c>
      <c r="B130" s="86">
        <v>44610</v>
      </c>
      <c r="C130" s="85" t="s">
        <v>39</v>
      </c>
      <c r="D130" s="85" t="s">
        <v>40</v>
      </c>
      <c r="E130" s="85" t="s">
        <v>50</v>
      </c>
      <c r="F130" s="85" t="s">
        <v>26</v>
      </c>
      <c r="G130" s="85" t="s">
        <v>46</v>
      </c>
      <c r="H130" s="87">
        <v>31.387499999999999</v>
      </c>
      <c r="I130" s="87">
        <v>51.666699999999999</v>
      </c>
      <c r="J130" s="87">
        <v>17.749975000000003</v>
      </c>
      <c r="K130" s="85">
        <v>38</v>
      </c>
      <c r="L130" s="85">
        <v>66</v>
      </c>
      <c r="M130" s="85">
        <f t="shared" ref="M130:M193" si="2">K130+L130</f>
        <v>104</v>
      </c>
      <c r="N130" t="str" cm="1">
        <f t="array" ref="N130">_xlfn.IFS(M130&lt;40,"Queit",M130&lt;70,"Modest",M130&lt;100,"Good",M130&gt;=100,"Busy")</f>
        <v>Busy</v>
      </c>
    </row>
    <row r="131" spans="1:14" x14ac:dyDescent="0.35">
      <c r="A131" s="85">
        <v>50</v>
      </c>
      <c r="B131" s="86">
        <v>44611</v>
      </c>
      <c r="C131" s="85" t="s">
        <v>39</v>
      </c>
      <c r="D131" s="85" t="s">
        <v>40</v>
      </c>
      <c r="E131" s="85" t="s">
        <v>41</v>
      </c>
      <c r="F131" s="85" t="s">
        <v>42</v>
      </c>
      <c r="G131" s="85" t="s">
        <v>46</v>
      </c>
      <c r="H131" s="87">
        <v>31.987485000000003</v>
      </c>
      <c r="I131" s="87">
        <v>18.791699999999999</v>
      </c>
      <c r="J131" s="87">
        <v>34.000020999999997</v>
      </c>
      <c r="K131" s="85">
        <v>25</v>
      </c>
      <c r="L131" s="85">
        <v>52</v>
      </c>
      <c r="M131" s="85">
        <f t="shared" si="2"/>
        <v>77</v>
      </c>
      <c r="N131" t="str" cm="1">
        <f t="array" ref="N131">_xlfn.IFS(M131&lt;40,"Queit",M131&lt;70,"Modest",M131&lt;100,"Good",M131&gt;=100,"Busy")</f>
        <v>Good</v>
      </c>
    </row>
    <row r="132" spans="1:14" x14ac:dyDescent="0.35">
      <c r="A132" s="85">
        <v>51</v>
      </c>
      <c r="B132" s="86">
        <v>44612</v>
      </c>
      <c r="C132" s="85" t="s">
        <v>39</v>
      </c>
      <c r="D132" s="85" t="s">
        <v>40</v>
      </c>
      <c r="E132" s="85" t="s">
        <v>44</v>
      </c>
      <c r="F132" s="85" t="s">
        <v>42</v>
      </c>
      <c r="G132" s="85" t="s">
        <v>46</v>
      </c>
      <c r="H132" s="87">
        <v>31.125015000000001</v>
      </c>
      <c r="I132" s="87">
        <v>40.782600000000002</v>
      </c>
      <c r="J132" s="87">
        <v>14.956745</v>
      </c>
      <c r="K132" s="85">
        <v>17</v>
      </c>
      <c r="L132" s="85">
        <v>79</v>
      </c>
      <c r="M132" s="85">
        <f t="shared" si="2"/>
        <v>96</v>
      </c>
      <c r="N132" t="str" cm="1">
        <f t="array" ref="N132">_xlfn.IFS(M132&lt;40,"Queit",M132&lt;70,"Modest",M132&lt;100,"Good",M132&gt;=100,"Busy")</f>
        <v>Good</v>
      </c>
    </row>
    <row r="133" spans="1:14" x14ac:dyDescent="0.35">
      <c r="A133" s="85">
        <v>53</v>
      </c>
      <c r="B133" s="86">
        <v>44614</v>
      </c>
      <c r="C133" s="85" t="s">
        <v>39</v>
      </c>
      <c r="D133" s="85" t="s">
        <v>40</v>
      </c>
      <c r="E133" s="85" t="s">
        <v>47</v>
      </c>
      <c r="F133" s="85" t="s">
        <v>26</v>
      </c>
      <c r="G133" s="85" t="s">
        <v>46</v>
      </c>
      <c r="H133" s="87">
        <v>30.299985</v>
      </c>
      <c r="I133" s="87">
        <v>57.777799999999999</v>
      </c>
      <c r="J133" s="87">
        <v>13.110761</v>
      </c>
      <c r="K133" s="85">
        <v>19</v>
      </c>
      <c r="L133" s="85">
        <v>84</v>
      </c>
      <c r="M133" s="85">
        <f t="shared" si="2"/>
        <v>103</v>
      </c>
      <c r="N133" t="str" cm="1">
        <f t="array" ref="N133">_xlfn.IFS(M133&lt;40,"Queit",M133&lt;70,"Modest",M133&lt;100,"Good",M133&gt;=100,"Busy")</f>
        <v>Busy</v>
      </c>
    </row>
    <row r="134" spans="1:14" x14ac:dyDescent="0.35">
      <c r="A134" s="85">
        <v>54</v>
      </c>
      <c r="B134" s="86">
        <v>44615</v>
      </c>
      <c r="C134" s="85" t="s">
        <v>39</v>
      </c>
      <c r="D134" s="85" t="s">
        <v>40</v>
      </c>
      <c r="E134" s="85" t="s">
        <v>48</v>
      </c>
      <c r="F134" s="85" t="s">
        <v>26</v>
      </c>
      <c r="G134" s="85" t="s">
        <v>46</v>
      </c>
      <c r="H134" s="87">
        <v>30.787514999999999</v>
      </c>
      <c r="I134" s="87">
        <v>42.304299999999998</v>
      </c>
      <c r="J134" s="87">
        <v>6.3055710000000005</v>
      </c>
      <c r="K134" s="85">
        <v>9</v>
      </c>
      <c r="L134" s="85">
        <v>62</v>
      </c>
      <c r="M134" s="85">
        <f t="shared" si="2"/>
        <v>71</v>
      </c>
      <c r="N134" t="str" cm="1">
        <f t="array" ref="N134">_xlfn.IFS(M134&lt;40,"Queit",M134&lt;70,"Modest",M134&lt;100,"Good",M134&gt;=100,"Busy")</f>
        <v>Good</v>
      </c>
    </row>
    <row r="135" spans="1:14" x14ac:dyDescent="0.35">
      <c r="A135" s="85">
        <v>57</v>
      </c>
      <c r="B135" s="86">
        <v>44618</v>
      </c>
      <c r="C135" s="85" t="s">
        <v>39</v>
      </c>
      <c r="D135" s="85" t="s">
        <v>40</v>
      </c>
      <c r="E135" s="85" t="s">
        <v>41</v>
      </c>
      <c r="F135" s="85" t="s">
        <v>42</v>
      </c>
      <c r="G135" s="85" t="s">
        <v>46</v>
      </c>
      <c r="H135" s="87">
        <v>31.817654999999998</v>
      </c>
      <c r="I135" s="87">
        <v>53.791699999999999</v>
      </c>
      <c r="J135" s="87">
        <v>12.500257</v>
      </c>
      <c r="K135" s="85">
        <v>28</v>
      </c>
      <c r="L135" s="85">
        <v>58</v>
      </c>
      <c r="M135" s="85">
        <f t="shared" si="2"/>
        <v>86</v>
      </c>
      <c r="N135" t="str" cm="1">
        <f t="array" ref="N135">_xlfn.IFS(M135&lt;40,"Queit",M135&lt;70,"Modest",M135&lt;100,"Good",M135&gt;=100,"Busy")</f>
        <v>Good</v>
      </c>
    </row>
    <row r="136" spans="1:14" x14ac:dyDescent="0.35">
      <c r="A136" s="85">
        <v>58</v>
      </c>
      <c r="B136" s="86">
        <v>44619</v>
      </c>
      <c r="C136" s="85" t="s">
        <v>39</v>
      </c>
      <c r="D136" s="85" t="s">
        <v>40</v>
      </c>
      <c r="E136" s="85" t="s">
        <v>44</v>
      </c>
      <c r="F136" s="85" t="s">
        <v>42</v>
      </c>
      <c r="G136" s="85" t="s">
        <v>46</v>
      </c>
      <c r="H136" s="87">
        <v>28.650015</v>
      </c>
      <c r="I136" s="87">
        <v>68</v>
      </c>
      <c r="J136" s="87">
        <v>8.3916159999999991</v>
      </c>
      <c r="K136" s="85">
        <v>15</v>
      </c>
      <c r="L136" s="85">
        <v>78</v>
      </c>
      <c r="M136" s="85">
        <f t="shared" si="2"/>
        <v>93</v>
      </c>
      <c r="N136" t="str" cm="1">
        <f t="array" ref="N136">_xlfn.IFS(M136&lt;40,"Queit",M136&lt;70,"Modest",M136&lt;100,"Good",M136&gt;=100,"Busy")</f>
        <v>Good</v>
      </c>
    </row>
    <row r="137" spans="1:14" x14ac:dyDescent="0.35">
      <c r="A137" s="85">
        <v>335</v>
      </c>
      <c r="B137" s="86">
        <v>44896</v>
      </c>
      <c r="C137" s="85" t="s">
        <v>39</v>
      </c>
      <c r="D137" s="85" t="s">
        <v>40</v>
      </c>
      <c r="E137" s="85" t="s">
        <v>49</v>
      </c>
      <c r="F137" s="85" t="s">
        <v>26</v>
      </c>
      <c r="G137" s="85" t="s">
        <v>46</v>
      </c>
      <c r="H137" s="87">
        <v>32.174999999999997</v>
      </c>
      <c r="I137" s="87">
        <v>52.458300000000001</v>
      </c>
      <c r="J137" s="87">
        <v>14.750586</v>
      </c>
      <c r="K137" s="85">
        <v>15</v>
      </c>
      <c r="L137" s="85">
        <v>85</v>
      </c>
      <c r="M137" s="85">
        <f t="shared" si="2"/>
        <v>100</v>
      </c>
      <c r="N137" t="str" cm="1">
        <f t="array" ref="N137">_xlfn.IFS(M137&lt;40,"Queit",M137&lt;70,"Modest",M137&lt;100,"Good",M137&gt;=100,"Busy")</f>
        <v>Busy</v>
      </c>
    </row>
    <row r="138" spans="1:14" x14ac:dyDescent="0.35">
      <c r="A138" s="85">
        <v>336</v>
      </c>
      <c r="B138" s="86">
        <v>44897</v>
      </c>
      <c r="C138" s="85" t="s">
        <v>39</v>
      </c>
      <c r="D138" s="85" t="s">
        <v>40</v>
      </c>
      <c r="E138" s="85" t="s">
        <v>50</v>
      </c>
      <c r="F138" s="85" t="s">
        <v>26</v>
      </c>
      <c r="G138" s="85" t="s">
        <v>46</v>
      </c>
      <c r="H138" s="87">
        <v>27.9</v>
      </c>
      <c r="I138" s="87">
        <v>62.583299999999994</v>
      </c>
      <c r="J138" s="87">
        <v>6.7505179999999996</v>
      </c>
      <c r="K138" s="85">
        <v>18</v>
      </c>
      <c r="L138" s="85">
        <v>88</v>
      </c>
      <c r="M138" s="85">
        <f t="shared" si="2"/>
        <v>106</v>
      </c>
      <c r="N138" t="str" cm="1">
        <f t="array" ref="N138">_xlfn.IFS(M138&lt;40,"Queit",M138&lt;70,"Modest",M138&lt;100,"Good",M138&gt;=100,"Busy")</f>
        <v>Busy</v>
      </c>
    </row>
    <row r="139" spans="1:14" x14ac:dyDescent="0.35">
      <c r="A139" s="85">
        <v>337</v>
      </c>
      <c r="B139" s="86">
        <v>44898</v>
      </c>
      <c r="C139" s="85" t="s">
        <v>39</v>
      </c>
      <c r="D139" s="85" t="s">
        <v>40</v>
      </c>
      <c r="E139" s="85" t="s">
        <v>41</v>
      </c>
      <c r="F139" s="85" t="s">
        <v>42</v>
      </c>
      <c r="G139" s="85" t="s">
        <v>46</v>
      </c>
      <c r="H139" s="87">
        <v>28.574999999999999</v>
      </c>
      <c r="I139" s="87">
        <v>61.291700000000006</v>
      </c>
      <c r="J139" s="87">
        <v>6.4174810999999998</v>
      </c>
      <c r="K139" s="85">
        <v>37</v>
      </c>
      <c r="L139" s="85">
        <v>69</v>
      </c>
      <c r="M139" s="85">
        <f t="shared" si="2"/>
        <v>106</v>
      </c>
      <c r="N139" t="str" cm="1">
        <f t="array" ref="N139">_xlfn.IFS(M139&lt;40,"Queit",M139&lt;70,"Modest",M139&lt;100,"Good",M139&gt;=100,"Busy")</f>
        <v>Busy</v>
      </c>
    </row>
    <row r="140" spans="1:14" x14ac:dyDescent="0.35">
      <c r="A140" s="85">
        <v>338</v>
      </c>
      <c r="B140" s="86">
        <v>44899</v>
      </c>
      <c r="C140" s="85" t="s">
        <v>39</v>
      </c>
      <c r="D140" s="85" t="s">
        <v>40</v>
      </c>
      <c r="E140" s="85" t="s">
        <v>44</v>
      </c>
      <c r="F140" s="85" t="s">
        <v>42</v>
      </c>
      <c r="G140" s="85" t="s">
        <v>46</v>
      </c>
      <c r="H140" s="87">
        <v>29.174985000000003</v>
      </c>
      <c r="I140" s="87">
        <v>77.583299999999994</v>
      </c>
      <c r="J140" s="87">
        <v>5.6252060999999998</v>
      </c>
      <c r="K140" s="85">
        <v>34</v>
      </c>
      <c r="L140" s="85">
        <v>64</v>
      </c>
      <c r="M140" s="85">
        <f t="shared" si="2"/>
        <v>98</v>
      </c>
      <c r="N140" t="str" cm="1">
        <f t="array" ref="N140">_xlfn.IFS(M140&lt;40,"Queit",M140&lt;70,"Modest",M140&lt;100,"Good",M140&gt;=100,"Busy")</f>
        <v>Good</v>
      </c>
    </row>
    <row r="141" spans="1:14" x14ac:dyDescent="0.35">
      <c r="A141" s="85">
        <v>342</v>
      </c>
      <c r="B141" s="86">
        <v>44903</v>
      </c>
      <c r="C141" s="85" t="s">
        <v>39</v>
      </c>
      <c r="D141" s="85" t="s">
        <v>40</v>
      </c>
      <c r="E141" s="85" t="s">
        <v>49</v>
      </c>
      <c r="F141" s="85" t="s">
        <v>26</v>
      </c>
      <c r="G141" s="85" t="s">
        <v>46</v>
      </c>
      <c r="H141" s="87">
        <v>36.374984999999995</v>
      </c>
      <c r="I141" s="87">
        <v>57.999999999999993</v>
      </c>
      <c r="J141" s="87">
        <v>16.083886</v>
      </c>
      <c r="K141" s="85">
        <v>11</v>
      </c>
      <c r="L141" s="85">
        <v>67</v>
      </c>
      <c r="M141" s="85">
        <f t="shared" si="2"/>
        <v>78</v>
      </c>
      <c r="N141" t="str" cm="1">
        <f t="array" ref="N141">_xlfn.IFS(M141&lt;40,"Queit",M141&lt;70,"Modest",M141&lt;100,"Good",M141&gt;=100,"Busy")</f>
        <v>Good</v>
      </c>
    </row>
    <row r="142" spans="1:14" x14ac:dyDescent="0.35">
      <c r="A142" s="85">
        <v>343</v>
      </c>
      <c r="B142" s="86">
        <v>44904</v>
      </c>
      <c r="C142" s="85" t="s">
        <v>39</v>
      </c>
      <c r="D142" s="85" t="s">
        <v>40</v>
      </c>
      <c r="E142" s="85" t="s">
        <v>50</v>
      </c>
      <c r="F142" s="85" t="s">
        <v>26</v>
      </c>
      <c r="G142" s="85" t="s">
        <v>46</v>
      </c>
      <c r="H142" s="87">
        <v>33.975000000000001</v>
      </c>
      <c r="I142" s="87">
        <v>69.583300000000008</v>
      </c>
      <c r="J142" s="87">
        <v>5.5420189000000004</v>
      </c>
      <c r="K142" s="85">
        <v>16</v>
      </c>
      <c r="L142" s="85">
        <v>75</v>
      </c>
      <c r="M142" s="85">
        <f t="shared" si="2"/>
        <v>91</v>
      </c>
      <c r="N142" t="str" cm="1">
        <f t="array" ref="N142">_xlfn.IFS(M142&lt;40,"Queit",M142&lt;70,"Modest",M142&lt;100,"Good",M142&gt;=100,"Busy")</f>
        <v>Good</v>
      </c>
    </row>
    <row r="143" spans="1:14" x14ac:dyDescent="0.35">
      <c r="A143" s="85">
        <v>344</v>
      </c>
      <c r="B143" s="86">
        <v>44905</v>
      </c>
      <c r="C143" s="85" t="s">
        <v>39</v>
      </c>
      <c r="D143" s="85" t="s">
        <v>40</v>
      </c>
      <c r="E143" s="85" t="s">
        <v>41</v>
      </c>
      <c r="F143" s="85" t="s">
        <v>42</v>
      </c>
      <c r="G143" s="85" t="s">
        <v>46</v>
      </c>
      <c r="H143" s="87">
        <v>32.625</v>
      </c>
      <c r="I143" s="87">
        <v>50.749999999999993</v>
      </c>
      <c r="J143" s="87">
        <v>15.625807</v>
      </c>
      <c r="K143" s="85">
        <v>35</v>
      </c>
      <c r="L143" s="85">
        <v>65</v>
      </c>
      <c r="M143" s="85">
        <f t="shared" si="2"/>
        <v>100</v>
      </c>
      <c r="N143" t="str" cm="1">
        <f t="array" ref="N143">_xlfn.IFS(M143&lt;40,"Queit",M143&lt;70,"Modest",M143&lt;100,"Good",M143&gt;=100,"Busy")</f>
        <v>Busy</v>
      </c>
    </row>
    <row r="144" spans="1:14" x14ac:dyDescent="0.35">
      <c r="A144" s="85">
        <v>345</v>
      </c>
      <c r="B144" s="86">
        <v>44906</v>
      </c>
      <c r="C144" s="85" t="s">
        <v>39</v>
      </c>
      <c r="D144" s="85" t="s">
        <v>40</v>
      </c>
      <c r="E144" s="85" t="s">
        <v>44</v>
      </c>
      <c r="F144" s="85" t="s">
        <v>42</v>
      </c>
      <c r="G144" s="85" t="s">
        <v>46</v>
      </c>
      <c r="H144" s="87">
        <v>31.162500000000001</v>
      </c>
      <c r="I144" s="87">
        <v>49</v>
      </c>
      <c r="J144" s="87">
        <v>4.4582938999999993</v>
      </c>
      <c r="K144" s="85">
        <v>29</v>
      </c>
      <c r="L144" s="85">
        <v>60</v>
      </c>
      <c r="M144" s="85">
        <f t="shared" si="2"/>
        <v>89</v>
      </c>
      <c r="N144" t="str" cm="1">
        <f t="array" ref="N144">_xlfn.IFS(M144&lt;40,"Queit",M144&lt;70,"Modest",M144&lt;100,"Good",M144&gt;=100,"Busy")</f>
        <v>Good</v>
      </c>
    </row>
    <row r="145" spans="1:14" x14ac:dyDescent="0.35">
      <c r="A145" s="85">
        <v>346</v>
      </c>
      <c r="B145" s="86">
        <v>44907</v>
      </c>
      <c r="C145" s="85" t="s">
        <v>39</v>
      </c>
      <c r="D145" s="85" t="s">
        <v>40</v>
      </c>
      <c r="E145" s="85" t="s">
        <v>45</v>
      </c>
      <c r="F145" s="85" t="s">
        <v>26</v>
      </c>
      <c r="G145" s="85" t="s">
        <v>46</v>
      </c>
      <c r="H145" s="87">
        <v>28.574999999999999</v>
      </c>
      <c r="I145" s="87">
        <v>67.083300000000008</v>
      </c>
      <c r="J145" s="87">
        <v>4.2511500000000009</v>
      </c>
      <c r="K145" s="85">
        <v>17</v>
      </c>
      <c r="L145" s="85">
        <v>83</v>
      </c>
      <c r="M145" s="85">
        <f t="shared" si="2"/>
        <v>100</v>
      </c>
      <c r="N145" t="str" cm="1">
        <f t="array" ref="N145">_xlfn.IFS(M145&lt;40,"Queit",M145&lt;70,"Modest",M145&lt;100,"Good",M145&gt;=100,"Busy")</f>
        <v>Busy</v>
      </c>
    </row>
    <row r="146" spans="1:14" x14ac:dyDescent="0.35">
      <c r="A146" s="85">
        <v>347</v>
      </c>
      <c r="B146" s="86">
        <v>44908</v>
      </c>
      <c r="C146" s="85" t="s">
        <v>39</v>
      </c>
      <c r="D146" s="85" t="s">
        <v>40</v>
      </c>
      <c r="E146" s="85" t="s">
        <v>47</v>
      </c>
      <c r="F146" s="85" t="s">
        <v>26</v>
      </c>
      <c r="G146" s="85" t="s">
        <v>46</v>
      </c>
      <c r="H146" s="87">
        <v>27.187515000000001</v>
      </c>
      <c r="I146" s="87">
        <v>59</v>
      </c>
      <c r="J146" s="87">
        <v>9.4168500000000002</v>
      </c>
      <c r="K146" s="85">
        <v>15</v>
      </c>
      <c r="L146" s="85">
        <v>83</v>
      </c>
      <c r="M146" s="85">
        <f t="shared" si="2"/>
        <v>98</v>
      </c>
      <c r="N146" t="str" cm="1">
        <f t="array" ref="N146">_xlfn.IFS(M146&lt;40,"Queit",M146&lt;70,"Modest",M146&lt;100,"Good",M146&gt;=100,"Busy")</f>
        <v>Good</v>
      </c>
    </row>
    <row r="147" spans="1:14" x14ac:dyDescent="0.35">
      <c r="A147" s="85">
        <v>352</v>
      </c>
      <c r="B147" s="86">
        <v>44913</v>
      </c>
      <c r="C147" s="85" t="s">
        <v>39</v>
      </c>
      <c r="D147" s="85" t="s">
        <v>40</v>
      </c>
      <c r="E147" s="85" t="s">
        <v>44</v>
      </c>
      <c r="F147" s="85" t="s">
        <v>42</v>
      </c>
      <c r="G147" s="85" t="s">
        <v>46</v>
      </c>
      <c r="H147" s="87">
        <v>31.462515</v>
      </c>
      <c r="I147" s="87">
        <v>58.625000000000007</v>
      </c>
      <c r="J147" s="87">
        <v>11.375193000000001</v>
      </c>
      <c r="K147" s="85">
        <v>33</v>
      </c>
      <c r="L147" s="85">
        <v>62</v>
      </c>
      <c r="M147" s="85">
        <f t="shared" si="2"/>
        <v>95</v>
      </c>
      <c r="N147" t="str" cm="1">
        <f t="array" ref="N147">_xlfn.IFS(M147&lt;40,"Queit",M147&lt;70,"Modest",M147&lt;100,"Good",M147&gt;=100,"Busy")</f>
        <v>Good</v>
      </c>
    </row>
    <row r="148" spans="1:14" x14ac:dyDescent="0.35">
      <c r="A148" s="85">
        <v>353</v>
      </c>
      <c r="B148" s="86">
        <v>44914</v>
      </c>
      <c r="C148" s="85" t="s">
        <v>39</v>
      </c>
      <c r="D148" s="85" t="s">
        <v>40</v>
      </c>
      <c r="E148" s="85" t="s">
        <v>45</v>
      </c>
      <c r="F148" s="85" t="s">
        <v>26</v>
      </c>
      <c r="G148" s="85" t="s">
        <v>46</v>
      </c>
      <c r="H148" s="87">
        <v>28.574999999999999</v>
      </c>
      <c r="I148" s="87">
        <v>63.749999999999993</v>
      </c>
      <c r="J148" s="87">
        <v>11.584031999999999</v>
      </c>
      <c r="K148" s="85">
        <v>14</v>
      </c>
      <c r="L148" s="85">
        <v>66</v>
      </c>
      <c r="M148" s="85">
        <f t="shared" si="2"/>
        <v>80</v>
      </c>
      <c r="N148" t="str" cm="1">
        <f t="array" ref="N148">_xlfn.IFS(M148&lt;40,"Queit",M148&lt;70,"Modest",M148&lt;100,"Good",M148&gt;=100,"Busy")</f>
        <v>Good</v>
      </c>
    </row>
    <row r="149" spans="1:14" x14ac:dyDescent="0.35">
      <c r="A149" s="85">
        <v>357</v>
      </c>
      <c r="B149" s="86">
        <v>44918</v>
      </c>
      <c r="C149" s="85" t="s">
        <v>39</v>
      </c>
      <c r="D149" s="85" t="s">
        <v>40</v>
      </c>
      <c r="E149" s="85" t="s">
        <v>50</v>
      </c>
      <c r="F149" s="85" t="s">
        <v>26</v>
      </c>
      <c r="G149" s="85" t="s">
        <v>46</v>
      </c>
      <c r="H149" s="87">
        <v>32.587515000000003</v>
      </c>
      <c r="I149" s="87">
        <v>68.625</v>
      </c>
      <c r="J149" s="87">
        <v>18.374482</v>
      </c>
      <c r="K149" s="85">
        <v>19</v>
      </c>
      <c r="L149" s="85">
        <v>80</v>
      </c>
      <c r="M149" s="85">
        <f t="shared" si="2"/>
        <v>99</v>
      </c>
      <c r="N149" t="str" cm="1">
        <f t="array" ref="N149">_xlfn.IFS(M149&lt;40,"Queit",M149&lt;70,"Modest",M149&lt;100,"Good",M149&gt;=100,"Busy")</f>
        <v>Good</v>
      </c>
    </row>
    <row r="150" spans="1:14" x14ac:dyDescent="0.35">
      <c r="A150" s="85">
        <v>358</v>
      </c>
      <c r="B150" s="86">
        <v>44919</v>
      </c>
      <c r="C150" s="85" t="s">
        <v>39</v>
      </c>
      <c r="D150" s="85" t="s">
        <v>40</v>
      </c>
      <c r="E150" s="85" t="s">
        <v>41</v>
      </c>
      <c r="F150" s="85" t="s">
        <v>42</v>
      </c>
      <c r="G150" s="85" t="s">
        <v>46</v>
      </c>
      <c r="H150" s="87">
        <v>31.274999999999999</v>
      </c>
      <c r="I150" s="87">
        <v>54.25</v>
      </c>
      <c r="J150" s="87">
        <v>12.750368</v>
      </c>
      <c r="K150" s="85">
        <v>36</v>
      </c>
      <c r="L150" s="85">
        <v>68</v>
      </c>
      <c r="M150" s="85">
        <f t="shared" si="2"/>
        <v>104</v>
      </c>
      <c r="N150" t="str" cm="1">
        <f t="array" ref="N150">_xlfn.IFS(M150&lt;40,"Queit",M150&lt;70,"Modest",M150&lt;100,"Good",M150&gt;=100,"Busy")</f>
        <v>Busy</v>
      </c>
    </row>
    <row r="151" spans="1:14" x14ac:dyDescent="0.35">
      <c r="A151" s="85">
        <v>359</v>
      </c>
      <c r="B151" s="86">
        <v>44920</v>
      </c>
      <c r="C151" s="85" t="s">
        <v>39</v>
      </c>
      <c r="D151" s="85" t="s">
        <v>40</v>
      </c>
      <c r="E151" s="85" t="s">
        <v>44</v>
      </c>
      <c r="F151" s="85" t="s">
        <v>42</v>
      </c>
      <c r="G151" s="85" t="s">
        <v>46</v>
      </c>
      <c r="H151" s="87">
        <v>30.6</v>
      </c>
      <c r="I151" s="87">
        <v>68.130400000000009</v>
      </c>
      <c r="J151" s="87">
        <v>10.391097</v>
      </c>
      <c r="K151" s="85">
        <v>38</v>
      </c>
      <c r="L151" s="85">
        <v>68</v>
      </c>
      <c r="M151" s="85">
        <f t="shared" si="2"/>
        <v>106</v>
      </c>
      <c r="N151" t="str" cm="1">
        <f t="array" ref="N151">_xlfn.IFS(M151&lt;40,"Queit",M151&lt;70,"Modest",M151&lt;100,"Good",M151&gt;=100,"Busy")</f>
        <v>Busy</v>
      </c>
    </row>
    <row r="152" spans="1:14" x14ac:dyDescent="0.35">
      <c r="A152" s="85">
        <v>360</v>
      </c>
      <c r="B152" s="86">
        <v>44921</v>
      </c>
      <c r="C152" s="85" t="s">
        <v>39</v>
      </c>
      <c r="D152" s="85" t="s">
        <v>22</v>
      </c>
      <c r="E152" s="85" t="s">
        <v>45</v>
      </c>
      <c r="F152" s="85" t="s">
        <v>42</v>
      </c>
      <c r="G152" s="85" t="s">
        <v>46</v>
      </c>
      <c r="H152" s="87">
        <v>30.712499999999999</v>
      </c>
      <c r="I152" s="87">
        <v>50.695700000000002</v>
      </c>
      <c r="J152" s="87">
        <v>16.044155</v>
      </c>
      <c r="K152" s="85">
        <v>17</v>
      </c>
      <c r="L152" s="85">
        <v>77</v>
      </c>
      <c r="M152" s="85">
        <f t="shared" si="2"/>
        <v>94</v>
      </c>
      <c r="N152" t="str" cm="1">
        <f t="array" ref="N152">_xlfn.IFS(M152&lt;40,"Queit",M152&lt;70,"Modest",M152&lt;100,"Good",M152&gt;=100,"Busy")</f>
        <v>Good</v>
      </c>
    </row>
    <row r="153" spans="1:14" x14ac:dyDescent="0.35">
      <c r="A153" s="85">
        <v>362</v>
      </c>
      <c r="B153" s="86">
        <v>44923</v>
      </c>
      <c r="C153" s="85" t="s">
        <v>39</v>
      </c>
      <c r="D153" s="85" t="s">
        <v>40</v>
      </c>
      <c r="E153" s="85" t="s">
        <v>48</v>
      </c>
      <c r="F153" s="85" t="s">
        <v>26</v>
      </c>
      <c r="G153" s="85" t="s">
        <v>46</v>
      </c>
      <c r="H153" s="87">
        <v>32.774985000000001</v>
      </c>
      <c r="I153" s="87">
        <v>50.391300000000008</v>
      </c>
      <c r="J153" s="87">
        <v>19.695386999999997</v>
      </c>
      <c r="K153" s="85">
        <v>17</v>
      </c>
      <c r="L153" s="85">
        <v>88</v>
      </c>
      <c r="M153" s="85">
        <f t="shared" si="2"/>
        <v>105</v>
      </c>
      <c r="N153" t="str" cm="1">
        <f t="array" ref="N153">_xlfn.IFS(M153&lt;40,"Queit",M153&lt;70,"Modest",M153&lt;100,"Good",M153&gt;=100,"Busy")</f>
        <v>Busy</v>
      </c>
    </row>
    <row r="154" spans="1:14" x14ac:dyDescent="0.35">
      <c r="A154" s="85">
        <v>363</v>
      </c>
      <c r="B154" s="86">
        <v>44924</v>
      </c>
      <c r="C154" s="85" t="s">
        <v>39</v>
      </c>
      <c r="D154" s="85" t="s">
        <v>40</v>
      </c>
      <c r="E154" s="85" t="s">
        <v>49</v>
      </c>
      <c r="F154" s="85" t="s">
        <v>26</v>
      </c>
      <c r="G154" s="85" t="s">
        <v>46</v>
      </c>
      <c r="H154" s="87">
        <v>31.350015000000003</v>
      </c>
      <c r="I154" s="87">
        <v>57.416699999999999</v>
      </c>
      <c r="J154" s="87">
        <v>8.0006040000000009</v>
      </c>
      <c r="K154" s="85">
        <v>21</v>
      </c>
      <c r="L154" s="85">
        <v>90</v>
      </c>
      <c r="M154" s="85">
        <f t="shared" si="2"/>
        <v>111</v>
      </c>
      <c r="N154" t="str" cm="1">
        <f t="array" ref="N154">_xlfn.IFS(M154&lt;40,"Queit",M154&lt;70,"Modest",M154&lt;100,"Good",M154&gt;=100,"Busy")</f>
        <v>Busy</v>
      </c>
    </row>
    <row r="155" spans="1:14" x14ac:dyDescent="0.35">
      <c r="A155" s="85">
        <v>364</v>
      </c>
      <c r="B155" s="86">
        <v>44925</v>
      </c>
      <c r="C155" s="85" t="s">
        <v>39</v>
      </c>
      <c r="D155" s="85" t="s">
        <v>40</v>
      </c>
      <c r="E155" s="85" t="s">
        <v>50</v>
      </c>
      <c r="F155" s="85" t="s">
        <v>26</v>
      </c>
      <c r="G155" s="85" t="s">
        <v>46</v>
      </c>
      <c r="H155" s="87">
        <v>32.512500000000003</v>
      </c>
      <c r="I155" s="87">
        <v>63.666699999999999</v>
      </c>
      <c r="J155" s="87">
        <v>9.0005790000000001</v>
      </c>
      <c r="K155" s="85">
        <v>25</v>
      </c>
      <c r="L155" s="85">
        <v>82</v>
      </c>
      <c r="M155" s="85">
        <f t="shared" si="2"/>
        <v>107</v>
      </c>
      <c r="N155" t="str" cm="1">
        <f t="array" ref="N155">_xlfn.IFS(M155&lt;40,"Queit",M155&lt;70,"Modest",M155&lt;100,"Good",M155&gt;=100,"Busy")</f>
        <v>Busy</v>
      </c>
    </row>
    <row r="156" spans="1:14" x14ac:dyDescent="0.35">
      <c r="A156" s="85">
        <v>365</v>
      </c>
      <c r="B156" s="86">
        <v>44926</v>
      </c>
      <c r="C156" s="85" t="s">
        <v>39</v>
      </c>
      <c r="D156" s="85" t="s">
        <v>40</v>
      </c>
      <c r="E156" s="85" t="s">
        <v>41</v>
      </c>
      <c r="F156" s="85" t="s">
        <v>42</v>
      </c>
      <c r="G156" s="85" t="s">
        <v>46</v>
      </c>
      <c r="H156" s="87">
        <v>33.224985000000004</v>
      </c>
      <c r="I156" s="87">
        <v>61.583299999999994</v>
      </c>
      <c r="J156" s="87">
        <v>14.750318</v>
      </c>
      <c r="K156" s="85">
        <v>44</v>
      </c>
      <c r="L156" s="85">
        <v>58</v>
      </c>
      <c r="M156" s="85">
        <f t="shared" si="2"/>
        <v>102</v>
      </c>
      <c r="N156" t="str" cm="1">
        <f t="array" ref="N156">_xlfn.IFS(M156&lt;40,"Queit",M156&lt;70,"Modest",M156&lt;100,"Good",M156&gt;=100,"Busy")</f>
        <v>Busy</v>
      </c>
    </row>
    <row r="157" spans="1:14" x14ac:dyDescent="0.35">
      <c r="A157" s="85">
        <v>153</v>
      </c>
      <c r="B157" s="86">
        <v>44714</v>
      </c>
      <c r="C157" s="85" t="s">
        <v>53</v>
      </c>
      <c r="D157" s="85" t="s">
        <v>40</v>
      </c>
      <c r="E157" s="85" t="s">
        <v>49</v>
      </c>
      <c r="F157" s="85" t="s">
        <v>26</v>
      </c>
      <c r="G157" s="85" t="s">
        <v>46</v>
      </c>
      <c r="H157" s="87">
        <v>14.137514999999999</v>
      </c>
      <c r="I157" s="87">
        <v>30.5</v>
      </c>
      <c r="J157" s="87">
        <v>19.583229000000003</v>
      </c>
      <c r="K157" s="85">
        <v>5</v>
      </c>
      <c r="L157" s="85">
        <v>73</v>
      </c>
      <c r="M157" s="85">
        <f t="shared" si="2"/>
        <v>78</v>
      </c>
      <c r="N157" t="str" cm="1">
        <f t="array" ref="N157">_xlfn.IFS(M157&lt;40,"Queit",M157&lt;70,"Modest",M157&lt;100,"Good",M157&gt;=100,"Busy")</f>
        <v>Good</v>
      </c>
    </row>
    <row r="158" spans="1:14" x14ac:dyDescent="0.35">
      <c r="A158" s="85">
        <v>154</v>
      </c>
      <c r="B158" s="86">
        <v>44715</v>
      </c>
      <c r="C158" s="85" t="s">
        <v>53</v>
      </c>
      <c r="D158" s="85" t="s">
        <v>40</v>
      </c>
      <c r="E158" s="85" t="s">
        <v>50</v>
      </c>
      <c r="F158" s="85" t="s">
        <v>26</v>
      </c>
      <c r="G158" s="85" t="s">
        <v>46</v>
      </c>
      <c r="H158" s="87">
        <v>13.462515000000002</v>
      </c>
      <c r="I158" s="87">
        <v>35.416699999999999</v>
      </c>
      <c r="J158" s="87">
        <v>16.959106999999999</v>
      </c>
      <c r="K158" s="85">
        <v>14</v>
      </c>
      <c r="L158" s="85">
        <v>58</v>
      </c>
      <c r="M158" s="85">
        <f t="shared" si="2"/>
        <v>72</v>
      </c>
      <c r="N158" t="str" cm="1">
        <f t="array" ref="N158">_xlfn.IFS(M158&lt;40,"Queit",M158&lt;70,"Modest",M158&lt;100,"Good",M158&gt;=100,"Busy")</f>
        <v>Good</v>
      </c>
    </row>
    <row r="159" spans="1:14" x14ac:dyDescent="0.35">
      <c r="A159" s="85">
        <v>155</v>
      </c>
      <c r="B159" s="86">
        <v>44716</v>
      </c>
      <c r="C159" s="85" t="s">
        <v>53</v>
      </c>
      <c r="D159" s="85" t="s">
        <v>40</v>
      </c>
      <c r="E159" s="85" t="s">
        <v>41</v>
      </c>
      <c r="F159" s="85" t="s">
        <v>42</v>
      </c>
      <c r="G159" s="85" t="s">
        <v>46</v>
      </c>
      <c r="H159" s="87">
        <v>14.887485</v>
      </c>
      <c r="I159" s="87">
        <v>45.625</v>
      </c>
      <c r="J159" s="87">
        <v>8.2505140000000008</v>
      </c>
      <c r="K159" s="85">
        <v>13</v>
      </c>
      <c r="L159" s="85">
        <v>57</v>
      </c>
      <c r="M159" s="85">
        <f t="shared" si="2"/>
        <v>70</v>
      </c>
      <c r="N159" t="str" cm="1">
        <f t="array" ref="N159">_xlfn.IFS(M159&lt;40,"Queit",M159&lt;70,"Modest",M159&lt;100,"Good",M159&gt;=100,"Busy")</f>
        <v>Good</v>
      </c>
    </row>
    <row r="160" spans="1:14" x14ac:dyDescent="0.35">
      <c r="A160" s="85">
        <v>157</v>
      </c>
      <c r="B160" s="86">
        <v>44718</v>
      </c>
      <c r="C160" s="85" t="s">
        <v>53</v>
      </c>
      <c r="D160" s="85" t="s">
        <v>40</v>
      </c>
      <c r="E160" s="85" t="s">
        <v>45</v>
      </c>
      <c r="F160" s="85" t="s">
        <v>26</v>
      </c>
      <c r="G160" s="85" t="s">
        <v>46</v>
      </c>
      <c r="H160" s="87">
        <v>20.8125</v>
      </c>
      <c r="I160" s="87">
        <v>60</v>
      </c>
      <c r="J160" s="87">
        <v>8.1670320000000007</v>
      </c>
      <c r="K160" s="85">
        <v>3</v>
      </c>
      <c r="L160" s="85">
        <v>49</v>
      </c>
      <c r="M160" s="85">
        <f t="shared" si="2"/>
        <v>52</v>
      </c>
      <c r="N160" t="str" cm="1">
        <f t="array" ref="N160">_xlfn.IFS(M160&lt;40,"Queit",M160&lt;70,"Modest",M160&lt;100,"Good",M160&gt;=100,"Busy")</f>
        <v>Modest</v>
      </c>
    </row>
    <row r="161" spans="1:14" x14ac:dyDescent="0.35">
      <c r="A161" s="85">
        <v>158</v>
      </c>
      <c r="B161" s="86">
        <v>44719</v>
      </c>
      <c r="C161" s="85" t="s">
        <v>53</v>
      </c>
      <c r="D161" s="85" t="s">
        <v>40</v>
      </c>
      <c r="E161" s="85" t="s">
        <v>47</v>
      </c>
      <c r="F161" s="85" t="s">
        <v>26</v>
      </c>
      <c r="G161" s="85" t="s">
        <v>46</v>
      </c>
      <c r="H161" s="87">
        <v>18.45</v>
      </c>
      <c r="I161" s="87">
        <v>59.791700000000006</v>
      </c>
      <c r="J161" s="87">
        <v>12.583136</v>
      </c>
      <c r="K161" s="85">
        <v>1</v>
      </c>
      <c r="L161" s="85">
        <v>13</v>
      </c>
      <c r="M161" s="85">
        <f t="shared" si="2"/>
        <v>14</v>
      </c>
      <c r="N161" t="str" cm="1">
        <f t="array" ref="N161">_xlfn.IFS(M161&lt;40,"Queit",M161&lt;70,"Modest",M161&lt;100,"Good",M161&gt;=100,"Busy")</f>
        <v>Queit</v>
      </c>
    </row>
    <row r="162" spans="1:14" x14ac:dyDescent="0.35">
      <c r="A162" s="85">
        <v>159</v>
      </c>
      <c r="B162" s="86">
        <v>44720</v>
      </c>
      <c r="C162" s="85" t="s">
        <v>53</v>
      </c>
      <c r="D162" s="85" t="s">
        <v>40</v>
      </c>
      <c r="E162" s="85" t="s">
        <v>48</v>
      </c>
      <c r="F162" s="85" t="s">
        <v>26</v>
      </c>
      <c r="G162" s="85" t="s">
        <v>46</v>
      </c>
      <c r="H162" s="87">
        <v>11.962484999999999</v>
      </c>
      <c r="I162" s="87">
        <v>62.208300000000008</v>
      </c>
      <c r="J162" s="87">
        <v>9.1667389999999997</v>
      </c>
      <c r="K162" s="85">
        <v>3</v>
      </c>
      <c r="L162" s="85">
        <v>63</v>
      </c>
      <c r="M162" s="85">
        <f t="shared" si="2"/>
        <v>66</v>
      </c>
      <c r="N162" t="str" cm="1">
        <f t="array" ref="N162">_xlfn.IFS(M162&lt;40,"Queit",M162&lt;70,"Modest",M162&lt;100,"Good",M162&gt;=100,"Busy")</f>
        <v>Modest</v>
      </c>
    </row>
    <row r="163" spans="1:14" x14ac:dyDescent="0.35">
      <c r="A163" s="85">
        <v>161</v>
      </c>
      <c r="B163" s="86">
        <v>44722</v>
      </c>
      <c r="C163" s="85" t="s">
        <v>53</v>
      </c>
      <c r="D163" s="85" t="s">
        <v>40</v>
      </c>
      <c r="E163" s="85" t="s">
        <v>50</v>
      </c>
      <c r="F163" s="85" t="s">
        <v>26</v>
      </c>
      <c r="G163" s="85" t="s">
        <v>46</v>
      </c>
      <c r="H163" s="87">
        <v>12.375000000000002</v>
      </c>
      <c r="I163" s="87">
        <v>60.5</v>
      </c>
      <c r="J163" s="87">
        <v>9.4171180000000003</v>
      </c>
      <c r="K163" s="85">
        <v>10</v>
      </c>
      <c r="L163" s="85">
        <v>54</v>
      </c>
      <c r="M163" s="85">
        <f t="shared" si="2"/>
        <v>64</v>
      </c>
      <c r="N163" t="str" cm="1">
        <f t="array" ref="N163">_xlfn.IFS(M163&lt;40,"Queit",M163&lt;70,"Modest",M163&lt;100,"Good",M163&gt;=100,"Busy")</f>
        <v>Modest</v>
      </c>
    </row>
    <row r="164" spans="1:14" x14ac:dyDescent="0.35">
      <c r="A164" s="85">
        <v>162</v>
      </c>
      <c r="B164" s="86">
        <v>44723</v>
      </c>
      <c r="C164" s="85" t="s">
        <v>53</v>
      </c>
      <c r="D164" s="85" t="s">
        <v>40</v>
      </c>
      <c r="E164" s="85" t="s">
        <v>41</v>
      </c>
      <c r="F164" s="85" t="s">
        <v>42</v>
      </c>
      <c r="G164" s="85" t="s">
        <v>46</v>
      </c>
      <c r="H164" s="87">
        <v>9.9374850000000006</v>
      </c>
      <c r="I164" s="87">
        <v>65.458300000000008</v>
      </c>
      <c r="J164" s="87">
        <v>10.374949999999998</v>
      </c>
      <c r="K164" s="85">
        <v>8</v>
      </c>
      <c r="L164" s="85">
        <v>47</v>
      </c>
      <c r="M164" s="85">
        <f t="shared" si="2"/>
        <v>55</v>
      </c>
      <c r="N164" t="str" cm="1">
        <f t="array" ref="N164">_xlfn.IFS(M164&lt;40,"Queit",M164&lt;70,"Modest",M164&lt;100,"Good",M164&gt;=100,"Busy")</f>
        <v>Modest</v>
      </c>
    </row>
    <row r="165" spans="1:14" x14ac:dyDescent="0.35">
      <c r="A165" s="85">
        <v>163</v>
      </c>
      <c r="B165" s="86">
        <v>44724</v>
      </c>
      <c r="C165" s="85" t="s">
        <v>53</v>
      </c>
      <c r="D165" s="85" t="s">
        <v>40</v>
      </c>
      <c r="E165" s="85" t="s">
        <v>44</v>
      </c>
      <c r="F165" s="85" t="s">
        <v>42</v>
      </c>
      <c r="G165" s="85" t="s">
        <v>46</v>
      </c>
      <c r="H165" s="87">
        <v>10.724985</v>
      </c>
      <c r="I165" s="87">
        <v>74.791700000000006</v>
      </c>
      <c r="J165" s="87">
        <v>10.958988999999999</v>
      </c>
      <c r="K165" s="85">
        <v>3</v>
      </c>
      <c r="L165" s="85">
        <v>63</v>
      </c>
      <c r="M165" s="85">
        <f t="shared" si="2"/>
        <v>66</v>
      </c>
      <c r="N165" t="str" cm="1">
        <f t="array" ref="N165">_xlfn.IFS(M165&lt;40,"Queit",M165&lt;70,"Modest",M165&lt;100,"Good",M165&gt;=100,"Busy")</f>
        <v>Modest</v>
      </c>
    </row>
    <row r="166" spans="1:14" x14ac:dyDescent="0.35">
      <c r="A166" s="85">
        <v>164</v>
      </c>
      <c r="B166" s="86">
        <v>44725</v>
      </c>
      <c r="C166" s="85" t="s">
        <v>53</v>
      </c>
      <c r="D166" s="85" t="s">
        <v>40</v>
      </c>
      <c r="E166" s="85" t="s">
        <v>45</v>
      </c>
      <c r="F166" s="85" t="s">
        <v>26</v>
      </c>
      <c r="G166" s="85" t="s">
        <v>46</v>
      </c>
      <c r="H166" s="87">
        <v>12.712499999999999</v>
      </c>
      <c r="I166" s="87">
        <v>49.458300000000001</v>
      </c>
      <c r="J166" s="87">
        <v>20.458449999999999</v>
      </c>
      <c r="K166" s="85">
        <v>3</v>
      </c>
      <c r="L166" s="85">
        <v>67</v>
      </c>
      <c r="M166" s="85">
        <f t="shared" si="2"/>
        <v>70</v>
      </c>
      <c r="N166" t="str" cm="1">
        <f t="array" ref="N166">_xlfn.IFS(M166&lt;40,"Queit",M166&lt;70,"Modest",M166&lt;100,"Good",M166&gt;=100,"Busy")</f>
        <v>Good</v>
      </c>
    </row>
    <row r="167" spans="1:14" x14ac:dyDescent="0.35">
      <c r="A167" s="85">
        <v>165</v>
      </c>
      <c r="B167" s="86">
        <v>44726</v>
      </c>
      <c r="C167" s="85" t="s">
        <v>53</v>
      </c>
      <c r="D167" s="85" t="s">
        <v>40</v>
      </c>
      <c r="E167" s="85" t="s">
        <v>47</v>
      </c>
      <c r="F167" s="85" t="s">
        <v>26</v>
      </c>
      <c r="G167" s="85" t="s">
        <v>46</v>
      </c>
      <c r="H167" s="87">
        <v>14.2875</v>
      </c>
      <c r="I167" s="87">
        <v>50.708299999999994</v>
      </c>
      <c r="J167" s="87">
        <v>18.041961000000001</v>
      </c>
      <c r="K167" s="85">
        <v>4</v>
      </c>
      <c r="L167" s="85">
        <v>71</v>
      </c>
      <c r="M167" s="85">
        <f t="shared" si="2"/>
        <v>75</v>
      </c>
      <c r="N167" t="str" cm="1">
        <f t="array" ref="N167">_xlfn.IFS(M167&lt;40,"Queit",M167&lt;70,"Modest",M167&lt;100,"Good",M167&gt;=100,"Busy")</f>
        <v>Good</v>
      </c>
    </row>
    <row r="168" spans="1:14" x14ac:dyDescent="0.35">
      <c r="A168" s="85">
        <v>166</v>
      </c>
      <c r="B168" s="86">
        <v>44727</v>
      </c>
      <c r="C168" s="85" t="s">
        <v>53</v>
      </c>
      <c r="D168" s="85" t="s">
        <v>40</v>
      </c>
      <c r="E168" s="85" t="s">
        <v>48</v>
      </c>
      <c r="F168" s="85" t="s">
        <v>26</v>
      </c>
      <c r="G168" s="85" t="s">
        <v>46</v>
      </c>
      <c r="H168" s="87">
        <v>19.012499999999999</v>
      </c>
      <c r="I168" s="87">
        <v>47.166699999999999</v>
      </c>
      <c r="J168" s="87">
        <v>11.250104</v>
      </c>
      <c r="K168" s="85">
        <v>4</v>
      </c>
      <c r="L168" s="85">
        <v>71</v>
      </c>
      <c r="M168" s="85">
        <f t="shared" si="2"/>
        <v>75</v>
      </c>
      <c r="N168" t="str" cm="1">
        <f t="array" ref="N168">_xlfn.IFS(M168&lt;40,"Queit",M168&lt;70,"Modest",M168&lt;100,"Good",M168&gt;=100,"Busy")</f>
        <v>Good</v>
      </c>
    </row>
    <row r="169" spans="1:14" x14ac:dyDescent="0.35">
      <c r="A169" s="85">
        <v>168</v>
      </c>
      <c r="B169" s="86">
        <v>44729</v>
      </c>
      <c r="C169" s="85" t="s">
        <v>53</v>
      </c>
      <c r="D169" s="85" t="s">
        <v>40</v>
      </c>
      <c r="E169" s="85" t="s">
        <v>50</v>
      </c>
      <c r="F169" s="85" t="s">
        <v>26</v>
      </c>
      <c r="G169" s="85" t="s">
        <v>46</v>
      </c>
      <c r="H169" s="87">
        <v>11.624984999999999</v>
      </c>
      <c r="I169" s="87">
        <v>73.583299999999994</v>
      </c>
      <c r="J169" s="87">
        <v>9.5829429999999984</v>
      </c>
      <c r="K169" s="85">
        <v>6</v>
      </c>
      <c r="L169" s="85">
        <v>49</v>
      </c>
      <c r="M169" s="85">
        <f t="shared" si="2"/>
        <v>55</v>
      </c>
      <c r="N169" t="str" cm="1">
        <f t="array" ref="N169">_xlfn.IFS(M169&lt;40,"Queit",M169&lt;70,"Modest",M169&lt;100,"Good",M169&gt;=100,"Busy")</f>
        <v>Modest</v>
      </c>
    </row>
    <row r="170" spans="1:14" x14ac:dyDescent="0.35">
      <c r="A170" s="85">
        <v>169</v>
      </c>
      <c r="B170" s="86">
        <v>44730</v>
      </c>
      <c r="C170" s="85" t="s">
        <v>53</v>
      </c>
      <c r="D170" s="85" t="s">
        <v>40</v>
      </c>
      <c r="E170" s="85" t="s">
        <v>41</v>
      </c>
      <c r="F170" s="85" t="s">
        <v>42</v>
      </c>
      <c r="G170" s="85" t="s">
        <v>46</v>
      </c>
      <c r="H170" s="87">
        <v>10.724985</v>
      </c>
      <c r="I170" s="87">
        <v>67.041700000000006</v>
      </c>
      <c r="J170" s="87">
        <v>8.0003360000000008</v>
      </c>
      <c r="K170" s="85">
        <v>4</v>
      </c>
      <c r="L170" s="85">
        <v>44</v>
      </c>
      <c r="M170" s="85">
        <f t="shared" si="2"/>
        <v>48</v>
      </c>
      <c r="N170" t="str" cm="1">
        <f t="array" ref="N170">_xlfn.IFS(M170&lt;40,"Queit",M170&lt;70,"Modest",M170&lt;100,"Good",M170&gt;=100,"Busy")</f>
        <v>Modest</v>
      </c>
    </row>
    <row r="171" spans="1:14" x14ac:dyDescent="0.35">
      <c r="A171" s="85">
        <v>173</v>
      </c>
      <c r="B171" s="86">
        <v>44734</v>
      </c>
      <c r="C171" s="85" t="s">
        <v>53</v>
      </c>
      <c r="D171" s="85" t="s">
        <v>40</v>
      </c>
      <c r="E171" s="85" t="s">
        <v>48</v>
      </c>
      <c r="F171" s="85" t="s">
        <v>26</v>
      </c>
      <c r="G171" s="85" t="s">
        <v>46</v>
      </c>
      <c r="H171" s="87">
        <v>19.049985</v>
      </c>
      <c r="I171" s="87">
        <v>70.75</v>
      </c>
      <c r="J171" s="87">
        <v>11.541554</v>
      </c>
      <c r="K171" s="85">
        <v>5</v>
      </c>
      <c r="L171" s="85">
        <v>57</v>
      </c>
      <c r="M171" s="85">
        <f t="shared" si="2"/>
        <v>62</v>
      </c>
      <c r="N171" t="str" cm="1">
        <f t="array" ref="N171">_xlfn.IFS(M171&lt;40,"Queit",M171&lt;70,"Modest",M171&lt;100,"Good",M171&gt;=100,"Busy")</f>
        <v>Modest</v>
      </c>
    </row>
    <row r="172" spans="1:14" x14ac:dyDescent="0.35">
      <c r="A172" s="85">
        <v>175</v>
      </c>
      <c r="B172" s="86">
        <v>44736</v>
      </c>
      <c r="C172" s="85" t="s">
        <v>53</v>
      </c>
      <c r="D172" s="85" t="s">
        <v>40</v>
      </c>
      <c r="E172" s="85" t="s">
        <v>50</v>
      </c>
      <c r="F172" s="85" t="s">
        <v>26</v>
      </c>
      <c r="G172" s="85" t="s">
        <v>46</v>
      </c>
      <c r="H172" s="87">
        <v>13.612499999999999</v>
      </c>
      <c r="I172" s="87">
        <v>57.333300000000001</v>
      </c>
      <c r="J172" s="87">
        <v>14.875674999999999</v>
      </c>
      <c r="K172" s="85">
        <v>3</v>
      </c>
      <c r="L172" s="85">
        <v>17</v>
      </c>
      <c r="M172" s="85">
        <f t="shared" si="2"/>
        <v>20</v>
      </c>
      <c r="N172" t="str" cm="1">
        <f t="array" ref="N172">_xlfn.IFS(M172&lt;40,"Queit",M172&lt;70,"Modest",M172&lt;100,"Good",M172&gt;=100,"Busy")</f>
        <v>Queit</v>
      </c>
    </row>
    <row r="173" spans="1:14" x14ac:dyDescent="0.35">
      <c r="A173" s="85">
        <v>176</v>
      </c>
      <c r="B173" s="86">
        <v>44737</v>
      </c>
      <c r="C173" s="85" t="s">
        <v>53</v>
      </c>
      <c r="D173" s="85" t="s">
        <v>40</v>
      </c>
      <c r="E173" s="85" t="s">
        <v>41</v>
      </c>
      <c r="F173" s="85" t="s">
        <v>42</v>
      </c>
      <c r="G173" s="85" t="s">
        <v>46</v>
      </c>
      <c r="H173" s="87">
        <v>12.365235</v>
      </c>
      <c r="I173" s="87">
        <v>48.333300000000001</v>
      </c>
      <c r="J173" s="87">
        <v>14.041257</v>
      </c>
      <c r="K173" s="85">
        <v>6</v>
      </c>
      <c r="L173" s="85">
        <v>9</v>
      </c>
      <c r="M173" s="85">
        <f t="shared" si="2"/>
        <v>15</v>
      </c>
      <c r="N173" t="str" cm="1">
        <f t="array" ref="N173">_xlfn.IFS(M173&lt;40,"Queit",M173&lt;70,"Modest",M173&lt;100,"Good",M173&gt;=100,"Busy")</f>
        <v>Queit</v>
      </c>
    </row>
    <row r="174" spans="1:14" x14ac:dyDescent="0.35">
      <c r="A174" s="85">
        <v>177</v>
      </c>
      <c r="B174" s="86">
        <v>44738</v>
      </c>
      <c r="C174" s="85" t="s">
        <v>53</v>
      </c>
      <c r="D174" s="85" t="s">
        <v>40</v>
      </c>
      <c r="E174" s="85" t="s">
        <v>44</v>
      </c>
      <c r="F174" s="85" t="s">
        <v>42</v>
      </c>
      <c r="G174" s="85" t="s">
        <v>46</v>
      </c>
      <c r="H174" s="87">
        <v>14.478255000000001</v>
      </c>
      <c r="I174" s="87">
        <v>51.333300000000001</v>
      </c>
      <c r="J174" s="87">
        <v>6.3337310999999996</v>
      </c>
      <c r="K174" s="85">
        <v>9</v>
      </c>
      <c r="L174" s="85">
        <v>18</v>
      </c>
      <c r="M174" s="85">
        <f t="shared" si="2"/>
        <v>27</v>
      </c>
      <c r="N174" t="str" cm="1">
        <f t="array" ref="N174">_xlfn.IFS(M174&lt;40,"Queit",M174&lt;70,"Modest",M174&lt;100,"Good",M174&gt;=100,"Busy")</f>
        <v>Queit</v>
      </c>
    </row>
    <row r="175" spans="1:14" x14ac:dyDescent="0.35">
      <c r="A175" s="85">
        <v>179</v>
      </c>
      <c r="B175" s="86">
        <v>44740</v>
      </c>
      <c r="C175" s="85" t="s">
        <v>53</v>
      </c>
      <c r="D175" s="85" t="s">
        <v>40</v>
      </c>
      <c r="E175" s="85" t="s">
        <v>47</v>
      </c>
      <c r="F175" s="85" t="s">
        <v>26</v>
      </c>
      <c r="G175" s="85" t="s">
        <v>46</v>
      </c>
      <c r="H175" s="87">
        <v>13.460850000000001</v>
      </c>
      <c r="I175" s="87">
        <v>63.416700000000006</v>
      </c>
      <c r="J175" s="87">
        <v>9.6669609999999988</v>
      </c>
      <c r="K175" s="85">
        <v>5</v>
      </c>
      <c r="L175" s="85">
        <v>41</v>
      </c>
      <c r="M175" s="85">
        <f t="shared" si="2"/>
        <v>46</v>
      </c>
      <c r="N175" t="str" cm="1">
        <f t="array" ref="N175">_xlfn.IFS(M175&lt;40,"Queit",M175&lt;70,"Modest",M175&lt;100,"Good",M175&gt;=100,"Busy")</f>
        <v>Modest</v>
      </c>
    </row>
    <row r="176" spans="1:14" x14ac:dyDescent="0.35">
      <c r="A176" s="85">
        <v>180</v>
      </c>
      <c r="B176" s="86">
        <v>44741</v>
      </c>
      <c r="C176" s="85" t="s">
        <v>53</v>
      </c>
      <c r="D176" s="85" t="s">
        <v>40</v>
      </c>
      <c r="E176" s="85" t="s">
        <v>48</v>
      </c>
      <c r="F176" s="85" t="s">
        <v>26</v>
      </c>
      <c r="G176" s="85" t="s">
        <v>46</v>
      </c>
      <c r="H176" s="87">
        <v>11.174985</v>
      </c>
      <c r="I176" s="87">
        <v>49.791699999999999</v>
      </c>
      <c r="J176" s="87">
        <v>17.542007000000002</v>
      </c>
      <c r="K176" s="85">
        <v>5</v>
      </c>
      <c r="L176" s="85">
        <v>43</v>
      </c>
      <c r="M176" s="85">
        <f t="shared" si="2"/>
        <v>48</v>
      </c>
      <c r="N176" t="str" cm="1">
        <f t="array" ref="N176">_xlfn.IFS(M176&lt;40,"Queit",M176&lt;70,"Modest",M176&lt;100,"Good",M176&gt;=100,"Busy")</f>
        <v>Modest</v>
      </c>
    </row>
    <row r="177" spans="1:14" x14ac:dyDescent="0.35">
      <c r="A177" s="85">
        <v>181</v>
      </c>
      <c r="B177" s="86">
        <v>44742</v>
      </c>
      <c r="C177" s="85" t="s">
        <v>53</v>
      </c>
      <c r="D177" s="85" t="s">
        <v>40</v>
      </c>
      <c r="E177" s="85" t="s">
        <v>49</v>
      </c>
      <c r="F177" s="85" t="s">
        <v>26</v>
      </c>
      <c r="G177" s="85" t="s">
        <v>46</v>
      </c>
      <c r="H177" s="87">
        <v>14.025015000000002</v>
      </c>
      <c r="I177" s="87">
        <v>43.416700000000006</v>
      </c>
      <c r="J177" s="87">
        <v>12.415904000000001</v>
      </c>
      <c r="K177" s="85">
        <v>10</v>
      </c>
      <c r="L177" s="85">
        <v>50</v>
      </c>
      <c r="M177" s="85">
        <f t="shared" si="2"/>
        <v>60</v>
      </c>
      <c r="N177" t="str" cm="1">
        <f t="array" ref="N177">_xlfn.IFS(M177&lt;40,"Queit",M177&lt;70,"Modest",M177&lt;100,"Good",M177&gt;=100,"Busy")</f>
        <v>Modest</v>
      </c>
    </row>
    <row r="178" spans="1:14" x14ac:dyDescent="0.35">
      <c r="A178" s="85">
        <v>182</v>
      </c>
      <c r="B178" s="86">
        <v>44743</v>
      </c>
      <c r="C178" s="85" t="s">
        <v>53</v>
      </c>
      <c r="D178" s="85" t="s">
        <v>40</v>
      </c>
      <c r="E178" s="85" t="s">
        <v>50</v>
      </c>
      <c r="F178" s="85" t="s">
        <v>26</v>
      </c>
      <c r="G178" s="85" t="s">
        <v>46</v>
      </c>
      <c r="H178" s="87">
        <v>18.45</v>
      </c>
      <c r="I178" s="87">
        <v>39.625</v>
      </c>
      <c r="J178" s="87">
        <v>6.8747360000000004</v>
      </c>
      <c r="K178" s="85">
        <v>13</v>
      </c>
      <c r="L178" s="85">
        <v>36</v>
      </c>
      <c r="M178" s="85">
        <f t="shared" si="2"/>
        <v>49</v>
      </c>
      <c r="N178" t="str" cm="1">
        <f t="array" ref="N178">_xlfn.IFS(M178&lt;40,"Queit",M178&lt;70,"Modest",M178&lt;100,"Good",M178&gt;=100,"Busy")</f>
        <v>Modest</v>
      </c>
    </row>
    <row r="179" spans="1:14" x14ac:dyDescent="0.35">
      <c r="A179" s="85">
        <v>183</v>
      </c>
      <c r="B179" s="86">
        <v>44744</v>
      </c>
      <c r="C179" s="85" t="s">
        <v>53</v>
      </c>
      <c r="D179" s="85" t="s">
        <v>40</v>
      </c>
      <c r="E179" s="85" t="s">
        <v>41</v>
      </c>
      <c r="F179" s="85" t="s">
        <v>42</v>
      </c>
      <c r="G179" s="85" t="s">
        <v>46</v>
      </c>
      <c r="H179" s="87">
        <v>15.487515</v>
      </c>
      <c r="I179" s="87">
        <v>44.458300000000001</v>
      </c>
      <c r="J179" s="87">
        <v>7.7091539999999998</v>
      </c>
      <c r="K179" s="85">
        <v>7</v>
      </c>
      <c r="L179" s="85">
        <v>13</v>
      </c>
      <c r="M179" s="85">
        <f t="shared" si="2"/>
        <v>20</v>
      </c>
      <c r="N179" t="str" cm="1">
        <f t="array" ref="N179">_xlfn.IFS(M179&lt;40,"Queit",M179&lt;70,"Modest",M179&lt;100,"Good",M179&gt;=100,"Busy")</f>
        <v>Queit</v>
      </c>
    </row>
    <row r="180" spans="1:14" x14ac:dyDescent="0.35">
      <c r="A180" s="85">
        <v>186</v>
      </c>
      <c r="B180" s="86">
        <v>44747</v>
      </c>
      <c r="C180" s="85" t="s">
        <v>53</v>
      </c>
      <c r="D180" s="85" t="s">
        <v>40</v>
      </c>
      <c r="E180" s="85" t="s">
        <v>47</v>
      </c>
      <c r="F180" s="85" t="s">
        <v>26</v>
      </c>
      <c r="G180" s="85" t="s">
        <v>46</v>
      </c>
      <c r="H180" s="87">
        <v>9</v>
      </c>
      <c r="I180" s="87">
        <v>59.041699999999999</v>
      </c>
      <c r="J180" s="87">
        <v>8.4592860000000005</v>
      </c>
      <c r="K180" s="85">
        <v>2</v>
      </c>
      <c r="L180" s="85">
        <v>29</v>
      </c>
      <c r="M180" s="85">
        <f t="shared" si="2"/>
        <v>31</v>
      </c>
      <c r="N180" t="str" cm="1">
        <f t="array" ref="N180">_xlfn.IFS(M180&lt;40,"Queit",M180&lt;70,"Modest",M180&lt;100,"Good",M180&gt;=100,"Busy")</f>
        <v>Queit</v>
      </c>
    </row>
    <row r="181" spans="1:14" x14ac:dyDescent="0.35">
      <c r="A181" s="85">
        <v>187</v>
      </c>
      <c r="B181" s="86">
        <v>44748</v>
      </c>
      <c r="C181" s="85" t="s">
        <v>53</v>
      </c>
      <c r="D181" s="85" t="s">
        <v>40</v>
      </c>
      <c r="E181" s="85" t="s">
        <v>48</v>
      </c>
      <c r="F181" s="85" t="s">
        <v>26</v>
      </c>
      <c r="G181" s="85" t="s">
        <v>46</v>
      </c>
      <c r="H181" s="87">
        <v>10.213065</v>
      </c>
      <c r="I181" s="87">
        <v>74.333300000000008</v>
      </c>
      <c r="J181" s="87">
        <v>10.042161</v>
      </c>
      <c r="K181" s="85">
        <v>2</v>
      </c>
      <c r="L181" s="85">
        <v>30</v>
      </c>
      <c r="M181" s="85">
        <f t="shared" si="2"/>
        <v>32</v>
      </c>
      <c r="N181" t="str" cm="1">
        <f t="array" ref="N181">_xlfn.IFS(M181&lt;40,"Queit",M181&lt;70,"Modest",M181&lt;100,"Good",M181&gt;=100,"Busy")</f>
        <v>Queit</v>
      </c>
    </row>
    <row r="182" spans="1:14" x14ac:dyDescent="0.35">
      <c r="A182" s="85">
        <v>188</v>
      </c>
      <c r="B182" s="86">
        <v>44749</v>
      </c>
      <c r="C182" s="85" t="s">
        <v>53</v>
      </c>
      <c r="D182" s="85" t="s">
        <v>40</v>
      </c>
      <c r="E182" s="85" t="s">
        <v>49</v>
      </c>
      <c r="F182" s="85" t="s">
        <v>26</v>
      </c>
      <c r="G182" s="85" t="s">
        <v>46</v>
      </c>
      <c r="H182" s="87">
        <v>9.1956600000000002</v>
      </c>
      <c r="I182" s="87">
        <v>65.125</v>
      </c>
      <c r="J182" s="87">
        <v>10.666400000000001</v>
      </c>
      <c r="K182" s="85">
        <v>2</v>
      </c>
      <c r="L182" s="85">
        <v>30</v>
      </c>
      <c r="M182" s="85">
        <f t="shared" si="2"/>
        <v>32</v>
      </c>
      <c r="N182" t="str" cm="1">
        <f t="array" ref="N182">_xlfn.IFS(M182&lt;40,"Queit",M182&lt;70,"Modest",M182&lt;100,"Good",M182&gt;=100,"Busy")</f>
        <v>Queit</v>
      </c>
    </row>
    <row r="183" spans="1:14" x14ac:dyDescent="0.35">
      <c r="A183" s="85">
        <v>190</v>
      </c>
      <c r="B183" s="86">
        <v>44751</v>
      </c>
      <c r="C183" s="85" t="s">
        <v>53</v>
      </c>
      <c r="D183" s="85" t="s">
        <v>40</v>
      </c>
      <c r="E183" s="85" t="s">
        <v>41</v>
      </c>
      <c r="F183" s="85" t="s">
        <v>42</v>
      </c>
      <c r="G183" s="85" t="s">
        <v>46</v>
      </c>
      <c r="H183" s="87">
        <v>7.4250000000000007</v>
      </c>
      <c r="I183" s="87">
        <v>60.916699999999999</v>
      </c>
      <c r="J183" s="87">
        <v>11.250104</v>
      </c>
      <c r="K183" s="85">
        <v>1</v>
      </c>
      <c r="L183" s="85">
        <v>18</v>
      </c>
      <c r="M183" s="85">
        <f t="shared" si="2"/>
        <v>19</v>
      </c>
      <c r="N183" t="str" cm="1">
        <f t="array" ref="N183">_xlfn.IFS(M183&lt;40,"Queit",M183&lt;70,"Modest",M183&lt;100,"Good",M183&gt;=100,"Busy")</f>
        <v>Queit</v>
      </c>
    </row>
    <row r="184" spans="1:14" x14ac:dyDescent="0.35">
      <c r="A184" s="85">
        <v>191</v>
      </c>
      <c r="B184" s="86">
        <v>44752</v>
      </c>
      <c r="C184" s="85" t="s">
        <v>53</v>
      </c>
      <c r="D184" s="85" t="s">
        <v>40</v>
      </c>
      <c r="E184" s="85" t="s">
        <v>44</v>
      </c>
      <c r="F184" s="85" t="s">
        <v>42</v>
      </c>
      <c r="G184" s="85" t="s">
        <v>46</v>
      </c>
      <c r="H184" s="87">
        <v>6.2249850000000002</v>
      </c>
      <c r="I184" s="87">
        <v>57.833300000000001</v>
      </c>
      <c r="J184" s="87">
        <v>12.292557</v>
      </c>
      <c r="K184" s="85">
        <v>1</v>
      </c>
      <c r="L184" s="85">
        <v>15</v>
      </c>
      <c r="M184" s="85">
        <f t="shared" si="2"/>
        <v>16</v>
      </c>
      <c r="N184" t="str" cm="1">
        <f t="array" ref="N184">_xlfn.IFS(M184&lt;40,"Queit",M184&lt;70,"Modest",M184&lt;100,"Good",M184&gt;=100,"Busy")</f>
        <v>Queit</v>
      </c>
    </row>
    <row r="185" spans="1:14" x14ac:dyDescent="0.35">
      <c r="A185" s="85">
        <v>192</v>
      </c>
      <c r="B185" s="86">
        <v>44753</v>
      </c>
      <c r="C185" s="85" t="s">
        <v>53</v>
      </c>
      <c r="D185" s="85" t="s">
        <v>40</v>
      </c>
      <c r="E185" s="85" t="s">
        <v>45</v>
      </c>
      <c r="F185" s="85" t="s">
        <v>26</v>
      </c>
      <c r="G185" s="85" t="s">
        <v>46</v>
      </c>
      <c r="H185" s="87">
        <v>6.7874850000000002</v>
      </c>
      <c r="I185" s="87">
        <v>63.583300000000001</v>
      </c>
      <c r="J185" s="87">
        <v>18.916578999999999</v>
      </c>
      <c r="K185" s="85">
        <v>1</v>
      </c>
      <c r="L185" s="85">
        <v>26</v>
      </c>
      <c r="M185" s="85">
        <f t="shared" si="2"/>
        <v>27</v>
      </c>
      <c r="N185" t="str" cm="1">
        <f t="array" ref="N185">_xlfn.IFS(M185&lt;40,"Queit",M185&lt;70,"Modest",M185&lt;100,"Good",M185&gt;=100,"Busy")</f>
        <v>Queit</v>
      </c>
    </row>
    <row r="186" spans="1:14" x14ac:dyDescent="0.35">
      <c r="A186" s="85">
        <v>193</v>
      </c>
      <c r="B186" s="86">
        <v>44754</v>
      </c>
      <c r="C186" s="85" t="s">
        <v>53</v>
      </c>
      <c r="D186" s="85" t="s">
        <v>40</v>
      </c>
      <c r="E186" s="85" t="s">
        <v>47</v>
      </c>
      <c r="F186" s="85" t="s">
        <v>26</v>
      </c>
      <c r="G186" s="85" t="s">
        <v>46</v>
      </c>
      <c r="H186" s="87">
        <v>7.6090949999999999</v>
      </c>
      <c r="I186" s="87">
        <v>55.916699999999999</v>
      </c>
      <c r="J186" s="87">
        <v>13.417017999999999</v>
      </c>
      <c r="K186" s="85">
        <v>1</v>
      </c>
      <c r="L186" s="85">
        <v>24</v>
      </c>
      <c r="M186" s="85">
        <f t="shared" si="2"/>
        <v>25</v>
      </c>
      <c r="N186" t="str" cm="1">
        <f t="array" ref="N186">_xlfn.IFS(M186&lt;40,"Queit",M186&lt;70,"Modest",M186&lt;100,"Good",M186&gt;=100,"Busy")</f>
        <v>Queit</v>
      </c>
    </row>
    <row r="187" spans="1:14" x14ac:dyDescent="0.35">
      <c r="A187" s="85">
        <v>194</v>
      </c>
      <c r="B187" s="86">
        <v>44755</v>
      </c>
      <c r="C187" s="85" t="s">
        <v>53</v>
      </c>
      <c r="D187" s="85" t="s">
        <v>40</v>
      </c>
      <c r="E187" s="85" t="s">
        <v>48</v>
      </c>
      <c r="F187" s="85" t="s">
        <v>26</v>
      </c>
      <c r="G187" s="85" t="s">
        <v>46</v>
      </c>
      <c r="H187" s="87">
        <v>7.7727149999999998</v>
      </c>
      <c r="I187" s="87">
        <v>63.166699999999999</v>
      </c>
      <c r="J187" s="87">
        <v>9.7909110000000013</v>
      </c>
      <c r="K187" s="85">
        <v>1</v>
      </c>
      <c r="L187" s="85">
        <v>23</v>
      </c>
      <c r="M187" s="85">
        <f t="shared" si="2"/>
        <v>24</v>
      </c>
      <c r="N187" t="str" cm="1">
        <f t="array" ref="N187">_xlfn.IFS(M187&lt;40,"Queit",M187&lt;70,"Modest",M187&lt;100,"Good",M187&gt;=100,"Busy")</f>
        <v>Queit</v>
      </c>
    </row>
    <row r="188" spans="1:14" x14ac:dyDescent="0.35">
      <c r="A188" s="85">
        <v>195</v>
      </c>
      <c r="B188" s="86">
        <v>44756</v>
      </c>
      <c r="C188" s="85" t="s">
        <v>53</v>
      </c>
      <c r="D188" s="85" t="s">
        <v>40</v>
      </c>
      <c r="E188" s="85" t="s">
        <v>49</v>
      </c>
      <c r="F188" s="85" t="s">
        <v>26</v>
      </c>
      <c r="G188" s="85" t="s">
        <v>46</v>
      </c>
      <c r="H188" s="87">
        <v>7.4250000000000007</v>
      </c>
      <c r="I188" s="87">
        <v>47.625</v>
      </c>
      <c r="J188" s="87">
        <v>16.124689</v>
      </c>
      <c r="K188" s="85">
        <v>1</v>
      </c>
      <c r="L188" s="85">
        <v>27</v>
      </c>
      <c r="M188" s="85">
        <f t="shared" si="2"/>
        <v>28</v>
      </c>
      <c r="N188" t="str" cm="1">
        <f t="array" ref="N188">_xlfn.IFS(M188&lt;40,"Queit",M188&lt;70,"Modest",M188&lt;100,"Good",M188&gt;=100,"Busy")</f>
        <v>Queit</v>
      </c>
    </row>
    <row r="189" spans="1:14" x14ac:dyDescent="0.35">
      <c r="A189" s="85">
        <v>196</v>
      </c>
      <c r="B189" s="86">
        <v>44757</v>
      </c>
      <c r="C189" s="85" t="s">
        <v>53</v>
      </c>
      <c r="D189" s="85" t="s">
        <v>40</v>
      </c>
      <c r="E189" s="85" t="s">
        <v>50</v>
      </c>
      <c r="F189" s="85" t="s">
        <v>26</v>
      </c>
      <c r="G189" s="85" t="s">
        <v>46</v>
      </c>
      <c r="H189" s="87">
        <v>7.2391500000000004</v>
      </c>
      <c r="I189" s="87">
        <v>59.125000000000007</v>
      </c>
      <c r="J189" s="87">
        <v>12.249810999999999</v>
      </c>
      <c r="K189" s="85">
        <v>1</v>
      </c>
      <c r="L189" s="85">
        <v>27</v>
      </c>
      <c r="M189" s="85">
        <f t="shared" si="2"/>
        <v>28</v>
      </c>
      <c r="N189" t="str" cm="1">
        <f t="array" ref="N189">_xlfn.IFS(M189&lt;40,"Queit",M189&lt;70,"Modest",M189&lt;100,"Good",M189&gt;=100,"Busy")</f>
        <v>Queit</v>
      </c>
    </row>
    <row r="190" spans="1:14" x14ac:dyDescent="0.35">
      <c r="A190" s="85">
        <v>197</v>
      </c>
      <c r="B190" s="86">
        <v>44758</v>
      </c>
      <c r="C190" s="85" t="s">
        <v>53</v>
      </c>
      <c r="D190" s="85" t="s">
        <v>40</v>
      </c>
      <c r="E190" s="85" t="s">
        <v>41</v>
      </c>
      <c r="F190" s="85" t="s">
        <v>42</v>
      </c>
      <c r="G190" s="85" t="s">
        <v>46</v>
      </c>
      <c r="H190" s="87">
        <v>10.499985000000001</v>
      </c>
      <c r="I190" s="87">
        <v>58.5</v>
      </c>
      <c r="J190" s="87">
        <v>13.958914</v>
      </c>
      <c r="K190" s="85">
        <v>4</v>
      </c>
      <c r="L190" s="85">
        <v>21</v>
      </c>
      <c r="M190" s="85">
        <f t="shared" si="2"/>
        <v>25</v>
      </c>
      <c r="N190" t="str" cm="1">
        <f t="array" ref="N190">_xlfn.IFS(M190&lt;40,"Queit",M190&lt;70,"Modest",M190&lt;100,"Good",M190&gt;=100,"Busy")</f>
        <v>Queit</v>
      </c>
    </row>
    <row r="191" spans="1:14" x14ac:dyDescent="0.35">
      <c r="A191" s="85">
        <v>198</v>
      </c>
      <c r="B191" s="86">
        <v>44759</v>
      </c>
      <c r="C191" s="85" t="s">
        <v>53</v>
      </c>
      <c r="D191" s="85" t="s">
        <v>40</v>
      </c>
      <c r="E191" s="85" t="s">
        <v>44</v>
      </c>
      <c r="F191" s="85" t="s">
        <v>42</v>
      </c>
      <c r="G191" s="85" t="s">
        <v>46</v>
      </c>
      <c r="H191" s="87">
        <v>10.425015</v>
      </c>
      <c r="I191" s="87">
        <v>60.416699999999999</v>
      </c>
      <c r="J191" s="87">
        <v>16.417211000000002</v>
      </c>
      <c r="K191" s="85">
        <v>5</v>
      </c>
      <c r="L191" s="85">
        <v>19</v>
      </c>
      <c r="M191" s="85">
        <f t="shared" si="2"/>
        <v>24</v>
      </c>
      <c r="N191" t="str" cm="1">
        <f t="array" ref="N191">_xlfn.IFS(M191&lt;40,"Queit",M191&lt;70,"Modest",M191&lt;100,"Good",M191&gt;=100,"Busy")</f>
        <v>Queit</v>
      </c>
    </row>
    <row r="192" spans="1:14" x14ac:dyDescent="0.35">
      <c r="A192" s="85">
        <v>199</v>
      </c>
      <c r="B192" s="86">
        <v>44760</v>
      </c>
      <c r="C192" s="85" t="s">
        <v>53</v>
      </c>
      <c r="D192" s="85" t="s">
        <v>40</v>
      </c>
      <c r="E192" s="85" t="s">
        <v>45</v>
      </c>
      <c r="F192" s="85" t="s">
        <v>26</v>
      </c>
      <c r="G192" s="85" t="s">
        <v>46</v>
      </c>
      <c r="H192" s="87">
        <v>7.9124849999999993</v>
      </c>
      <c r="I192" s="87">
        <v>65.125</v>
      </c>
      <c r="J192" s="87">
        <v>14.458867999999999</v>
      </c>
      <c r="K192" s="85">
        <v>2</v>
      </c>
      <c r="L192" s="85">
        <v>18</v>
      </c>
      <c r="M192" s="85">
        <f t="shared" si="2"/>
        <v>20</v>
      </c>
      <c r="N192" t="str" cm="1">
        <f t="array" ref="N192">_xlfn.IFS(M192&lt;40,"Queit",M192&lt;70,"Modest",M192&lt;100,"Good",M192&gt;=100,"Busy")</f>
        <v>Queit</v>
      </c>
    </row>
    <row r="193" spans="1:14" x14ac:dyDescent="0.35">
      <c r="A193" s="85">
        <v>200</v>
      </c>
      <c r="B193" s="86">
        <v>44761</v>
      </c>
      <c r="C193" s="85" t="s">
        <v>53</v>
      </c>
      <c r="D193" s="85" t="s">
        <v>40</v>
      </c>
      <c r="E193" s="85" t="s">
        <v>47</v>
      </c>
      <c r="F193" s="85" t="s">
        <v>26</v>
      </c>
      <c r="G193" s="85" t="s">
        <v>46</v>
      </c>
      <c r="H193" s="87">
        <v>9.7500149999999994</v>
      </c>
      <c r="I193" s="87">
        <v>65.041700000000006</v>
      </c>
      <c r="J193" s="87">
        <v>8.7501999999999995</v>
      </c>
      <c r="K193" s="85">
        <v>0</v>
      </c>
      <c r="L193" s="85">
        <v>13</v>
      </c>
      <c r="M193" s="85">
        <f t="shared" si="2"/>
        <v>13</v>
      </c>
      <c r="N193" t="str" cm="1">
        <f t="array" ref="N193">_xlfn.IFS(M193&lt;40,"Queit",M193&lt;70,"Modest",M193&lt;100,"Good",M193&gt;=100,"Busy")</f>
        <v>Queit</v>
      </c>
    </row>
    <row r="194" spans="1:14" x14ac:dyDescent="0.35">
      <c r="A194" s="85">
        <v>201</v>
      </c>
      <c r="B194" s="86">
        <v>44762</v>
      </c>
      <c r="C194" s="85" t="s">
        <v>53</v>
      </c>
      <c r="D194" s="85" t="s">
        <v>40</v>
      </c>
      <c r="E194" s="85" t="s">
        <v>48</v>
      </c>
      <c r="F194" s="85" t="s">
        <v>26</v>
      </c>
      <c r="G194" s="85" t="s">
        <v>46</v>
      </c>
      <c r="H194" s="87">
        <v>13.147829999999999</v>
      </c>
      <c r="I194" s="87">
        <v>70.708300000000008</v>
      </c>
      <c r="J194" s="87">
        <v>7.6257390000000003</v>
      </c>
      <c r="K194" s="85">
        <v>2</v>
      </c>
      <c r="L194" s="85">
        <v>31</v>
      </c>
      <c r="M194" s="85">
        <f t="shared" ref="M194:M257" si="3">K194+L194</f>
        <v>33</v>
      </c>
      <c r="N194" t="str" cm="1">
        <f t="array" ref="N194">_xlfn.IFS(M194&lt;40,"Queit",M194&lt;70,"Modest",M194&lt;100,"Good",M194&gt;=100,"Busy")</f>
        <v>Queit</v>
      </c>
    </row>
    <row r="195" spans="1:14" x14ac:dyDescent="0.35">
      <c r="A195" s="85">
        <v>203</v>
      </c>
      <c r="B195" s="86">
        <v>44764</v>
      </c>
      <c r="C195" s="85" t="s">
        <v>53</v>
      </c>
      <c r="D195" s="85" t="s">
        <v>40</v>
      </c>
      <c r="E195" s="85" t="s">
        <v>50</v>
      </c>
      <c r="F195" s="85" t="s">
        <v>26</v>
      </c>
      <c r="G195" s="85" t="s">
        <v>46</v>
      </c>
      <c r="H195" s="87">
        <v>7.9874999999999998</v>
      </c>
      <c r="I195" s="87">
        <v>58.041699999999999</v>
      </c>
      <c r="J195" s="87">
        <v>8.9177</v>
      </c>
      <c r="K195" s="85">
        <v>2</v>
      </c>
      <c r="L195" s="85">
        <v>29</v>
      </c>
      <c r="M195" s="85">
        <f t="shared" si="3"/>
        <v>31</v>
      </c>
      <c r="N195" t="str" cm="1">
        <f t="array" ref="N195">_xlfn.IFS(M195&lt;40,"Queit",M195&lt;70,"Modest",M195&lt;100,"Good",M195&gt;=100,"Busy")</f>
        <v>Queit</v>
      </c>
    </row>
    <row r="196" spans="1:14" x14ac:dyDescent="0.35">
      <c r="A196" s="85">
        <v>204</v>
      </c>
      <c r="B196" s="86">
        <v>44765</v>
      </c>
      <c r="C196" s="85" t="s">
        <v>53</v>
      </c>
      <c r="D196" s="85" t="s">
        <v>40</v>
      </c>
      <c r="E196" s="85" t="s">
        <v>41</v>
      </c>
      <c r="F196" s="85" t="s">
        <v>42</v>
      </c>
      <c r="G196" s="85" t="s">
        <v>46</v>
      </c>
      <c r="H196" s="87">
        <v>2.6608679999999998</v>
      </c>
      <c r="I196" s="87">
        <v>50</v>
      </c>
      <c r="J196" s="87">
        <v>8.7918070000000004</v>
      </c>
      <c r="K196" s="85">
        <v>2</v>
      </c>
      <c r="L196" s="85">
        <v>18</v>
      </c>
      <c r="M196" s="85">
        <f t="shared" si="3"/>
        <v>20</v>
      </c>
      <c r="N196" t="str" cm="1">
        <f t="array" ref="N196">_xlfn.IFS(M196&lt;40,"Queit",M196&lt;70,"Modest",M196&lt;100,"Good",M196&gt;=100,"Busy")</f>
        <v>Queit</v>
      </c>
    </row>
    <row r="197" spans="1:14" x14ac:dyDescent="0.35">
      <c r="A197" s="85">
        <v>205</v>
      </c>
      <c r="B197" s="86">
        <v>44766</v>
      </c>
      <c r="C197" s="85" t="s">
        <v>53</v>
      </c>
      <c r="D197" s="85" t="s">
        <v>40</v>
      </c>
      <c r="E197" s="85" t="s">
        <v>44</v>
      </c>
      <c r="F197" s="85" t="s">
        <v>42</v>
      </c>
      <c r="G197" s="85" t="s">
        <v>46</v>
      </c>
      <c r="H197" s="87">
        <v>4.3434765000000004</v>
      </c>
      <c r="I197" s="87">
        <v>55.083300000000001</v>
      </c>
      <c r="J197" s="87">
        <v>11.334456999999999</v>
      </c>
      <c r="K197" s="85">
        <v>3</v>
      </c>
      <c r="L197" s="85">
        <v>17</v>
      </c>
      <c r="M197" s="85">
        <f t="shared" si="3"/>
        <v>20</v>
      </c>
      <c r="N197" t="str" cm="1">
        <f t="array" ref="N197">_xlfn.IFS(M197&lt;40,"Queit",M197&lt;70,"Modest",M197&lt;100,"Good",M197&gt;=100,"Busy")</f>
        <v>Queit</v>
      </c>
    </row>
    <row r="198" spans="1:14" x14ac:dyDescent="0.35">
      <c r="A198" s="85">
        <v>206</v>
      </c>
      <c r="B198" s="86">
        <v>44767</v>
      </c>
      <c r="C198" s="85" t="s">
        <v>53</v>
      </c>
      <c r="D198" s="85" t="s">
        <v>40</v>
      </c>
      <c r="E198" s="85" t="s">
        <v>45</v>
      </c>
      <c r="F198" s="85" t="s">
        <v>26</v>
      </c>
      <c r="G198" s="85" t="s">
        <v>46</v>
      </c>
      <c r="H198" s="87">
        <v>4.3826084999999999</v>
      </c>
      <c r="I198" s="87">
        <v>75.708299999999994</v>
      </c>
      <c r="J198" s="87">
        <v>6.0841560999999995</v>
      </c>
      <c r="K198" s="85">
        <v>2</v>
      </c>
      <c r="L198" s="85">
        <v>27</v>
      </c>
      <c r="M198" s="85">
        <f t="shared" si="3"/>
        <v>29</v>
      </c>
      <c r="N198" t="str" cm="1">
        <f t="array" ref="N198">_xlfn.IFS(M198&lt;40,"Queit",M198&lt;70,"Modest",M198&lt;100,"Good",M198&gt;=100,"Busy")</f>
        <v>Queit</v>
      </c>
    </row>
    <row r="199" spans="1:14" x14ac:dyDescent="0.35">
      <c r="A199" s="85">
        <v>207</v>
      </c>
      <c r="B199" s="86">
        <v>44768</v>
      </c>
      <c r="C199" s="85" t="s">
        <v>53</v>
      </c>
      <c r="D199" s="85" t="s">
        <v>40</v>
      </c>
      <c r="E199" s="85" t="s">
        <v>47</v>
      </c>
      <c r="F199" s="85" t="s">
        <v>26</v>
      </c>
      <c r="G199" s="85" t="s">
        <v>46</v>
      </c>
      <c r="H199" s="87">
        <v>10.056510000000001</v>
      </c>
      <c r="I199" s="87">
        <v>54.083300000000001</v>
      </c>
      <c r="J199" s="87">
        <v>13.417285999999999</v>
      </c>
      <c r="K199" s="85">
        <v>4</v>
      </c>
      <c r="L199" s="85">
        <v>36</v>
      </c>
      <c r="M199" s="85">
        <f t="shared" si="3"/>
        <v>40</v>
      </c>
      <c r="N199" t="str" cm="1">
        <f t="array" ref="N199">_xlfn.IFS(M199&lt;40,"Queit",M199&lt;70,"Modest",M199&lt;100,"Good",M199&gt;=100,"Busy")</f>
        <v>Modest</v>
      </c>
    </row>
    <row r="200" spans="1:14" x14ac:dyDescent="0.35">
      <c r="A200" s="85">
        <v>208</v>
      </c>
      <c r="B200" s="86">
        <v>44769</v>
      </c>
      <c r="C200" s="85" t="s">
        <v>53</v>
      </c>
      <c r="D200" s="85" t="s">
        <v>40</v>
      </c>
      <c r="E200" s="85" t="s">
        <v>48</v>
      </c>
      <c r="F200" s="85" t="s">
        <v>26</v>
      </c>
      <c r="G200" s="85" t="s">
        <v>46</v>
      </c>
      <c r="H200" s="87">
        <v>9.7874999999999996</v>
      </c>
      <c r="I200" s="87">
        <v>40.291700000000006</v>
      </c>
      <c r="J200" s="87">
        <v>12.292020999999998</v>
      </c>
      <c r="K200" s="85">
        <v>1</v>
      </c>
      <c r="L200" s="85">
        <v>9</v>
      </c>
      <c r="M200" s="85">
        <f t="shared" si="3"/>
        <v>10</v>
      </c>
      <c r="N200" t="str" cm="1">
        <f t="array" ref="N200">_xlfn.IFS(M200&lt;40,"Queit",M200&lt;70,"Modest",M200&lt;100,"Good",M200&gt;=100,"Busy")</f>
        <v>Queit</v>
      </c>
    </row>
    <row r="201" spans="1:14" x14ac:dyDescent="0.35">
      <c r="A201" s="85">
        <v>209</v>
      </c>
      <c r="B201" s="86">
        <v>44770</v>
      </c>
      <c r="C201" s="85" t="s">
        <v>53</v>
      </c>
      <c r="D201" s="85" t="s">
        <v>40</v>
      </c>
      <c r="E201" s="85" t="s">
        <v>49</v>
      </c>
      <c r="F201" s="85" t="s">
        <v>26</v>
      </c>
      <c r="G201" s="85" t="s">
        <v>46</v>
      </c>
      <c r="H201" s="87">
        <v>8.7750000000000004</v>
      </c>
      <c r="I201" s="87">
        <v>58.333300000000001</v>
      </c>
      <c r="J201" s="87">
        <v>11.958093</v>
      </c>
      <c r="K201" s="85">
        <v>0</v>
      </c>
      <c r="L201" s="85">
        <v>8</v>
      </c>
      <c r="M201" s="85">
        <f t="shared" si="3"/>
        <v>8</v>
      </c>
      <c r="N201" t="str" cm="1">
        <f t="array" ref="N201">_xlfn.IFS(M201&lt;40,"Queit",M201&lt;70,"Modest",M201&lt;100,"Good",M201&gt;=100,"Busy")</f>
        <v>Queit</v>
      </c>
    </row>
    <row r="202" spans="1:14" x14ac:dyDescent="0.35">
      <c r="A202" s="85">
        <v>210</v>
      </c>
      <c r="B202" s="86">
        <v>44771</v>
      </c>
      <c r="C202" s="85" t="s">
        <v>53</v>
      </c>
      <c r="D202" s="85" t="s">
        <v>40</v>
      </c>
      <c r="E202" s="85" t="s">
        <v>50</v>
      </c>
      <c r="F202" s="85" t="s">
        <v>26</v>
      </c>
      <c r="G202" s="85" t="s">
        <v>46</v>
      </c>
      <c r="H202" s="87">
        <v>9.156509999999999</v>
      </c>
      <c r="I202" s="87">
        <v>54.25</v>
      </c>
      <c r="J202" s="87">
        <v>11.667245999999999</v>
      </c>
      <c r="K202" s="85">
        <v>1</v>
      </c>
      <c r="L202" s="85">
        <v>23</v>
      </c>
      <c r="M202" s="85">
        <f t="shared" si="3"/>
        <v>24</v>
      </c>
      <c r="N202" t="str" cm="1">
        <f t="array" ref="N202">_xlfn.IFS(M202&lt;40,"Queit",M202&lt;70,"Modest",M202&lt;100,"Good",M202&gt;=100,"Busy")</f>
        <v>Queit</v>
      </c>
    </row>
    <row r="203" spans="1:14" x14ac:dyDescent="0.35">
      <c r="A203" s="85">
        <v>211</v>
      </c>
      <c r="B203" s="86">
        <v>44772</v>
      </c>
      <c r="C203" s="85" t="s">
        <v>53</v>
      </c>
      <c r="D203" s="85" t="s">
        <v>40</v>
      </c>
      <c r="E203" s="85" t="s">
        <v>41</v>
      </c>
      <c r="F203" s="85" t="s">
        <v>42</v>
      </c>
      <c r="G203" s="85" t="s">
        <v>46</v>
      </c>
      <c r="H203" s="87">
        <v>8.843490000000001</v>
      </c>
      <c r="I203" s="87">
        <v>46.583300000000001</v>
      </c>
      <c r="J203" s="87">
        <v>11.291979</v>
      </c>
      <c r="K203" s="85">
        <v>2</v>
      </c>
      <c r="L203" s="85">
        <v>20</v>
      </c>
      <c r="M203" s="85">
        <f t="shared" si="3"/>
        <v>22</v>
      </c>
      <c r="N203" t="str" cm="1">
        <f t="array" ref="N203">_xlfn.IFS(M203&lt;40,"Queit",M203&lt;70,"Modest",M203&lt;100,"Good",M203&gt;=100,"Busy")</f>
        <v>Queit</v>
      </c>
    </row>
    <row r="204" spans="1:14" x14ac:dyDescent="0.35">
      <c r="A204" s="85">
        <v>212</v>
      </c>
      <c r="B204" s="86">
        <v>44773</v>
      </c>
      <c r="C204" s="85" t="s">
        <v>53</v>
      </c>
      <c r="D204" s="85" t="s">
        <v>40</v>
      </c>
      <c r="E204" s="85" t="s">
        <v>44</v>
      </c>
      <c r="F204" s="85" t="s">
        <v>42</v>
      </c>
      <c r="G204" s="85" t="s">
        <v>46</v>
      </c>
      <c r="H204" s="87">
        <v>9.7434899999999995</v>
      </c>
      <c r="I204" s="87">
        <v>48.083300000000001</v>
      </c>
      <c r="J204" s="87">
        <v>11.042470999999999</v>
      </c>
      <c r="K204" s="85">
        <v>3</v>
      </c>
      <c r="L204" s="85">
        <v>19</v>
      </c>
      <c r="M204" s="85">
        <f t="shared" si="3"/>
        <v>22</v>
      </c>
      <c r="N204" t="str" cm="1">
        <f t="array" ref="N204">_xlfn.IFS(M204&lt;40,"Queit",M204&lt;70,"Modest",M204&lt;100,"Good",M204&gt;=100,"Busy")</f>
        <v>Queit</v>
      </c>
    </row>
    <row r="205" spans="1:14" x14ac:dyDescent="0.35">
      <c r="A205" s="85">
        <v>213</v>
      </c>
      <c r="B205" s="86">
        <v>44774</v>
      </c>
      <c r="C205" s="85" t="s">
        <v>53</v>
      </c>
      <c r="D205" s="85" t="s">
        <v>40</v>
      </c>
      <c r="E205" s="85" t="s">
        <v>45</v>
      </c>
      <c r="F205" s="85" t="s">
        <v>26</v>
      </c>
      <c r="G205" s="85" t="s">
        <v>46</v>
      </c>
      <c r="H205" s="87">
        <v>8.1374849999999999</v>
      </c>
      <c r="I205" s="87">
        <v>55.083300000000001</v>
      </c>
      <c r="J205" s="87">
        <v>10.500038999999999</v>
      </c>
      <c r="K205" s="85">
        <v>1</v>
      </c>
      <c r="L205" s="85">
        <v>29</v>
      </c>
      <c r="M205" s="85">
        <f t="shared" si="3"/>
        <v>30</v>
      </c>
      <c r="N205" t="str" cm="1">
        <f t="array" ref="N205">_xlfn.IFS(M205&lt;40,"Queit",M205&lt;70,"Modest",M205&lt;100,"Good",M205&gt;=100,"Busy")</f>
        <v>Queit</v>
      </c>
    </row>
    <row r="206" spans="1:14" x14ac:dyDescent="0.35">
      <c r="A206" s="85">
        <v>214</v>
      </c>
      <c r="B206" s="86">
        <v>44775</v>
      </c>
      <c r="C206" s="85" t="s">
        <v>53</v>
      </c>
      <c r="D206" s="85" t="s">
        <v>40</v>
      </c>
      <c r="E206" s="85" t="s">
        <v>47</v>
      </c>
      <c r="F206" s="85" t="s">
        <v>26</v>
      </c>
      <c r="G206" s="85" t="s">
        <v>46</v>
      </c>
      <c r="H206" s="87">
        <v>8.6478300000000008</v>
      </c>
      <c r="I206" s="87">
        <v>49.125</v>
      </c>
      <c r="J206" s="87">
        <v>13.79195</v>
      </c>
      <c r="K206" s="85">
        <v>1</v>
      </c>
      <c r="L206" s="85">
        <v>26</v>
      </c>
      <c r="M206" s="85">
        <f t="shared" si="3"/>
        <v>27</v>
      </c>
      <c r="N206" t="str" cm="1">
        <f t="array" ref="N206">_xlfn.IFS(M206&lt;40,"Queit",M206&lt;70,"Modest",M206&lt;100,"Good",M206&gt;=100,"Busy")</f>
        <v>Queit</v>
      </c>
    </row>
    <row r="207" spans="1:14" x14ac:dyDescent="0.35">
      <c r="A207" s="85">
        <v>217</v>
      </c>
      <c r="B207" s="86">
        <v>44778</v>
      </c>
      <c r="C207" s="85" t="s">
        <v>53</v>
      </c>
      <c r="D207" s="85" t="s">
        <v>40</v>
      </c>
      <c r="E207" s="85" t="s">
        <v>50</v>
      </c>
      <c r="F207" s="85" t="s">
        <v>26</v>
      </c>
      <c r="G207" s="85" t="s">
        <v>46</v>
      </c>
      <c r="H207" s="87">
        <v>9.50868</v>
      </c>
      <c r="I207" s="87">
        <v>63.083299999999994</v>
      </c>
      <c r="J207" s="87">
        <v>12.374632</v>
      </c>
      <c r="K207" s="85">
        <v>2</v>
      </c>
      <c r="L207" s="85">
        <v>32</v>
      </c>
      <c r="M207" s="85">
        <f t="shared" si="3"/>
        <v>34</v>
      </c>
      <c r="N207" t="str" cm="1">
        <f t="array" ref="N207">_xlfn.IFS(M207&lt;40,"Queit",M207&lt;70,"Modest",M207&lt;100,"Good",M207&gt;=100,"Busy")</f>
        <v>Queit</v>
      </c>
    </row>
    <row r="208" spans="1:14" x14ac:dyDescent="0.35">
      <c r="A208" s="85">
        <v>219</v>
      </c>
      <c r="B208" s="86">
        <v>44780</v>
      </c>
      <c r="C208" s="85" t="s">
        <v>53</v>
      </c>
      <c r="D208" s="85" t="s">
        <v>40</v>
      </c>
      <c r="E208" s="85" t="s">
        <v>44</v>
      </c>
      <c r="F208" s="85" t="s">
        <v>42</v>
      </c>
      <c r="G208" s="85" t="s">
        <v>46</v>
      </c>
      <c r="H208" s="87">
        <v>12.862485</v>
      </c>
      <c r="I208" s="87">
        <v>75.291699999999992</v>
      </c>
      <c r="J208" s="87">
        <v>13.499629000000001</v>
      </c>
      <c r="K208" s="85">
        <v>7</v>
      </c>
      <c r="L208" s="85">
        <v>25</v>
      </c>
      <c r="M208" s="85">
        <f t="shared" si="3"/>
        <v>32</v>
      </c>
      <c r="N208" t="str" cm="1">
        <f t="array" ref="N208">_xlfn.IFS(M208&lt;40,"Queit",M208&lt;70,"Modest",M208&lt;100,"Good",M208&gt;=100,"Busy")</f>
        <v>Queit</v>
      </c>
    </row>
    <row r="209" spans="1:14" x14ac:dyDescent="0.35">
      <c r="A209" s="85">
        <v>220</v>
      </c>
      <c r="B209" s="86">
        <v>44781</v>
      </c>
      <c r="C209" s="85" t="s">
        <v>53</v>
      </c>
      <c r="D209" s="85" t="s">
        <v>40</v>
      </c>
      <c r="E209" s="85" t="s">
        <v>45</v>
      </c>
      <c r="F209" s="85" t="s">
        <v>26</v>
      </c>
      <c r="G209" s="85" t="s">
        <v>46</v>
      </c>
      <c r="H209" s="87">
        <v>12.225014999999999</v>
      </c>
      <c r="I209" s="87">
        <v>59.208300000000001</v>
      </c>
      <c r="J209" s="87">
        <v>12.875725000000001</v>
      </c>
      <c r="K209" s="85">
        <v>2</v>
      </c>
      <c r="L209" s="85">
        <v>32</v>
      </c>
      <c r="M209" s="85">
        <f t="shared" si="3"/>
        <v>34</v>
      </c>
      <c r="N209" t="str" cm="1">
        <f t="array" ref="N209">_xlfn.IFS(M209&lt;40,"Queit",M209&lt;70,"Modest",M209&lt;100,"Good",M209&gt;=100,"Busy")</f>
        <v>Queit</v>
      </c>
    </row>
    <row r="210" spans="1:14" x14ac:dyDescent="0.35">
      <c r="A210" s="85">
        <v>221</v>
      </c>
      <c r="B210" s="86">
        <v>44782</v>
      </c>
      <c r="C210" s="85" t="s">
        <v>53</v>
      </c>
      <c r="D210" s="85" t="s">
        <v>40</v>
      </c>
      <c r="E210" s="85" t="s">
        <v>47</v>
      </c>
      <c r="F210" s="85" t="s">
        <v>26</v>
      </c>
      <c r="G210" s="85" t="s">
        <v>46</v>
      </c>
      <c r="H210" s="87">
        <v>9.9374850000000006</v>
      </c>
      <c r="I210" s="87">
        <v>57.041699999999992</v>
      </c>
      <c r="J210" s="87">
        <v>10.125107</v>
      </c>
      <c r="K210" s="85">
        <v>1</v>
      </c>
      <c r="L210" s="85">
        <v>29</v>
      </c>
      <c r="M210" s="85">
        <f t="shared" si="3"/>
        <v>30</v>
      </c>
      <c r="N210" t="str" cm="1">
        <f t="array" ref="N210">_xlfn.IFS(M210&lt;40,"Queit",M210&lt;70,"Modest",M210&lt;100,"Good",M210&gt;=100,"Busy")</f>
        <v>Queit</v>
      </c>
    </row>
    <row r="211" spans="1:14" x14ac:dyDescent="0.35">
      <c r="A211" s="85">
        <v>222</v>
      </c>
      <c r="B211" s="86">
        <v>44783</v>
      </c>
      <c r="C211" s="85" t="s">
        <v>53</v>
      </c>
      <c r="D211" s="85" t="s">
        <v>40</v>
      </c>
      <c r="E211" s="85" t="s">
        <v>48</v>
      </c>
      <c r="F211" s="85" t="s">
        <v>26</v>
      </c>
      <c r="G211" s="85" t="s">
        <v>46</v>
      </c>
      <c r="H211" s="87">
        <v>6.0652349999999995</v>
      </c>
      <c r="I211" s="87">
        <v>42.416699999999999</v>
      </c>
      <c r="J211" s="87">
        <v>13.417285999999999</v>
      </c>
      <c r="K211" s="85">
        <v>1</v>
      </c>
      <c r="L211" s="85">
        <v>31</v>
      </c>
      <c r="M211" s="85">
        <f t="shared" si="3"/>
        <v>32</v>
      </c>
      <c r="N211" t="str" cm="1">
        <f t="array" ref="N211">_xlfn.IFS(M211&lt;40,"Queit",M211&lt;70,"Modest",M211&lt;100,"Good",M211&gt;=100,"Busy")</f>
        <v>Queit</v>
      </c>
    </row>
    <row r="212" spans="1:14" x14ac:dyDescent="0.35">
      <c r="A212" s="85">
        <v>223</v>
      </c>
      <c r="B212" s="86">
        <v>44784</v>
      </c>
      <c r="C212" s="85" t="s">
        <v>53</v>
      </c>
      <c r="D212" s="85" t="s">
        <v>40</v>
      </c>
      <c r="E212" s="85" t="s">
        <v>49</v>
      </c>
      <c r="F212" s="85" t="s">
        <v>26</v>
      </c>
      <c r="G212" s="85" t="s">
        <v>46</v>
      </c>
      <c r="H212" s="87">
        <v>6.49566</v>
      </c>
      <c r="I212" s="87">
        <v>42.375</v>
      </c>
      <c r="J212" s="87">
        <v>11.041332000000001</v>
      </c>
      <c r="K212" s="85">
        <v>1</v>
      </c>
      <c r="L212" s="85">
        <v>30</v>
      </c>
      <c r="M212" s="85">
        <f t="shared" si="3"/>
        <v>31</v>
      </c>
      <c r="N212" t="str" cm="1">
        <f t="array" ref="N212">_xlfn.IFS(M212&lt;40,"Queit",M212&lt;70,"Modest",M212&lt;100,"Good",M212&gt;=100,"Busy")</f>
        <v>Queit</v>
      </c>
    </row>
    <row r="213" spans="1:14" x14ac:dyDescent="0.35">
      <c r="A213" s="85">
        <v>224</v>
      </c>
      <c r="B213" s="86">
        <v>44785</v>
      </c>
      <c r="C213" s="85" t="s">
        <v>53</v>
      </c>
      <c r="D213" s="85" t="s">
        <v>40</v>
      </c>
      <c r="E213" s="85" t="s">
        <v>50</v>
      </c>
      <c r="F213" s="85" t="s">
        <v>26</v>
      </c>
      <c r="G213" s="85" t="s">
        <v>46</v>
      </c>
      <c r="H213" s="87">
        <v>8.5090950000000003</v>
      </c>
      <c r="I213" s="87">
        <v>41.5</v>
      </c>
      <c r="J213" s="87">
        <v>8.4166070000000008</v>
      </c>
      <c r="K213" s="85">
        <v>3</v>
      </c>
      <c r="L213" s="85">
        <v>32</v>
      </c>
      <c r="M213" s="85">
        <f t="shared" si="3"/>
        <v>35</v>
      </c>
      <c r="N213" t="str" cm="1">
        <f t="array" ref="N213">_xlfn.IFS(M213&lt;40,"Queit",M213&lt;70,"Modest",M213&lt;100,"Good",M213&gt;=100,"Busy")</f>
        <v>Queit</v>
      </c>
    </row>
    <row r="214" spans="1:14" x14ac:dyDescent="0.35">
      <c r="A214" s="85">
        <v>227</v>
      </c>
      <c r="B214" s="86">
        <v>44788</v>
      </c>
      <c r="C214" s="85" t="s">
        <v>53</v>
      </c>
      <c r="D214" s="85" t="s">
        <v>40</v>
      </c>
      <c r="E214" s="85" t="s">
        <v>45</v>
      </c>
      <c r="F214" s="85" t="s">
        <v>26</v>
      </c>
      <c r="G214" s="85" t="s">
        <v>46</v>
      </c>
      <c r="H214" s="87">
        <v>18.675000000000001</v>
      </c>
      <c r="I214" s="87">
        <v>71.208300000000008</v>
      </c>
      <c r="J214" s="87">
        <v>13.999917999999999</v>
      </c>
      <c r="K214" s="85">
        <v>4</v>
      </c>
      <c r="L214" s="85">
        <v>34</v>
      </c>
      <c r="M214" s="85">
        <f t="shared" si="3"/>
        <v>38</v>
      </c>
      <c r="N214" t="str" cm="1">
        <f t="array" ref="N214">_xlfn.IFS(M214&lt;40,"Queit",M214&lt;70,"Modest",M214&lt;100,"Good",M214&gt;=100,"Busy")</f>
        <v>Queit</v>
      </c>
    </row>
    <row r="215" spans="1:14" x14ac:dyDescent="0.35">
      <c r="A215" s="85">
        <v>228</v>
      </c>
      <c r="B215" s="86">
        <v>44789</v>
      </c>
      <c r="C215" s="85" t="s">
        <v>53</v>
      </c>
      <c r="D215" s="85" t="s">
        <v>40</v>
      </c>
      <c r="E215" s="85" t="s">
        <v>47</v>
      </c>
      <c r="F215" s="85" t="s">
        <v>26</v>
      </c>
      <c r="G215" s="85" t="s">
        <v>46</v>
      </c>
      <c r="H215" s="87">
        <v>11.973915000000002</v>
      </c>
      <c r="I215" s="87">
        <v>57.833300000000001</v>
      </c>
      <c r="J215" s="87">
        <v>15.834043000000001</v>
      </c>
      <c r="K215" s="85">
        <v>3</v>
      </c>
      <c r="L215" s="85">
        <v>34</v>
      </c>
      <c r="M215" s="85">
        <f t="shared" si="3"/>
        <v>37</v>
      </c>
      <c r="N215" t="str" cm="1">
        <f t="array" ref="N215">_xlfn.IFS(M215&lt;40,"Queit",M215&lt;70,"Modest",M215&lt;100,"Good",M215&gt;=100,"Busy")</f>
        <v>Queit</v>
      </c>
    </row>
    <row r="216" spans="1:14" x14ac:dyDescent="0.35">
      <c r="A216" s="85">
        <v>229</v>
      </c>
      <c r="B216" s="86">
        <v>44790</v>
      </c>
      <c r="C216" s="85" t="s">
        <v>53</v>
      </c>
      <c r="D216" s="85" t="s">
        <v>40</v>
      </c>
      <c r="E216" s="85" t="s">
        <v>48</v>
      </c>
      <c r="F216" s="85" t="s">
        <v>26</v>
      </c>
      <c r="G216" s="85" t="s">
        <v>46</v>
      </c>
      <c r="H216" s="87">
        <v>14.321745</v>
      </c>
      <c r="I216" s="87">
        <v>57.541699999999999</v>
      </c>
      <c r="J216" s="87">
        <v>9.6256889999999995</v>
      </c>
      <c r="K216" s="85">
        <v>4</v>
      </c>
      <c r="L216" s="85">
        <v>38</v>
      </c>
      <c r="M216" s="85">
        <f t="shared" si="3"/>
        <v>42</v>
      </c>
      <c r="N216" t="str" cm="1">
        <f t="array" ref="N216">_xlfn.IFS(M216&lt;40,"Queit",M216&lt;70,"Modest",M216&lt;100,"Good",M216&gt;=100,"Busy")</f>
        <v>Modest</v>
      </c>
    </row>
    <row r="217" spans="1:14" x14ac:dyDescent="0.35">
      <c r="A217" s="85">
        <v>230</v>
      </c>
      <c r="B217" s="86">
        <v>44791</v>
      </c>
      <c r="C217" s="85" t="s">
        <v>53</v>
      </c>
      <c r="D217" s="85" t="s">
        <v>40</v>
      </c>
      <c r="E217" s="85" t="s">
        <v>49</v>
      </c>
      <c r="F217" s="85" t="s">
        <v>26</v>
      </c>
      <c r="G217" s="85" t="s">
        <v>46</v>
      </c>
      <c r="H217" s="87">
        <v>19.612485</v>
      </c>
      <c r="I217" s="87">
        <v>65.458300000000008</v>
      </c>
      <c r="J217" s="87">
        <v>15.624936</v>
      </c>
      <c r="K217" s="85">
        <v>5</v>
      </c>
      <c r="L217" s="85">
        <v>44</v>
      </c>
      <c r="M217" s="85">
        <f t="shared" si="3"/>
        <v>49</v>
      </c>
      <c r="N217" t="str" cm="1">
        <f t="array" ref="N217">_xlfn.IFS(M217&lt;40,"Queit",M217&lt;70,"Modest",M217&lt;100,"Good",M217&gt;=100,"Busy")</f>
        <v>Modest</v>
      </c>
    </row>
    <row r="218" spans="1:14" x14ac:dyDescent="0.35">
      <c r="A218" s="85">
        <v>232</v>
      </c>
      <c r="B218" s="86">
        <v>44793</v>
      </c>
      <c r="C218" s="85" t="s">
        <v>53</v>
      </c>
      <c r="D218" s="85" t="s">
        <v>40</v>
      </c>
      <c r="E218" s="85" t="s">
        <v>41</v>
      </c>
      <c r="F218" s="85" t="s">
        <v>42</v>
      </c>
      <c r="G218" s="85" t="s">
        <v>46</v>
      </c>
      <c r="H218" s="87">
        <v>17.962515</v>
      </c>
      <c r="I218" s="87">
        <v>67.416699999999992</v>
      </c>
      <c r="J218" s="87">
        <v>6.9992890000000001</v>
      </c>
      <c r="K218" s="85">
        <v>11</v>
      </c>
      <c r="L218" s="85">
        <v>22</v>
      </c>
      <c r="M218" s="85">
        <f t="shared" si="3"/>
        <v>33</v>
      </c>
      <c r="N218" t="str" cm="1">
        <f t="array" ref="N218">_xlfn.IFS(M218&lt;40,"Queit",M218&lt;70,"Modest",M218&lt;100,"Good",M218&gt;=100,"Busy")</f>
        <v>Queit</v>
      </c>
    </row>
    <row r="219" spans="1:14" x14ac:dyDescent="0.35">
      <c r="A219" s="85">
        <v>233</v>
      </c>
      <c r="B219" s="86">
        <v>44794</v>
      </c>
      <c r="C219" s="85" t="s">
        <v>53</v>
      </c>
      <c r="D219" s="85" t="s">
        <v>40</v>
      </c>
      <c r="E219" s="85" t="s">
        <v>44</v>
      </c>
      <c r="F219" s="85" t="s">
        <v>42</v>
      </c>
      <c r="G219" s="85" t="s">
        <v>46</v>
      </c>
      <c r="H219" s="87">
        <v>12.834764999999999</v>
      </c>
      <c r="I219" s="87">
        <v>77</v>
      </c>
      <c r="J219" s="87">
        <v>16.666518</v>
      </c>
      <c r="K219" s="85">
        <v>13</v>
      </c>
      <c r="L219" s="85">
        <v>23</v>
      </c>
      <c r="M219" s="85">
        <f t="shared" si="3"/>
        <v>36</v>
      </c>
      <c r="N219" t="str" cm="1">
        <f t="array" ref="N219">_xlfn.IFS(M219&lt;40,"Queit",M219&lt;70,"Modest",M219&lt;100,"Good",M219&gt;=100,"Busy")</f>
        <v>Queit</v>
      </c>
    </row>
    <row r="220" spans="1:14" x14ac:dyDescent="0.35">
      <c r="A220" s="85">
        <v>234</v>
      </c>
      <c r="B220" s="86">
        <v>44795</v>
      </c>
      <c r="C220" s="85" t="s">
        <v>53</v>
      </c>
      <c r="D220" s="85" t="s">
        <v>40</v>
      </c>
      <c r="E220" s="85" t="s">
        <v>45</v>
      </c>
      <c r="F220" s="85" t="s">
        <v>26</v>
      </c>
      <c r="G220" s="85" t="s">
        <v>46</v>
      </c>
      <c r="H220" s="87">
        <v>13.649985000000001</v>
      </c>
      <c r="I220" s="87">
        <v>47</v>
      </c>
      <c r="J220" s="87">
        <v>18.542249999999999</v>
      </c>
      <c r="K220" s="85">
        <v>4</v>
      </c>
      <c r="L220" s="85">
        <v>18</v>
      </c>
      <c r="M220" s="85">
        <f t="shared" si="3"/>
        <v>22</v>
      </c>
      <c r="N220" t="str" cm="1">
        <f t="array" ref="N220">_xlfn.IFS(M220&lt;40,"Queit",M220&lt;70,"Modest",M220&lt;100,"Good",M220&gt;=100,"Busy")</f>
        <v>Queit</v>
      </c>
    </row>
    <row r="221" spans="1:14" x14ac:dyDescent="0.35">
      <c r="A221" s="85">
        <v>235</v>
      </c>
      <c r="B221" s="86">
        <v>44796</v>
      </c>
      <c r="C221" s="85" t="s">
        <v>53</v>
      </c>
      <c r="D221" s="85" t="s">
        <v>40</v>
      </c>
      <c r="E221" s="85" t="s">
        <v>47</v>
      </c>
      <c r="F221" s="85" t="s">
        <v>26</v>
      </c>
      <c r="G221" s="85" t="s">
        <v>46</v>
      </c>
      <c r="H221" s="87">
        <v>8.1999899999999997</v>
      </c>
      <c r="I221" s="87">
        <v>45.541699999999999</v>
      </c>
      <c r="J221" s="87">
        <v>9.8331210000000002</v>
      </c>
      <c r="K221" s="85">
        <v>1</v>
      </c>
      <c r="L221" s="85">
        <v>28</v>
      </c>
      <c r="M221" s="85">
        <f t="shared" si="3"/>
        <v>29</v>
      </c>
      <c r="N221" t="str" cm="1">
        <f t="array" ref="N221">_xlfn.IFS(M221&lt;40,"Queit",M221&lt;70,"Modest",M221&lt;100,"Good",M221&gt;=100,"Busy")</f>
        <v>Queit</v>
      </c>
    </row>
    <row r="222" spans="1:14" x14ac:dyDescent="0.35">
      <c r="A222" s="85">
        <v>236</v>
      </c>
      <c r="B222" s="86">
        <v>44797</v>
      </c>
      <c r="C222" s="85" t="s">
        <v>53</v>
      </c>
      <c r="D222" s="85" t="s">
        <v>40</v>
      </c>
      <c r="E222" s="85" t="s">
        <v>48</v>
      </c>
      <c r="F222" s="85" t="s">
        <v>26</v>
      </c>
      <c r="G222" s="85" t="s">
        <v>46</v>
      </c>
      <c r="H222" s="87">
        <v>9.978254999999999</v>
      </c>
      <c r="I222" s="87">
        <v>60.5</v>
      </c>
      <c r="J222" s="87">
        <v>16.958235999999999</v>
      </c>
      <c r="K222" s="85">
        <v>3</v>
      </c>
      <c r="L222" s="85">
        <v>36</v>
      </c>
      <c r="M222" s="85">
        <f t="shared" si="3"/>
        <v>39</v>
      </c>
      <c r="N222" t="str" cm="1">
        <f t="array" ref="N222">_xlfn.IFS(M222&lt;40,"Queit",M222&lt;70,"Modest",M222&lt;100,"Good",M222&gt;=100,"Busy")</f>
        <v>Queit</v>
      </c>
    </row>
    <row r="223" spans="1:14" x14ac:dyDescent="0.35">
      <c r="A223" s="85">
        <v>238</v>
      </c>
      <c r="B223" s="86">
        <v>44799</v>
      </c>
      <c r="C223" s="85" t="s">
        <v>53</v>
      </c>
      <c r="D223" s="85" t="s">
        <v>40</v>
      </c>
      <c r="E223" s="85" t="s">
        <v>50</v>
      </c>
      <c r="F223" s="85" t="s">
        <v>26</v>
      </c>
      <c r="G223" s="85" t="s">
        <v>46</v>
      </c>
      <c r="H223" s="87">
        <v>16.395659999999999</v>
      </c>
      <c r="I223" s="87">
        <v>76.125</v>
      </c>
      <c r="J223" s="87">
        <v>5.6254874999999993</v>
      </c>
      <c r="K223" s="85">
        <v>2</v>
      </c>
      <c r="L223" s="85">
        <v>27</v>
      </c>
      <c r="M223" s="85">
        <f t="shared" si="3"/>
        <v>29</v>
      </c>
      <c r="N223" t="str" cm="1">
        <f t="array" ref="N223">_xlfn.IFS(M223&lt;40,"Queit",M223&lt;70,"Modest",M223&lt;100,"Good",M223&gt;=100,"Busy")</f>
        <v>Queit</v>
      </c>
    </row>
    <row r="224" spans="1:14" x14ac:dyDescent="0.35">
      <c r="A224" s="85">
        <v>240</v>
      </c>
      <c r="B224" s="86">
        <v>44801</v>
      </c>
      <c r="C224" s="85" t="s">
        <v>53</v>
      </c>
      <c r="D224" s="85" t="s">
        <v>40</v>
      </c>
      <c r="E224" s="85" t="s">
        <v>44</v>
      </c>
      <c r="F224" s="85" t="s">
        <v>42</v>
      </c>
      <c r="G224" s="85" t="s">
        <v>46</v>
      </c>
      <c r="H224" s="87">
        <v>15.45651</v>
      </c>
      <c r="I224" s="87">
        <v>56.176499999999997</v>
      </c>
      <c r="J224" s="87">
        <v>20.412153</v>
      </c>
      <c r="K224" s="85">
        <v>14</v>
      </c>
      <c r="L224" s="85">
        <v>34</v>
      </c>
      <c r="M224" s="85">
        <f t="shared" si="3"/>
        <v>48</v>
      </c>
      <c r="N224" t="str" cm="1">
        <f t="array" ref="N224">_xlfn.IFS(M224&lt;40,"Queit",M224&lt;70,"Modest",M224&lt;100,"Good",M224&gt;=100,"Busy")</f>
        <v>Modest</v>
      </c>
    </row>
    <row r="225" spans="1:14" x14ac:dyDescent="0.35">
      <c r="A225" s="85">
        <v>241</v>
      </c>
      <c r="B225" s="86">
        <v>44802</v>
      </c>
      <c r="C225" s="85" t="s">
        <v>53</v>
      </c>
      <c r="D225" s="85" t="s">
        <v>40</v>
      </c>
      <c r="E225" s="85" t="s">
        <v>45</v>
      </c>
      <c r="F225" s="85" t="s">
        <v>26</v>
      </c>
      <c r="G225" s="85" t="s">
        <v>46</v>
      </c>
      <c r="H225" s="87">
        <v>18.327285</v>
      </c>
      <c r="I225" s="87">
        <v>55.458300000000008</v>
      </c>
      <c r="J225" s="87">
        <v>10.708275</v>
      </c>
      <c r="K225" s="85">
        <v>2</v>
      </c>
      <c r="L225" s="85">
        <v>27</v>
      </c>
      <c r="M225" s="85">
        <f t="shared" si="3"/>
        <v>29</v>
      </c>
      <c r="N225" t="str" cm="1">
        <f t="array" ref="N225">_xlfn.IFS(M225&lt;40,"Queit",M225&lt;70,"Modest",M225&lt;100,"Good",M225&gt;=100,"Busy")</f>
        <v>Queit</v>
      </c>
    </row>
    <row r="226" spans="1:14" x14ac:dyDescent="0.35">
      <c r="A226" s="85">
        <v>242</v>
      </c>
      <c r="B226" s="86">
        <v>44803</v>
      </c>
      <c r="C226" s="85" t="s">
        <v>53</v>
      </c>
      <c r="D226" s="85" t="s">
        <v>40</v>
      </c>
      <c r="E226" s="85" t="s">
        <v>47</v>
      </c>
      <c r="F226" s="85" t="s">
        <v>26</v>
      </c>
      <c r="G226" s="85" t="s">
        <v>46</v>
      </c>
      <c r="H226" s="87">
        <v>12.000014999999999</v>
      </c>
      <c r="I226" s="87">
        <v>54.833299999999994</v>
      </c>
      <c r="J226" s="87">
        <v>8.3755360000000003</v>
      </c>
      <c r="K226" s="85">
        <v>3</v>
      </c>
      <c r="L226" s="85">
        <v>34</v>
      </c>
      <c r="M226" s="85">
        <f t="shared" si="3"/>
        <v>37</v>
      </c>
      <c r="N226" t="str" cm="1">
        <f t="array" ref="N226">_xlfn.IFS(M226&lt;40,"Queit",M226&lt;70,"Modest",M226&lt;100,"Good",M226&gt;=100,"Busy")</f>
        <v>Queit</v>
      </c>
    </row>
    <row r="227" spans="1:14" x14ac:dyDescent="0.35">
      <c r="A227" s="85">
        <v>243</v>
      </c>
      <c r="B227" s="86">
        <v>44804</v>
      </c>
      <c r="C227" s="85" t="s">
        <v>53</v>
      </c>
      <c r="D227" s="85" t="s">
        <v>40</v>
      </c>
      <c r="E227" s="85" t="s">
        <v>48</v>
      </c>
      <c r="F227" s="85" t="s">
        <v>26</v>
      </c>
      <c r="G227" s="85" t="s">
        <v>46</v>
      </c>
      <c r="H227" s="87">
        <v>15.075000000000001</v>
      </c>
      <c r="I227" s="87">
        <v>59.791700000000006</v>
      </c>
      <c r="J227" s="87">
        <v>5.5833310999999997</v>
      </c>
      <c r="K227" s="85">
        <v>5</v>
      </c>
      <c r="L227" s="85">
        <v>38</v>
      </c>
      <c r="M227" s="85">
        <f t="shared" si="3"/>
        <v>43</v>
      </c>
      <c r="N227" t="str" cm="1">
        <f t="array" ref="N227">_xlfn.IFS(M227&lt;40,"Queit",M227&lt;70,"Modest",M227&lt;100,"Good",M227&gt;=100,"Busy")</f>
        <v>Modest</v>
      </c>
    </row>
    <row r="228" spans="1:14" x14ac:dyDescent="0.35">
      <c r="A228" s="85">
        <v>63</v>
      </c>
      <c r="B228" s="86">
        <v>44624</v>
      </c>
      <c r="C228" s="85" t="s">
        <v>52</v>
      </c>
      <c r="D228" s="85" t="s">
        <v>40</v>
      </c>
      <c r="E228" s="85" t="s">
        <v>50</v>
      </c>
      <c r="F228" s="85" t="s">
        <v>26</v>
      </c>
      <c r="G228" s="85" t="s">
        <v>43</v>
      </c>
      <c r="H228" s="87">
        <v>30.112514999999998</v>
      </c>
      <c r="I228" s="87">
        <v>61.041699999999999</v>
      </c>
      <c r="J228" s="87">
        <v>13.624181999999999</v>
      </c>
      <c r="K228" s="85">
        <v>39</v>
      </c>
      <c r="L228" s="85">
        <v>51</v>
      </c>
      <c r="M228" s="85">
        <f t="shared" si="3"/>
        <v>90</v>
      </c>
      <c r="N228" t="str" cm="1">
        <f t="array" ref="N228">_xlfn.IFS(M228&lt;40,"Queit",M228&lt;70,"Modest",M228&lt;100,"Good",M228&gt;=100,"Busy")</f>
        <v>Good</v>
      </c>
    </row>
    <row r="229" spans="1:14" x14ac:dyDescent="0.35">
      <c r="A229" s="85">
        <v>64</v>
      </c>
      <c r="B229" s="86">
        <v>44625</v>
      </c>
      <c r="C229" s="85" t="s">
        <v>52</v>
      </c>
      <c r="D229" s="85" t="s">
        <v>40</v>
      </c>
      <c r="E229" s="85" t="s">
        <v>41</v>
      </c>
      <c r="F229" s="85" t="s">
        <v>42</v>
      </c>
      <c r="G229" s="85" t="s">
        <v>43</v>
      </c>
      <c r="H229" s="87">
        <v>31.912514999999999</v>
      </c>
      <c r="I229" s="87">
        <v>78.916699999999992</v>
      </c>
      <c r="J229" s="87">
        <v>16.875357000000001</v>
      </c>
      <c r="K229" s="85">
        <v>50</v>
      </c>
      <c r="L229" s="85">
        <v>48</v>
      </c>
      <c r="M229" s="85">
        <f t="shared" si="3"/>
        <v>98</v>
      </c>
      <c r="N229" t="str" cm="1">
        <f t="array" ref="N229">_xlfn.IFS(M229&lt;40,"Queit",M229&lt;70,"Modest",M229&lt;100,"Good",M229&gt;=100,"Busy")</f>
        <v>Good</v>
      </c>
    </row>
    <row r="230" spans="1:14" x14ac:dyDescent="0.35">
      <c r="A230" s="85">
        <v>65</v>
      </c>
      <c r="B230" s="86">
        <v>44626</v>
      </c>
      <c r="C230" s="85" t="s">
        <v>52</v>
      </c>
      <c r="D230" s="85" t="s">
        <v>40</v>
      </c>
      <c r="E230" s="85" t="s">
        <v>44</v>
      </c>
      <c r="F230" s="85" t="s">
        <v>42</v>
      </c>
      <c r="G230" s="85" t="s">
        <v>43</v>
      </c>
      <c r="H230" s="87">
        <v>30.299985</v>
      </c>
      <c r="I230" s="87">
        <v>94.826099999999997</v>
      </c>
      <c r="J230" s="87">
        <v>23.000229000000001</v>
      </c>
      <c r="K230" s="85">
        <v>25</v>
      </c>
      <c r="L230" s="85">
        <v>42</v>
      </c>
      <c r="M230" s="85">
        <f t="shared" si="3"/>
        <v>67</v>
      </c>
      <c r="N230" t="str" cm="1">
        <f t="array" ref="N230">_xlfn.IFS(M230&lt;40,"Queit",M230&lt;70,"Modest",M230&lt;100,"Good",M230&gt;=100,"Busy")</f>
        <v>Modest</v>
      </c>
    </row>
    <row r="231" spans="1:14" x14ac:dyDescent="0.35">
      <c r="A231" s="85">
        <v>68</v>
      </c>
      <c r="B231" s="86">
        <v>44629</v>
      </c>
      <c r="C231" s="85" t="s">
        <v>52</v>
      </c>
      <c r="D231" s="85" t="s">
        <v>40</v>
      </c>
      <c r="E231" s="85" t="s">
        <v>48</v>
      </c>
      <c r="F231" s="85" t="s">
        <v>26</v>
      </c>
      <c r="G231" s="85" t="s">
        <v>43</v>
      </c>
      <c r="H231" s="87">
        <v>28.526084999999998</v>
      </c>
      <c r="I231" s="87">
        <v>77.541700000000006</v>
      </c>
      <c r="J231" s="87">
        <v>14.750050000000002</v>
      </c>
      <c r="K231" s="85">
        <v>3</v>
      </c>
      <c r="L231" s="85">
        <v>34</v>
      </c>
      <c r="M231" s="85">
        <f t="shared" si="3"/>
        <v>37</v>
      </c>
      <c r="N231" t="str" cm="1">
        <f t="array" ref="N231">_xlfn.IFS(M231&lt;40,"Queit",M231&lt;70,"Modest",M231&lt;100,"Good",M231&gt;=100,"Busy")</f>
        <v>Queit</v>
      </c>
    </row>
    <row r="232" spans="1:14" x14ac:dyDescent="0.35">
      <c r="A232" s="85">
        <v>70</v>
      </c>
      <c r="B232" s="86">
        <v>44631</v>
      </c>
      <c r="C232" s="85" t="s">
        <v>52</v>
      </c>
      <c r="D232" s="85" t="s">
        <v>40</v>
      </c>
      <c r="E232" s="85" t="s">
        <v>50</v>
      </c>
      <c r="F232" s="85" t="s">
        <v>26</v>
      </c>
      <c r="G232" s="85" t="s">
        <v>43</v>
      </c>
      <c r="H232" s="87">
        <v>29.700000000000003</v>
      </c>
      <c r="I232" s="87">
        <v>64.956499999999991</v>
      </c>
      <c r="J232" s="87">
        <v>15.60899</v>
      </c>
      <c r="K232" s="85">
        <v>35</v>
      </c>
      <c r="L232" s="85">
        <v>72</v>
      </c>
      <c r="M232" s="85">
        <f t="shared" si="3"/>
        <v>107</v>
      </c>
      <c r="N232" t="str" cm="1">
        <f t="array" ref="N232">_xlfn.IFS(M232&lt;40,"Queit",M232&lt;70,"Modest",M232&lt;100,"Good",M232&gt;=100,"Busy")</f>
        <v>Busy</v>
      </c>
    </row>
    <row r="233" spans="1:14" x14ac:dyDescent="0.35">
      <c r="A233" s="85">
        <v>74</v>
      </c>
      <c r="B233" s="86">
        <v>44635</v>
      </c>
      <c r="C233" s="85" t="s">
        <v>52</v>
      </c>
      <c r="D233" s="85" t="s">
        <v>40</v>
      </c>
      <c r="E233" s="85" t="s">
        <v>47</v>
      </c>
      <c r="F233" s="85" t="s">
        <v>26</v>
      </c>
      <c r="G233" s="85" t="s">
        <v>43</v>
      </c>
      <c r="H233" s="87">
        <v>30.299985</v>
      </c>
      <c r="I233" s="87">
        <v>65.565200000000004</v>
      </c>
      <c r="J233" s="87">
        <v>12.348703</v>
      </c>
      <c r="K233" s="85">
        <v>13</v>
      </c>
      <c r="L233" s="85">
        <v>83</v>
      </c>
      <c r="M233" s="85">
        <f t="shared" si="3"/>
        <v>96</v>
      </c>
      <c r="N233" t="str" cm="1">
        <f t="array" ref="N233">_xlfn.IFS(M233&lt;40,"Queit",M233&lt;70,"Modest",M233&lt;100,"Good",M233&gt;=100,"Busy")</f>
        <v>Good</v>
      </c>
    </row>
    <row r="234" spans="1:14" x14ac:dyDescent="0.35">
      <c r="A234" s="85">
        <v>75</v>
      </c>
      <c r="B234" s="86">
        <v>44636</v>
      </c>
      <c r="C234" s="85" t="s">
        <v>52</v>
      </c>
      <c r="D234" s="85" t="s">
        <v>40</v>
      </c>
      <c r="E234" s="85" t="s">
        <v>48</v>
      </c>
      <c r="F234" s="85" t="s">
        <v>26</v>
      </c>
      <c r="G234" s="85" t="s">
        <v>43</v>
      </c>
      <c r="H234" s="87">
        <v>25.987500000000001</v>
      </c>
      <c r="I234" s="87">
        <v>77.652200000000008</v>
      </c>
      <c r="J234" s="87">
        <v>13.608839</v>
      </c>
      <c r="K234" s="85">
        <v>9</v>
      </c>
      <c r="L234" s="85">
        <v>65</v>
      </c>
      <c r="M234" s="85">
        <f t="shared" si="3"/>
        <v>74</v>
      </c>
      <c r="N234" t="str" cm="1">
        <f t="array" ref="N234">_xlfn.IFS(M234&lt;40,"Queit",M234&lt;70,"Modest",M234&lt;100,"Good",M234&gt;=100,"Busy")</f>
        <v>Good</v>
      </c>
    </row>
    <row r="235" spans="1:14" x14ac:dyDescent="0.35">
      <c r="A235" s="85">
        <v>80</v>
      </c>
      <c r="B235" s="86">
        <v>44641</v>
      </c>
      <c r="C235" s="85" t="s">
        <v>52</v>
      </c>
      <c r="D235" s="85" t="s">
        <v>40</v>
      </c>
      <c r="E235" s="85" t="s">
        <v>45</v>
      </c>
      <c r="F235" s="85" t="s">
        <v>26</v>
      </c>
      <c r="G235" s="85" t="s">
        <v>43</v>
      </c>
      <c r="H235" s="87">
        <v>25.275015</v>
      </c>
      <c r="I235" s="87">
        <v>73.739100000000008</v>
      </c>
      <c r="J235" s="87">
        <v>19.348461</v>
      </c>
      <c r="K235" s="85">
        <v>9</v>
      </c>
      <c r="L235" s="85">
        <v>64</v>
      </c>
      <c r="M235" s="85">
        <f t="shared" si="3"/>
        <v>73</v>
      </c>
      <c r="N235" t="str" cm="1">
        <f t="array" ref="N235">_xlfn.IFS(M235&lt;40,"Queit",M235&lt;70,"Modest",M235&lt;100,"Good",M235&gt;=100,"Busy")</f>
        <v>Good</v>
      </c>
    </row>
    <row r="236" spans="1:14" x14ac:dyDescent="0.35">
      <c r="A236" s="85">
        <v>82</v>
      </c>
      <c r="B236" s="86">
        <v>44643</v>
      </c>
      <c r="C236" s="85" t="s">
        <v>52</v>
      </c>
      <c r="D236" s="85" t="s">
        <v>40</v>
      </c>
      <c r="E236" s="85" t="s">
        <v>48</v>
      </c>
      <c r="F236" s="85" t="s">
        <v>26</v>
      </c>
      <c r="G236" s="85" t="s">
        <v>43</v>
      </c>
      <c r="H236" s="87">
        <v>28.274985000000001</v>
      </c>
      <c r="I236" s="87">
        <v>83.956500000000005</v>
      </c>
      <c r="J236" s="87">
        <v>15.695487</v>
      </c>
      <c r="K236" s="85">
        <v>11</v>
      </c>
      <c r="L236" s="85">
        <v>85</v>
      </c>
      <c r="M236" s="85">
        <f t="shared" si="3"/>
        <v>96</v>
      </c>
      <c r="N236" t="str" cm="1">
        <f t="array" ref="N236">_xlfn.IFS(M236&lt;40,"Queit",M236&lt;70,"Modest",M236&lt;100,"Good",M236&gt;=100,"Busy")</f>
        <v>Good</v>
      </c>
    </row>
    <row r="237" spans="1:14" x14ac:dyDescent="0.35">
      <c r="A237" s="85">
        <v>83</v>
      </c>
      <c r="B237" s="86">
        <v>44644</v>
      </c>
      <c r="C237" s="85" t="s">
        <v>52</v>
      </c>
      <c r="D237" s="85" t="s">
        <v>40</v>
      </c>
      <c r="E237" s="85" t="s">
        <v>49</v>
      </c>
      <c r="F237" s="85" t="s">
        <v>26</v>
      </c>
      <c r="G237" s="85" t="s">
        <v>43</v>
      </c>
      <c r="H237" s="87">
        <v>27.412514999999999</v>
      </c>
      <c r="I237" s="87">
        <v>80.583300000000008</v>
      </c>
      <c r="J237" s="87">
        <v>16.333729000000002</v>
      </c>
      <c r="K237" s="85">
        <v>5</v>
      </c>
      <c r="L237" s="85">
        <v>43</v>
      </c>
      <c r="M237" s="85">
        <f t="shared" si="3"/>
        <v>48</v>
      </c>
      <c r="N237" t="str" cm="1">
        <f t="array" ref="N237">_xlfn.IFS(M237&lt;40,"Queit",M237&lt;70,"Modest",M237&lt;100,"Good",M237&gt;=100,"Busy")</f>
        <v>Modest</v>
      </c>
    </row>
    <row r="238" spans="1:14" x14ac:dyDescent="0.35">
      <c r="A238" s="85">
        <v>86</v>
      </c>
      <c r="B238" s="86">
        <v>44647</v>
      </c>
      <c r="C238" s="85" t="s">
        <v>52</v>
      </c>
      <c r="D238" s="85" t="s">
        <v>40</v>
      </c>
      <c r="E238" s="85" t="s">
        <v>44</v>
      </c>
      <c r="F238" s="85" t="s">
        <v>42</v>
      </c>
      <c r="G238" s="85" t="s">
        <v>43</v>
      </c>
      <c r="H238" s="87">
        <v>29.212515000000003</v>
      </c>
      <c r="I238" s="87">
        <v>49.391300000000001</v>
      </c>
      <c r="J238" s="87">
        <v>12.348099999999999</v>
      </c>
      <c r="K238" s="85">
        <v>14</v>
      </c>
      <c r="L238" s="85">
        <v>79</v>
      </c>
      <c r="M238" s="85">
        <f t="shared" si="3"/>
        <v>93</v>
      </c>
      <c r="N238" t="str" cm="1">
        <f t="array" ref="N238">_xlfn.IFS(M238&lt;40,"Queit",M238&lt;70,"Modest",M238&lt;100,"Good",M238&gt;=100,"Busy")</f>
        <v>Good</v>
      </c>
    </row>
    <row r="239" spans="1:14" x14ac:dyDescent="0.35">
      <c r="A239" s="85">
        <v>89</v>
      </c>
      <c r="B239" s="86">
        <v>44650</v>
      </c>
      <c r="C239" s="85" t="s">
        <v>52</v>
      </c>
      <c r="D239" s="85" t="s">
        <v>40</v>
      </c>
      <c r="E239" s="85" t="s">
        <v>48</v>
      </c>
      <c r="F239" s="85" t="s">
        <v>26</v>
      </c>
      <c r="G239" s="85" t="s">
        <v>43</v>
      </c>
      <c r="H239" s="87">
        <v>27.750014999999998</v>
      </c>
      <c r="I239" s="87">
        <v>64.666700000000006</v>
      </c>
      <c r="J239" s="87">
        <v>11.583495999999998</v>
      </c>
      <c r="K239" s="85">
        <v>13</v>
      </c>
      <c r="L239" s="85">
        <v>84</v>
      </c>
      <c r="M239" s="85">
        <f t="shared" si="3"/>
        <v>97</v>
      </c>
      <c r="N239" t="str" cm="1">
        <f t="array" ref="N239">_xlfn.IFS(M239&lt;40,"Queit",M239&lt;70,"Modest",M239&lt;100,"Good",M239&gt;=100,"Busy")</f>
        <v>Good</v>
      </c>
    </row>
    <row r="240" spans="1:14" x14ac:dyDescent="0.35">
      <c r="A240" s="85">
        <v>91</v>
      </c>
      <c r="B240" s="86">
        <v>44652</v>
      </c>
      <c r="C240" s="85" t="s">
        <v>52</v>
      </c>
      <c r="D240" s="85" t="s">
        <v>40</v>
      </c>
      <c r="E240" s="85" t="s">
        <v>50</v>
      </c>
      <c r="F240" s="85" t="s">
        <v>26</v>
      </c>
      <c r="G240" s="85" t="s">
        <v>43</v>
      </c>
      <c r="H240" s="87">
        <v>18.45</v>
      </c>
      <c r="I240" s="87">
        <v>68.625</v>
      </c>
      <c r="J240" s="87">
        <v>17.333435999999999</v>
      </c>
      <c r="K240" s="85">
        <v>10</v>
      </c>
      <c r="L240" s="85">
        <v>39</v>
      </c>
      <c r="M240" s="85">
        <f t="shared" si="3"/>
        <v>49</v>
      </c>
      <c r="N240" t="str" cm="1">
        <f t="array" ref="N240">_xlfn.IFS(M240&lt;40,"Queit",M240&lt;70,"Modest",M240&lt;100,"Good",M240&gt;=100,"Busy")</f>
        <v>Modest</v>
      </c>
    </row>
    <row r="241" spans="1:14" x14ac:dyDescent="0.35">
      <c r="A241" s="85">
        <v>92</v>
      </c>
      <c r="B241" s="86">
        <v>44653</v>
      </c>
      <c r="C241" s="85" t="s">
        <v>52</v>
      </c>
      <c r="D241" s="85" t="s">
        <v>40</v>
      </c>
      <c r="E241" s="85" t="s">
        <v>41</v>
      </c>
      <c r="F241" s="85" t="s">
        <v>42</v>
      </c>
      <c r="G241" s="85" t="s">
        <v>43</v>
      </c>
      <c r="H241" s="87">
        <v>16.050015000000002</v>
      </c>
      <c r="I241" s="87">
        <v>65.375</v>
      </c>
      <c r="J241" s="87">
        <v>13.208781999999999</v>
      </c>
      <c r="K241" s="85">
        <v>12</v>
      </c>
      <c r="L241" s="85">
        <v>46</v>
      </c>
      <c r="M241" s="85">
        <f t="shared" si="3"/>
        <v>58</v>
      </c>
      <c r="N241" t="str" cm="1">
        <f t="array" ref="N241">_xlfn.IFS(M241&lt;40,"Queit",M241&lt;70,"Modest",M241&lt;100,"Good",M241&gt;=100,"Busy")</f>
        <v>Modest</v>
      </c>
    </row>
    <row r="242" spans="1:14" x14ac:dyDescent="0.35">
      <c r="A242" s="85">
        <v>95</v>
      </c>
      <c r="B242" s="86">
        <v>44656</v>
      </c>
      <c r="C242" s="85" t="s">
        <v>52</v>
      </c>
      <c r="D242" s="85" t="s">
        <v>40</v>
      </c>
      <c r="E242" s="85" t="s">
        <v>47</v>
      </c>
      <c r="F242" s="85" t="s">
        <v>26</v>
      </c>
      <c r="G242" s="85" t="s">
        <v>43</v>
      </c>
      <c r="H242" s="87">
        <v>24.224984999999997</v>
      </c>
      <c r="I242" s="87">
        <v>64.208299999999994</v>
      </c>
      <c r="J242" s="87">
        <v>26.000488999999998</v>
      </c>
      <c r="K242" s="85">
        <v>11</v>
      </c>
      <c r="L242" s="85">
        <v>85</v>
      </c>
      <c r="M242" s="85">
        <f t="shared" si="3"/>
        <v>96</v>
      </c>
      <c r="N242" t="str" cm="1">
        <f t="array" ref="N242">_xlfn.IFS(M242&lt;40,"Queit",M242&lt;70,"Modest",M242&lt;100,"Good",M242&gt;=100,"Busy")</f>
        <v>Good</v>
      </c>
    </row>
    <row r="243" spans="1:14" x14ac:dyDescent="0.35">
      <c r="A243" s="85">
        <v>98</v>
      </c>
      <c r="B243" s="86">
        <v>44659</v>
      </c>
      <c r="C243" s="85" t="s">
        <v>52</v>
      </c>
      <c r="D243" s="85" t="s">
        <v>40</v>
      </c>
      <c r="E243" s="85" t="s">
        <v>50</v>
      </c>
      <c r="F243" s="85" t="s">
        <v>26</v>
      </c>
      <c r="G243" s="85" t="s">
        <v>43</v>
      </c>
      <c r="H243" s="87">
        <v>23.475014999999999</v>
      </c>
      <c r="I243" s="87">
        <v>83.625</v>
      </c>
      <c r="J243" s="87">
        <v>15.208463999999999</v>
      </c>
      <c r="K243" s="85">
        <v>45</v>
      </c>
      <c r="L243" s="85">
        <v>63</v>
      </c>
      <c r="M243" s="85">
        <f t="shared" si="3"/>
        <v>108</v>
      </c>
      <c r="N243" t="str" cm="1">
        <f t="array" ref="N243">_xlfn.IFS(M243&lt;40,"Queit",M243&lt;70,"Modest",M243&lt;100,"Good",M243&gt;=100,"Busy")</f>
        <v>Busy</v>
      </c>
    </row>
    <row r="244" spans="1:14" x14ac:dyDescent="0.35">
      <c r="A244" s="85">
        <v>99</v>
      </c>
      <c r="B244" s="86">
        <v>44660</v>
      </c>
      <c r="C244" s="85" t="s">
        <v>52</v>
      </c>
      <c r="D244" s="85" t="s">
        <v>40</v>
      </c>
      <c r="E244" s="85" t="s">
        <v>41</v>
      </c>
      <c r="F244" s="85" t="s">
        <v>42</v>
      </c>
      <c r="G244" s="85" t="s">
        <v>43</v>
      </c>
      <c r="H244" s="87">
        <v>24.337485000000001</v>
      </c>
      <c r="I244" s="87">
        <v>87.75</v>
      </c>
      <c r="J244" s="87">
        <v>8.9165609999999997</v>
      </c>
      <c r="K244" s="85">
        <v>48</v>
      </c>
      <c r="L244" s="85">
        <v>62</v>
      </c>
      <c r="M244" s="85">
        <f t="shared" si="3"/>
        <v>110</v>
      </c>
      <c r="N244" t="str" cm="1">
        <f t="array" ref="N244">_xlfn.IFS(M244&lt;40,"Queit",M244&lt;70,"Modest",M244&lt;100,"Good",M244&gt;=100,"Busy")</f>
        <v>Busy</v>
      </c>
    </row>
    <row r="245" spans="1:14" x14ac:dyDescent="0.35">
      <c r="A245" s="85">
        <v>100</v>
      </c>
      <c r="B245" s="86">
        <v>44661</v>
      </c>
      <c r="C245" s="85" t="s">
        <v>52</v>
      </c>
      <c r="D245" s="85" t="s">
        <v>40</v>
      </c>
      <c r="E245" s="85" t="s">
        <v>44</v>
      </c>
      <c r="F245" s="85" t="s">
        <v>42</v>
      </c>
      <c r="G245" s="85" t="s">
        <v>43</v>
      </c>
      <c r="H245" s="87">
        <v>25.687485000000002</v>
      </c>
      <c r="I245" s="87">
        <v>85.75</v>
      </c>
      <c r="J245" s="87">
        <v>9.8333890000000004</v>
      </c>
      <c r="K245" s="85">
        <v>30</v>
      </c>
      <c r="L245" s="85">
        <v>72</v>
      </c>
      <c r="M245" s="85">
        <f t="shared" si="3"/>
        <v>102</v>
      </c>
      <c r="N245" t="str" cm="1">
        <f t="array" ref="N245">_xlfn.IFS(M245&lt;40,"Queit",M245&lt;70,"Modest",M245&lt;100,"Good",M245&gt;=100,"Busy")</f>
        <v>Busy</v>
      </c>
    </row>
    <row r="246" spans="1:14" x14ac:dyDescent="0.35">
      <c r="A246" s="85">
        <v>101</v>
      </c>
      <c r="B246" s="86">
        <v>44662</v>
      </c>
      <c r="C246" s="85" t="s">
        <v>52</v>
      </c>
      <c r="D246" s="85" t="s">
        <v>40</v>
      </c>
      <c r="E246" s="85" t="s">
        <v>45</v>
      </c>
      <c r="F246" s="85" t="s">
        <v>26</v>
      </c>
      <c r="G246" s="85" t="s">
        <v>43</v>
      </c>
      <c r="H246" s="87">
        <v>25.500015000000001</v>
      </c>
      <c r="I246" s="87">
        <v>71.695599999999999</v>
      </c>
      <c r="J246" s="87">
        <v>21.739757999999998</v>
      </c>
      <c r="K246" s="85">
        <v>13</v>
      </c>
      <c r="L246" s="85">
        <v>78</v>
      </c>
      <c r="M246" s="85">
        <f t="shared" si="3"/>
        <v>91</v>
      </c>
      <c r="N246" t="str" cm="1">
        <f t="array" ref="N246">_xlfn.IFS(M246&lt;40,"Queit",M246&lt;70,"Modest",M246&lt;100,"Good",M246&gt;=100,"Busy")</f>
        <v>Good</v>
      </c>
    </row>
    <row r="247" spans="1:14" x14ac:dyDescent="0.35">
      <c r="A247" s="85">
        <v>102</v>
      </c>
      <c r="B247" s="86">
        <v>44663</v>
      </c>
      <c r="C247" s="85" t="s">
        <v>52</v>
      </c>
      <c r="D247" s="85" t="s">
        <v>40</v>
      </c>
      <c r="E247" s="85" t="s">
        <v>47</v>
      </c>
      <c r="F247" s="85" t="s">
        <v>26</v>
      </c>
      <c r="G247" s="85" t="s">
        <v>43</v>
      </c>
      <c r="H247" s="87">
        <v>24.449984999999998</v>
      </c>
      <c r="I247" s="87">
        <v>73.916700000000006</v>
      </c>
      <c r="J247" s="87">
        <v>18.416892999999998</v>
      </c>
      <c r="K247" s="85">
        <v>4</v>
      </c>
      <c r="L247" s="85">
        <v>44</v>
      </c>
      <c r="M247" s="85">
        <f t="shared" si="3"/>
        <v>48</v>
      </c>
      <c r="N247" t="str" cm="1">
        <f t="array" ref="N247">_xlfn.IFS(M247&lt;40,"Queit",M247&lt;70,"Modest",M247&lt;100,"Good",M247&gt;=100,"Busy")</f>
        <v>Modest</v>
      </c>
    </row>
    <row r="248" spans="1:14" x14ac:dyDescent="0.35">
      <c r="A248" s="85">
        <v>103</v>
      </c>
      <c r="B248" s="86">
        <v>44664</v>
      </c>
      <c r="C248" s="85" t="s">
        <v>52</v>
      </c>
      <c r="D248" s="85" t="s">
        <v>40</v>
      </c>
      <c r="E248" s="85" t="s">
        <v>48</v>
      </c>
      <c r="F248" s="85" t="s">
        <v>26</v>
      </c>
      <c r="G248" s="85" t="s">
        <v>43</v>
      </c>
      <c r="H248" s="87">
        <v>26.512515</v>
      </c>
      <c r="I248" s="87">
        <v>81.916699999999992</v>
      </c>
      <c r="J248" s="87">
        <v>16.791338999999997</v>
      </c>
      <c r="K248" s="85">
        <v>6</v>
      </c>
      <c r="L248" s="85">
        <v>52</v>
      </c>
      <c r="M248" s="85">
        <f t="shared" si="3"/>
        <v>58</v>
      </c>
      <c r="N248" t="str" cm="1">
        <f t="array" ref="N248">_xlfn.IFS(M248&lt;40,"Queit",M248&lt;70,"Modest",M248&lt;100,"Good",M248&gt;=100,"Busy")</f>
        <v>Modest</v>
      </c>
    </row>
    <row r="249" spans="1:14" x14ac:dyDescent="0.35">
      <c r="A249" s="85">
        <v>109</v>
      </c>
      <c r="B249" s="86">
        <v>44670</v>
      </c>
      <c r="C249" s="85" t="s">
        <v>52</v>
      </c>
      <c r="D249" s="85" t="s">
        <v>40</v>
      </c>
      <c r="E249" s="85" t="s">
        <v>47</v>
      </c>
      <c r="F249" s="85" t="s">
        <v>26</v>
      </c>
      <c r="G249" s="85" t="s">
        <v>43</v>
      </c>
      <c r="H249" s="87">
        <v>24.378254999999999</v>
      </c>
      <c r="I249" s="87">
        <v>66.583299999999994</v>
      </c>
      <c r="J249" s="87">
        <v>10.584057</v>
      </c>
      <c r="K249" s="85">
        <v>5</v>
      </c>
      <c r="L249" s="85">
        <v>43</v>
      </c>
      <c r="M249" s="85">
        <f t="shared" si="3"/>
        <v>48</v>
      </c>
      <c r="N249" t="str" cm="1">
        <f t="array" ref="N249">_xlfn.IFS(M249&lt;40,"Queit",M249&lt;70,"Modest",M249&lt;100,"Good",M249&gt;=100,"Busy")</f>
        <v>Modest</v>
      </c>
    </row>
    <row r="250" spans="1:14" x14ac:dyDescent="0.35">
      <c r="A250" s="85">
        <v>112</v>
      </c>
      <c r="B250" s="86">
        <v>44673</v>
      </c>
      <c r="C250" s="85" t="s">
        <v>52</v>
      </c>
      <c r="D250" s="85" t="s">
        <v>40</v>
      </c>
      <c r="E250" s="85" t="s">
        <v>50</v>
      </c>
      <c r="F250" s="85" t="s">
        <v>26</v>
      </c>
      <c r="G250" s="85" t="s">
        <v>43</v>
      </c>
      <c r="H250" s="87">
        <v>19.012499999999999</v>
      </c>
      <c r="I250" s="87">
        <v>72.958299999999994</v>
      </c>
      <c r="J250" s="87">
        <v>14.707906999999999</v>
      </c>
      <c r="K250" s="85">
        <v>30</v>
      </c>
      <c r="L250" s="85">
        <v>56</v>
      </c>
      <c r="M250" s="85">
        <f t="shared" si="3"/>
        <v>86</v>
      </c>
      <c r="N250" t="str" cm="1">
        <f t="array" ref="N250">_xlfn.IFS(M250&lt;40,"Queit",M250&lt;70,"Modest",M250&lt;100,"Good",M250&gt;=100,"Busy")</f>
        <v>Good</v>
      </c>
    </row>
    <row r="251" spans="1:14" x14ac:dyDescent="0.35">
      <c r="A251" s="85">
        <v>113</v>
      </c>
      <c r="B251" s="86">
        <v>44674</v>
      </c>
      <c r="C251" s="85" t="s">
        <v>52</v>
      </c>
      <c r="D251" s="85" t="s">
        <v>40</v>
      </c>
      <c r="E251" s="85" t="s">
        <v>41</v>
      </c>
      <c r="F251" s="85" t="s">
        <v>42</v>
      </c>
      <c r="G251" s="85" t="s">
        <v>43</v>
      </c>
      <c r="H251" s="87">
        <v>18.975014999999999</v>
      </c>
      <c r="I251" s="87">
        <v>88.791699999999992</v>
      </c>
      <c r="J251" s="87">
        <v>15.458575000000002</v>
      </c>
      <c r="K251" s="85">
        <v>32</v>
      </c>
      <c r="L251" s="85">
        <v>55</v>
      </c>
      <c r="M251" s="85">
        <f t="shared" si="3"/>
        <v>87</v>
      </c>
      <c r="N251" t="str" cm="1">
        <f t="array" ref="N251">_xlfn.IFS(M251&lt;40,"Queit",M251&lt;70,"Modest",M251&lt;100,"Good",M251&gt;=100,"Busy")</f>
        <v>Good</v>
      </c>
    </row>
    <row r="252" spans="1:14" x14ac:dyDescent="0.35">
      <c r="A252" s="85">
        <v>114</v>
      </c>
      <c r="B252" s="86">
        <v>44675</v>
      </c>
      <c r="C252" s="85" t="s">
        <v>52</v>
      </c>
      <c r="D252" s="85" t="s">
        <v>40</v>
      </c>
      <c r="E252" s="85" t="s">
        <v>44</v>
      </c>
      <c r="F252" s="85" t="s">
        <v>42</v>
      </c>
      <c r="G252" s="85" t="s">
        <v>43</v>
      </c>
      <c r="H252" s="87">
        <v>20.849985</v>
      </c>
      <c r="I252" s="87">
        <v>81.083300000000008</v>
      </c>
      <c r="J252" s="87">
        <v>12.875725000000001</v>
      </c>
      <c r="K252" s="85">
        <v>14</v>
      </c>
      <c r="L252" s="85">
        <v>70</v>
      </c>
      <c r="M252" s="85">
        <f t="shared" si="3"/>
        <v>84</v>
      </c>
      <c r="N252" t="str" cm="1">
        <f t="array" ref="N252">_xlfn.IFS(M252&lt;40,"Queit",M252&lt;70,"Modest",M252&lt;100,"Good",M252&gt;=100,"Busy")</f>
        <v>Good</v>
      </c>
    </row>
    <row r="253" spans="1:14" x14ac:dyDescent="0.35">
      <c r="A253" s="85">
        <v>117</v>
      </c>
      <c r="B253" s="86">
        <v>44678</v>
      </c>
      <c r="C253" s="85" t="s">
        <v>52</v>
      </c>
      <c r="D253" s="85" t="s">
        <v>40</v>
      </c>
      <c r="E253" s="85" t="s">
        <v>48</v>
      </c>
      <c r="F253" s="85" t="s">
        <v>26</v>
      </c>
      <c r="G253" s="85" t="s">
        <v>43</v>
      </c>
      <c r="H253" s="87">
        <v>21.15</v>
      </c>
      <c r="I253" s="87">
        <v>83.541699999999992</v>
      </c>
      <c r="J253" s="87">
        <v>20.917399999999997</v>
      </c>
      <c r="K253" s="85">
        <v>5</v>
      </c>
      <c r="L253" s="85">
        <v>48</v>
      </c>
      <c r="M253" s="85">
        <f t="shared" si="3"/>
        <v>53</v>
      </c>
      <c r="N253" t="str" cm="1">
        <f t="array" ref="N253">_xlfn.IFS(M253&lt;40,"Queit",M253&lt;70,"Modest",M253&lt;100,"Good",M253&gt;=100,"Busy")</f>
        <v>Modest</v>
      </c>
    </row>
    <row r="254" spans="1:14" x14ac:dyDescent="0.35">
      <c r="A254" s="85">
        <v>118</v>
      </c>
      <c r="B254" s="86">
        <v>44679</v>
      </c>
      <c r="C254" s="85" t="s">
        <v>52</v>
      </c>
      <c r="D254" s="85" t="s">
        <v>40</v>
      </c>
      <c r="E254" s="85" t="s">
        <v>49</v>
      </c>
      <c r="F254" s="85" t="s">
        <v>26</v>
      </c>
      <c r="G254" s="85" t="s">
        <v>43</v>
      </c>
      <c r="H254" s="87">
        <v>14.887485</v>
      </c>
      <c r="I254" s="87">
        <v>70.083300000000008</v>
      </c>
      <c r="J254" s="87">
        <v>21.500836000000003</v>
      </c>
      <c r="K254" s="85">
        <v>9</v>
      </c>
      <c r="L254" s="85">
        <v>66</v>
      </c>
      <c r="M254" s="85">
        <f t="shared" si="3"/>
        <v>75</v>
      </c>
      <c r="N254" t="str" cm="1">
        <f t="array" ref="N254">_xlfn.IFS(M254&lt;40,"Queit",M254&lt;70,"Modest",M254&lt;100,"Good",M254&gt;=100,"Busy")</f>
        <v>Good</v>
      </c>
    </row>
    <row r="255" spans="1:14" x14ac:dyDescent="0.35">
      <c r="A255" s="85">
        <v>121</v>
      </c>
      <c r="B255" s="86">
        <v>44682</v>
      </c>
      <c r="C255" s="85" t="s">
        <v>52</v>
      </c>
      <c r="D255" s="85" t="s">
        <v>40</v>
      </c>
      <c r="E255" s="85" t="s">
        <v>44</v>
      </c>
      <c r="F255" s="85" t="s">
        <v>42</v>
      </c>
      <c r="G255" s="85" t="s">
        <v>43</v>
      </c>
      <c r="H255" s="87">
        <v>15.3</v>
      </c>
      <c r="I255" s="87">
        <v>76.208299999999994</v>
      </c>
      <c r="J255" s="87">
        <v>7.125718</v>
      </c>
      <c r="K255" s="85">
        <v>7</v>
      </c>
      <c r="L255" s="85">
        <v>66</v>
      </c>
      <c r="M255" s="85">
        <f t="shared" si="3"/>
        <v>73</v>
      </c>
      <c r="N255" t="str" cm="1">
        <f t="array" ref="N255">_xlfn.IFS(M255&lt;40,"Queit",M255&lt;70,"Modest",M255&lt;100,"Good",M255&gt;=100,"Busy")</f>
        <v>Good</v>
      </c>
    </row>
    <row r="256" spans="1:14" x14ac:dyDescent="0.35">
      <c r="A256" s="85">
        <v>122</v>
      </c>
      <c r="B256" s="86">
        <v>44683</v>
      </c>
      <c r="C256" s="85" t="s">
        <v>52</v>
      </c>
      <c r="D256" s="85" t="s">
        <v>40</v>
      </c>
      <c r="E256" s="85" t="s">
        <v>45</v>
      </c>
      <c r="F256" s="85" t="s">
        <v>26</v>
      </c>
      <c r="G256" s="85" t="s">
        <v>43</v>
      </c>
      <c r="H256" s="87">
        <v>18.037485</v>
      </c>
      <c r="I256" s="87">
        <v>73</v>
      </c>
      <c r="J256" s="87">
        <v>12.291418</v>
      </c>
      <c r="K256" s="85">
        <v>8</v>
      </c>
      <c r="L256" s="85">
        <v>73</v>
      </c>
      <c r="M256" s="85">
        <f t="shared" si="3"/>
        <v>81</v>
      </c>
      <c r="N256" t="str" cm="1">
        <f t="array" ref="N256">_xlfn.IFS(M256&lt;40,"Queit",M256&lt;70,"Modest",M256&lt;100,"Good",M256&gt;=100,"Busy")</f>
        <v>Good</v>
      </c>
    </row>
    <row r="257" spans="1:14" x14ac:dyDescent="0.35">
      <c r="A257" s="85">
        <v>123</v>
      </c>
      <c r="B257" s="86">
        <v>44684</v>
      </c>
      <c r="C257" s="85" t="s">
        <v>52</v>
      </c>
      <c r="D257" s="85" t="s">
        <v>40</v>
      </c>
      <c r="E257" s="85" t="s">
        <v>47</v>
      </c>
      <c r="F257" s="85" t="s">
        <v>26</v>
      </c>
      <c r="G257" s="85" t="s">
        <v>43</v>
      </c>
      <c r="H257" s="87">
        <v>16.987500000000001</v>
      </c>
      <c r="I257" s="87">
        <v>69.708299999999994</v>
      </c>
      <c r="J257" s="87">
        <v>22.958689</v>
      </c>
      <c r="K257" s="85">
        <v>7</v>
      </c>
      <c r="L257" s="85">
        <v>76</v>
      </c>
      <c r="M257" s="85">
        <f t="shared" si="3"/>
        <v>83</v>
      </c>
      <c r="N257" t="str" cm="1">
        <f t="array" ref="N257">_xlfn.IFS(M257&lt;40,"Queit",M257&lt;70,"Modest",M257&lt;100,"Good",M257&gt;=100,"Busy")</f>
        <v>Good</v>
      </c>
    </row>
    <row r="258" spans="1:14" x14ac:dyDescent="0.35">
      <c r="A258" s="85">
        <v>124</v>
      </c>
      <c r="B258" s="86">
        <v>44685</v>
      </c>
      <c r="C258" s="85" t="s">
        <v>52</v>
      </c>
      <c r="D258" s="85" t="s">
        <v>40</v>
      </c>
      <c r="E258" s="85" t="s">
        <v>48</v>
      </c>
      <c r="F258" s="85" t="s">
        <v>26</v>
      </c>
      <c r="G258" s="85" t="s">
        <v>43</v>
      </c>
      <c r="H258" s="87">
        <v>18.374984999999999</v>
      </c>
      <c r="I258" s="87">
        <v>73.708300000000008</v>
      </c>
      <c r="J258" s="87">
        <v>22.042732000000001</v>
      </c>
      <c r="K258" s="85">
        <v>6</v>
      </c>
      <c r="L258" s="85">
        <v>73</v>
      </c>
      <c r="M258" s="85">
        <f t="shared" ref="M258:M321" si="4">K258+L258</f>
        <v>79</v>
      </c>
      <c r="N258" t="str" cm="1">
        <f t="array" ref="N258">_xlfn.IFS(M258&lt;40,"Queit",M258&lt;70,"Modest",M258&lt;100,"Good",M258&gt;=100,"Busy")</f>
        <v>Good</v>
      </c>
    </row>
    <row r="259" spans="1:14" x14ac:dyDescent="0.35">
      <c r="A259" s="85">
        <v>133</v>
      </c>
      <c r="B259" s="86">
        <v>44694</v>
      </c>
      <c r="C259" s="85" t="s">
        <v>52</v>
      </c>
      <c r="D259" s="85" t="s">
        <v>40</v>
      </c>
      <c r="E259" s="85" t="s">
        <v>50</v>
      </c>
      <c r="F259" s="85" t="s">
        <v>26</v>
      </c>
      <c r="G259" s="85" t="s">
        <v>43</v>
      </c>
      <c r="H259" s="87">
        <v>16.050015000000002</v>
      </c>
      <c r="I259" s="87">
        <v>86.333300000000008</v>
      </c>
      <c r="J259" s="87">
        <v>12.041575</v>
      </c>
      <c r="K259" s="85">
        <v>26</v>
      </c>
      <c r="L259" s="85">
        <v>56</v>
      </c>
      <c r="M259" s="85">
        <f t="shared" si="4"/>
        <v>82</v>
      </c>
      <c r="N259" t="str" cm="1">
        <f t="array" ref="N259">_xlfn.IFS(M259&lt;40,"Queit",M259&lt;70,"Modest",M259&lt;100,"Good",M259&gt;=100,"Busy")</f>
        <v>Good</v>
      </c>
    </row>
    <row r="260" spans="1:14" x14ac:dyDescent="0.35">
      <c r="A260" s="85">
        <v>134</v>
      </c>
      <c r="B260" s="86">
        <v>44695</v>
      </c>
      <c r="C260" s="85" t="s">
        <v>52</v>
      </c>
      <c r="D260" s="85" t="s">
        <v>40</v>
      </c>
      <c r="E260" s="85" t="s">
        <v>41</v>
      </c>
      <c r="F260" s="85" t="s">
        <v>42</v>
      </c>
      <c r="G260" s="85" t="s">
        <v>43</v>
      </c>
      <c r="H260" s="87">
        <v>19.837484999999997</v>
      </c>
      <c r="I260" s="87">
        <v>92.25</v>
      </c>
      <c r="J260" s="87">
        <v>9.0416499999999989</v>
      </c>
      <c r="K260" s="85">
        <v>20</v>
      </c>
      <c r="L260" s="85">
        <v>54</v>
      </c>
      <c r="M260" s="85">
        <f t="shared" si="4"/>
        <v>74</v>
      </c>
      <c r="N260" t="str" cm="1">
        <f t="array" ref="N260">_xlfn.IFS(M260&lt;40,"Queit",M260&lt;70,"Modest",M260&lt;100,"Good",M260&gt;=100,"Busy")</f>
        <v>Good</v>
      </c>
    </row>
    <row r="261" spans="1:14" x14ac:dyDescent="0.35">
      <c r="A261" s="85">
        <v>135</v>
      </c>
      <c r="B261" s="86">
        <v>44696</v>
      </c>
      <c r="C261" s="85" t="s">
        <v>52</v>
      </c>
      <c r="D261" s="85" t="s">
        <v>40</v>
      </c>
      <c r="E261" s="85" t="s">
        <v>44</v>
      </c>
      <c r="F261" s="85" t="s">
        <v>42</v>
      </c>
      <c r="G261" s="85" t="s">
        <v>43</v>
      </c>
      <c r="H261" s="87">
        <v>23.85</v>
      </c>
      <c r="I261" s="87">
        <v>86.708300000000008</v>
      </c>
      <c r="J261" s="87">
        <v>10.249593000000001</v>
      </c>
      <c r="K261" s="85">
        <v>12</v>
      </c>
      <c r="L261" s="85">
        <v>78</v>
      </c>
      <c r="M261" s="85">
        <f t="shared" si="4"/>
        <v>90</v>
      </c>
      <c r="N261" t="str" cm="1">
        <f t="array" ref="N261">_xlfn.IFS(M261&lt;40,"Queit",M261&lt;70,"Modest",M261&lt;100,"Good",M261&gt;=100,"Busy")</f>
        <v>Good</v>
      </c>
    </row>
    <row r="262" spans="1:14" x14ac:dyDescent="0.35">
      <c r="A262" s="85">
        <v>137</v>
      </c>
      <c r="B262" s="86">
        <v>44698</v>
      </c>
      <c r="C262" s="85" t="s">
        <v>52</v>
      </c>
      <c r="D262" s="85" t="s">
        <v>40</v>
      </c>
      <c r="E262" s="85" t="s">
        <v>47</v>
      </c>
      <c r="F262" s="85" t="s">
        <v>26</v>
      </c>
      <c r="G262" s="85" t="s">
        <v>43</v>
      </c>
      <c r="H262" s="87">
        <v>20.550014999999998</v>
      </c>
      <c r="I262" s="87">
        <v>83.791700000000006</v>
      </c>
      <c r="J262" s="87">
        <v>18.582718</v>
      </c>
      <c r="K262" s="85">
        <v>3</v>
      </c>
      <c r="L262" s="85">
        <v>33</v>
      </c>
      <c r="M262" s="85">
        <f t="shared" si="4"/>
        <v>36</v>
      </c>
      <c r="N262" t="str" cm="1">
        <f t="array" ref="N262">_xlfn.IFS(M262&lt;40,"Queit",M262&lt;70,"Modest",M262&lt;100,"Good",M262&gt;=100,"Busy")</f>
        <v>Queit</v>
      </c>
    </row>
    <row r="263" spans="1:14" x14ac:dyDescent="0.35">
      <c r="A263" s="85">
        <v>138</v>
      </c>
      <c r="B263" s="86">
        <v>44699</v>
      </c>
      <c r="C263" s="85" t="s">
        <v>52</v>
      </c>
      <c r="D263" s="85" t="s">
        <v>40</v>
      </c>
      <c r="E263" s="85" t="s">
        <v>48</v>
      </c>
      <c r="F263" s="85" t="s">
        <v>26</v>
      </c>
      <c r="G263" s="85" t="s">
        <v>43</v>
      </c>
      <c r="H263" s="87">
        <v>15.375014999999999</v>
      </c>
      <c r="I263" s="87">
        <v>87</v>
      </c>
      <c r="J263" s="87">
        <v>13.499964</v>
      </c>
      <c r="K263" s="85">
        <v>3</v>
      </c>
      <c r="L263" s="85">
        <v>58</v>
      </c>
      <c r="M263" s="85">
        <f t="shared" si="4"/>
        <v>61</v>
      </c>
      <c r="N263" t="str" cm="1">
        <f t="array" ref="N263">_xlfn.IFS(M263&lt;40,"Queit",M263&lt;70,"Modest",M263&lt;100,"Good",M263&gt;=100,"Busy")</f>
        <v>Modest</v>
      </c>
    </row>
    <row r="264" spans="1:14" x14ac:dyDescent="0.35">
      <c r="A264" s="85">
        <v>139</v>
      </c>
      <c r="B264" s="86">
        <v>44700</v>
      </c>
      <c r="C264" s="85" t="s">
        <v>52</v>
      </c>
      <c r="D264" s="85" t="s">
        <v>40</v>
      </c>
      <c r="E264" s="85" t="s">
        <v>49</v>
      </c>
      <c r="F264" s="85" t="s">
        <v>26</v>
      </c>
      <c r="G264" s="85" t="s">
        <v>43</v>
      </c>
      <c r="H264" s="87">
        <v>12.337515</v>
      </c>
      <c r="I264" s="87">
        <v>82.958299999999994</v>
      </c>
      <c r="J264" s="87">
        <v>7.2502710000000006</v>
      </c>
      <c r="K264" s="85">
        <v>5</v>
      </c>
      <c r="L264" s="85">
        <v>63</v>
      </c>
      <c r="M264" s="85">
        <f t="shared" si="4"/>
        <v>68</v>
      </c>
      <c r="N264" t="str" cm="1">
        <f t="array" ref="N264">_xlfn.IFS(M264&lt;40,"Queit",M264&lt;70,"Modest",M264&lt;100,"Good",M264&gt;=100,"Busy")</f>
        <v>Modest</v>
      </c>
    </row>
    <row r="265" spans="1:14" x14ac:dyDescent="0.35">
      <c r="A265" s="85">
        <v>143</v>
      </c>
      <c r="B265" s="86">
        <v>44704</v>
      </c>
      <c r="C265" s="85" t="s">
        <v>52</v>
      </c>
      <c r="D265" s="85" t="s">
        <v>40</v>
      </c>
      <c r="E265" s="85" t="s">
        <v>45</v>
      </c>
      <c r="F265" s="85" t="s">
        <v>26</v>
      </c>
      <c r="G265" s="85" t="s">
        <v>43</v>
      </c>
      <c r="H265" s="87">
        <v>18.750015000000001</v>
      </c>
      <c r="I265" s="87">
        <v>81</v>
      </c>
      <c r="J265" s="87">
        <v>15.667413999999999</v>
      </c>
      <c r="K265" s="85">
        <v>1</v>
      </c>
      <c r="L265" s="85">
        <v>31</v>
      </c>
      <c r="M265" s="85">
        <f t="shared" si="4"/>
        <v>32</v>
      </c>
      <c r="N265" t="str" cm="1">
        <f t="array" ref="N265">_xlfn.IFS(M265&lt;40,"Queit",M265&lt;70,"Modest",M265&lt;100,"Good",M265&gt;=100,"Busy")</f>
        <v>Queit</v>
      </c>
    </row>
    <row r="266" spans="1:14" x14ac:dyDescent="0.35">
      <c r="A266" s="85">
        <v>144</v>
      </c>
      <c r="B266" s="86">
        <v>44705</v>
      </c>
      <c r="C266" s="85" t="s">
        <v>52</v>
      </c>
      <c r="D266" s="85" t="s">
        <v>40</v>
      </c>
      <c r="E266" s="85" t="s">
        <v>47</v>
      </c>
      <c r="F266" s="85" t="s">
        <v>26</v>
      </c>
      <c r="G266" s="85" t="s">
        <v>43</v>
      </c>
      <c r="H266" s="87">
        <v>19.837484999999997</v>
      </c>
      <c r="I266" s="87">
        <v>74.083299999999994</v>
      </c>
      <c r="J266" s="87">
        <v>13.875164</v>
      </c>
      <c r="K266" s="85">
        <v>2</v>
      </c>
      <c r="L266" s="85">
        <v>49</v>
      </c>
      <c r="M266" s="85">
        <f t="shared" si="4"/>
        <v>51</v>
      </c>
      <c r="N266" t="str" cm="1">
        <f t="array" ref="N266">_xlfn.IFS(M266&lt;40,"Queit",M266&lt;70,"Modest",M266&lt;100,"Good",M266&gt;=100,"Busy")</f>
        <v>Modest</v>
      </c>
    </row>
    <row r="267" spans="1:14" x14ac:dyDescent="0.35">
      <c r="A267" s="85">
        <v>245</v>
      </c>
      <c r="B267" s="86">
        <v>44806</v>
      </c>
      <c r="C267" s="85" t="s">
        <v>54</v>
      </c>
      <c r="D267" s="85" t="s">
        <v>40</v>
      </c>
      <c r="E267" s="85" t="s">
        <v>50</v>
      </c>
      <c r="F267" s="85" t="s">
        <v>26</v>
      </c>
      <c r="G267" s="85" t="s">
        <v>43</v>
      </c>
      <c r="H267" s="87">
        <v>11.775015</v>
      </c>
      <c r="I267" s="87">
        <v>72.708300000000008</v>
      </c>
      <c r="J267" s="87">
        <v>9.3752429999999993</v>
      </c>
      <c r="K267" s="85">
        <v>4</v>
      </c>
      <c r="L267" s="85">
        <v>35</v>
      </c>
      <c r="M267" s="85">
        <f t="shared" si="4"/>
        <v>39</v>
      </c>
      <c r="N267" t="str" cm="1">
        <f t="array" ref="N267">_xlfn.IFS(M267&lt;40,"Queit",M267&lt;70,"Modest",M267&lt;100,"Good",M267&gt;=100,"Busy")</f>
        <v>Queit</v>
      </c>
    </row>
    <row r="268" spans="1:14" x14ac:dyDescent="0.35">
      <c r="A268" s="85">
        <v>248</v>
      </c>
      <c r="B268" s="86">
        <v>44809</v>
      </c>
      <c r="C268" s="85" t="s">
        <v>54</v>
      </c>
      <c r="D268" s="85" t="s">
        <v>22</v>
      </c>
      <c r="E268" s="85" t="s">
        <v>45</v>
      </c>
      <c r="F268" s="85" t="s">
        <v>42</v>
      </c>
      <c r="G268" s="85" t="s">
        <v>43</v>
      </c>
      <c r="H268" s="87">
        <v>11.778255</v>
      </c>
      <c r="I268" s="87">
        <v>79.041700000000006</v>
      </c>
      <c r="J268" s="87">
        <v>14.250632</v>
      </c>
      <c r="K268" s="85">
        <v>5</v>
      </c>
      <c r="L268" s="85">
        <v>33</v>
      </c>
      <c r="M268" s="85">
        <f t="shared" si="4"/>
        <v>38</v>
      </c>
      <c r="N268" t="str" cm="1">
        <f t="array" ref="N268">_xlfn.IFS(M268&lt;40,"Queit",M268&lt;70,"Modest",M268&lt;100,"Good",M268&gt;=100,"Busy")</f>
        <v>Queit</v>
      </c>
    </row>
    <row r="269" spans="1:14" x14ac:dyDescent="0.35">
      <c r="A269" s="85">
        <v>252</v>
      </c>
      <c r="B269" s="86">
        <v>44813</v>
      </c>
      <c r="C269" s="85" t="s">
        <v>54</v>
      </c>
      <c r="D269" s="85" t="s">
        <v>40</v>
      </c>
      <c r="E269" s="85" t="s">
        <v>50</v>
      </c>
      <c r="F269" s="85" t="s">
        <v>26</v>
      </c>
      <c r="G269" s="85" t="s">
        <v>43</v>
      </c>
      <c r="H269" s="87">
        <v>14.243490000000001</v>
      </c>
      <c r="I269" s="87">
        <v>89.791699999999992</v>
      </c>
      <c r="J269" s="87">
        <v>8.3333930000000009</v>
      </c>
      <c r="K269" s="85">
        <v>5</v>
      </c>
      <c r="L269" s="85">
        <v>35</v>
      </c>
      <c r="M269" s="85">
        <f t="shared" si="4"/>
        <v>40</v>
      </c>
      <c r="N269" t="str" cm="1">
        <f t="array" ref="N269">_xlfn.IFS(M269&lt;40,"Queit",M269&lt;70,"Modest",M269&lt;100,"Good",M269&gt;=100,"Busy")</f>
        <v>Modest</v>
      </c>
    </row>
    <row r="270" spans="1:14" x14ac:dyDescent="0.35">
      <c r="A270" s="85">
        <v>258</v>
      </c>
      <c r="B270" s="86">
        <v>44819</v>
      </c>
      <c r="C270" s="85" t="s">
        <v>54</v>
      </c>
      <c r="D270" s="85" t="s">
        <v>40</v>
      </c>
      <c r="E270" s="85" t="s">
        <v>49</v>
      </c>
      <c r="F270" s="85" t="s">
        <v>26</v>
      </c>
      <c r="G270" s="85" t="s">
        <v>43</v>
      </c>
      <c r="H270" s="87">
        <v>18.675000000000001</v>
      </c>
      <c r="I270" s="87">
        <v>70.916700000000006</v>
      </c>
      <c r="J270" s="87">
        <v>18.166782000000001</v>
      </c>
      <c r="K270" s="85">
        <v>8</v>
      </c>
      <c r="L270" s="85">
        <v>46</v>
      </c>
      <c r="M270" s="85">
        <f t="shared" si="4"/>
        <v>54</v>
      </c>
      <c r="N270" t="str" cm="1">
        <f t="array" ref="N270">_xlfn.IFS(M270&lt;40,"Queit",M270&lt;70,"Modest",M270&lt;100,"Good",M270&gt;=100,"Busy")</f>
        <v>Modest</v>
      </c>
    </row>
    <row r="271" spans="1:14" x14ac:dyDescent="0.35">
      <c r="A271" s="85">
        <v>259</v>
      </c>
      <c r="B271" s="86">
        <v>44820</v>
      </c>
      <c r="C271" s="85" t="s">
        <v>54</v>
      </c>
      <c r="D271" s="85" t="s">
        <v>40</v>
      </c>
      <c r="E271" s="85" t="s">
        <v>50</v>
      </c>
      <c r="F271" s="85" t="s">
        <v>26</v>
      </c>
      <c r="G271" s="85" t="s">
        <v>43</v>
      </c>
      <c r="H271" s="87">
        <v>24.3</v>
      </c>
      <c r="I271" s="87">
        <v>59.041699999999999</v>
      </c>
      <c r="J271" s="87">
        <v>11.000261</v>
      </c>
      <c r="K271" s="85">
        <v>18</v>
      </c>
      <c r="L271" s="85">
        <v>47</v>
      </c>
      <c r="M271" s="85">
        <f t="shared" si="4"/>
        <v>65</v>
      </c>
      <c r="N271" t="str" cm="1">
        <f t="array" ref="N271">_xlfn.IFS(M271&lt;40,"Queit",M271&lt;70,"Modest",M271&lt;100,"Good",M271&gt;=100,"Busy")</f>
        <v>Modest</v>
      </c>
    </row>
    <row r="272" spans="1:14" x14ac:dyDescent="0.35">
      <c r="A272" s="85">
        <v>260</v>
      </c>
      <c r="B272" s="86">
        <v>44821</v>
      </c>
      <c r="C272" s="85" t="s">
        <v>54</v>
      </c>
      <c r="D272" s="85" t="s">
        <v>40</v>
      </c>
      <c r="E272" s="85" t="s">
        <v>41</v>
      </c>
      <c r="F272" s="85" t="s">
        <v>42</v>
      </c>
      <c r="G272" s="85" t="s">
        <v>43</v>
      </c>
      <c r="H272" s="87">
        <v>21.262499999999999</v>
      </c>
      <c r="I272" s="87">
        <v>71.833299999999994</v>
      </c>
      <c r="J272" s="87">
        <v>12.708225000000001</v>
      </c>
      <c r="K272" s="85">
        <v>28</v>
      </c>
      <c r="L272" s="85">
        <v>34</v>
      </c>
      <c r="M272" s="85">
        <f t="shared" si="4"/>
        <v>62</v>
      </c>
      <c r="N272" t="str" cm="1">
        <f t="array" ref="N272">_xlfn.IFS(M272&lt;40,"Queit",M272&lt;70,"Modest",M272&lt;100,"Good",M272&gt;=100,"Busy")</f>
        <v>Modest</v>
      </c>
    </row>
    <row r="273" spans="1:14" x14ac:dyDescent="0.35">
      <c r="A273" s="85">
        <v>262</v>
      </c>
      <c r="B273" s="86">
        <v>44823</v>
      </c>
      <c r="C273" s="85" t="s">
        <v>54</v>
      </c>
      <c r="D273" s="85" t="s">
        <v>40</v>
      </c>
      <c r="E273" s="85" t="s">
        <v>45</v>
      </c>
      <c r="F273" s="85" t="s">
        <v>26</v>
      </c>
      <c r="G273" s="85" t="s">
        <v>43</v>
      </c>
      <c r="H273" s="87">
        <v>19.369575000000001</v>
      </c>
      <c r="I273" s="87">
        <v>69</v>
      </c>
      <c r="J273" s="87">
        <v>10.166713999999999</v>
      </c>
      <c r="K273" s="85">
        <v>8</v>
      </c>
      <c r="L273" s="85">
        <v>34</v>
      </c>
      <c r="M273" s="85">
        <f t="shared" si="4"/>
        <v>42</v>
      </c>
      <c r="N273" t="str" cm="1">
        <f t="array" ref="N273">_xlfn.IFS(M273&lt;40,"Queit",M273&lt;70,"Modest",M273&lt;100,"Good",M273&gt;=100,"Busy")</f>
        <v>Modest</v>
      </c>
    </row>
    <row r="274" spans="1:14" x14ac:dyDescent="0.35">
      <c r="A274" s="85">
        <v>263</v>
      </c>
      <c r="B274" s="86">
        <v>44824</v>
      </c>
      <c r="C274" s="85" t="s">
        <v>54</v>
      </c>
      <c r="D274" s="85" t="s">
        <v>40</v>
      </c>
      <c r="E274" s="85" t="s">
        <v>47</v>
      </c>
      <c r="F274" s="85" t="s">
        <v>26</v>
      </c>
      <c r="G274" s="85" t="s">
        <v>43</v>
      </c>
      <c r="H274" s="87">
        <v>19.875014999999998</v>
      </c>
      <c r="I274" s="87">
        <v>88.125</v>
      </c>
      <c r="J274" s="87">
        <v>9.041917999999999</v>
      </c>
      <c r="K274" s="85">
        <v>9</v>
      </c>
      <c r="L274" s="85">
        <v>45</v>
      </c>
      <c r="M274" s="85">
        <f t="shared" si="4"/>
        <v>54</v>
      </c>
      <c r="N274" t="str" cm="1">
        <f t="array" ref="N274">_xlfn.IFS(M274&lt;40,"Queit",M274&lt;70,"Modest",M274&lt;100,"Good",M274&gt;=100,"Busy")</f>
        <v>Modest</v>
      </c>
    </row>
    <row r="275" spans="1:14" x14ac:dyDescent="0.35">
      <c r="A275" s="85">
        <v>264</v>
      </c>
      <c r="B275" s="86">
        <v>44825</v>
      </c>
      <c r="C275" s="85" t="s">
        <v>54</v>
      </c>
      <c r="D275" s="85" t="s">
        <v>40</v>
      </c>
      <c r="E275" s="85" t="s">
        <v>48</v>
      </c>
      <c r="F275" s="85" t="s">
        <v>26</v>
      </c>
      <c r="G275" s="85" t="s">
        <v>43</v>
      </c>
      <c r="H275" s="87">
        <v>15.613065000000001</v>
      </c>
      <c r="I275" s="87">
        <v>90</v>
      </c>
      <c r="J275" s="87">
        <v>6.4590813999999996</v>
      </c>
      <c r="K275" s="85">
        <v>4</v>
      </c>
      <c r="L275" s="85">
        <v>38</v>
      </c>
      <c r="M275" s="85">
        <f t="shared" si="4"/>
        <v>42</v>
      </c>
      <c r="N275" t="str" cm="1">
        <f t="array" ref="N275">_xlfn.IFS(M275&lt;40,"Queit",M275&lt;70,"Modest",M275&lt;100,"Good",M275&gt;=100,"Busy")</f>
        <v>Modest</v>
      </c>
    </row>
    <row r="276" spans="1:14" x14ac:dyDescent="0.35">
      <c r="A276" s="85">
        <v>265</v>
      </c>
      <c r="B276" s="86">
        <v>44826</v>
      </c>
      <c r="C276" s="85" t="s">
        <v>54</v>
      </c>
      <c r="D276" s="85" t="s">
        <v>40</v>
      </c>
      <c r="E276" s="85" t="s">
        <v>49</v>
      </c>
      <c r="F276" s="85" t="s">
        <v>26</v>
      </c>
      <c r="G276" s="85" t="s">
        <v>43</v>
      </c>
      <c r="H276" s="87">
        <v>12.824999999999999</v>
      </c>
      <c r="I276" s="87">
        <v>90.208299999999994</v>
      </c>
      <c r="J276" s="87">
        <v>8.5843749999999996</v>
      </c>
      <c r="K276" s="85">
        <v>3</v>
      </c>
      <c r="L276" s="85">
        <v>34</v>
      </c>
      <c r="M276" s="85">
        <f t="shared" si="4"/>
        <v>37</v>
      </c>
      <c r="N276" t="str" cm="1">
        <f t="array" ref="N276">_xlfn.IFS(M276&lt;40,"Queit",M276&lt;70,"Modest",M276&lt;100,"Good",M276&gt;=100,"Busy")</f>
        <v>Queit</v>
      </c>
    </row>
    <row r="277" spans="1:14" x14ac:dyDescent="0.35">
      <c r="A277" s="85">
        <v>266</v>
      </c>
      <c r="B277" s="86">
        <v>44827</v>
      </c>
      <c r="C277" s="85" t="s">
        <v>54</v>
      </c>
      <c r="D277" s="85" t="s">
        <v>40</v>
      </c>
      <c r="E277" s="85" t="s">
        <v>50</v>
      </c>
      <c r="F277" s="85" t="s">
        <v>26</v>
      </c>
      <c r="G277" s="85" t="s">
        <v>43</v>
      </c>
      <c r="H277" s="87">
        <v>11.887514999999999</v>
      </c>
      <c r="I277" s="87">
        <v>97.25</v>
      </c>
      <c r="J277" s="87">
        <v>5.2505689000000002</v>
      </c>
      <c r="K277" s="85">
        <v>6</v>
      </c>
      <c r="L277" s="85">
        <v>38</v>
      </c>
      <c r="M277" s="85">
        <f t="shared" si="4"/>
        <v>44</v>
      </c>
      <c r="N277" t="str" cm="1">
        <f t="array" ref="N277">_xlfn.IFS(M277&lt;40,"Queit",M277&lt;70,"Modest",M277&lt;100,"Good",M277&gt;=100,"Busy")</f>
        <v>Modest</v>
      </c>
    </row>
    <row r="278" spans="1:14" x14ac:dyDescent="0.35">
      <c r="A278" s="85">
        <v>267</v>
      </c>
      <c r="B278" s="86">
        <v>44828</v>
      </c>
      <c r="C278" s="85" t="s">
        <v>54</v>
      </c>
      <c r="D278" s="85" t="s">
        <v>40</v>
      </c>
      <c r="E278" s="85" t="s">
        <v>41</v>
      </c>
      <c r="F278" s="85" t="s">
        <v>42</v>
      </c>
      <c r="G278" s="85" t="s">
        <v>43</v>
      </c>
      <c r="H278" s="87">
        <v>11.962484999999999</v>
      </c>
      <c r="I278" s="87">
        <v>86.25</v>
      </c>
      <c r="J278" s="87">
        <v>5.2516810999999999</v>
      </c>
      <c r="K278" s="85">
        <v>20</v>
      </c>
      <c r="L278" s="85">
        <v>30</v>
      </c>
      <c r="M278" s="85">
        <f t="shared" si="4"/>
        <v>50</v>
      </c>
      <c r="N278" t="str" cm="1">
        <f t="array" ref="N278">_xlfn.IFS(M278&lt;40,"Queit",M278&lt;70,"Modest",M278&lt;100,"Good",M278&gt;=100,"Busy")</f>
        <v>Modest</v>
      </c>
    </row>
    <row r="279" spans="1:14" x14ac:dyDescent="0.35">
      <c r="A279" s="85">
        <v>268</v>
      </c>
      <c r="B279" s="86">
        <v>44829</v>
      </c>
      <c r="C279" s="85" t="s">
        <v>54</v>
      </c>
      <c r="D279" s="85" t="s">
        <v>40</v>
      </c>
      <c r="E279" s="85" t="s">
        <v>44</v>
      </c>
      <c r="F279" s="85" t="s">
        <v>42</v>
      </c>
      <c r="G279" s="85" t="s">
        <v>43</v>
      </c>
      <c r="H279" s="87">
        <v>11.386935000000001</v>
      </c>
      <c r="I279" s="87">
        <v>84.5</v>
      </c>
      <c r="J279" s="87">
        <v>3.3754064000000001</v>
      </c>
      <c r="K279" s="85">
        <v>9</v>
      </c>
      <c r="L279" s="85">
        <v>24</v>
      </c>
      <c r="M279" s="85">
        <f t="shared" si="4"/>
        <v>33</v>
      </c>
      <c r="N279" t="str" cm="1">
        <f t="array" ref="N279">_xlfn.IFS(M279&lt;40,"Queit",M279&lt;70,"Modest",M279&lt;100,"Good",M279&gt;=100,"Busy")</f>
        <v>Queit</v>
      </c>
    </row>
    <row r="280" spans="1:14" x14ac:dyDescent="0.35">
      <c r="A280" s="85">
        <v>269</v>
      </c>
      <c r="B280" s="86">
        <v>44830</v>
      </c>
      <c r="C280" s="85" t="s">
        <v>54</v>
      </c>
      <c r="D280" s="85" t="s">
        <v>40</v>
      </c>
      <c r="E280" s="85" t="s">
        <v>45</v>
      </c>
      <c r="F280" s="85" t="s">
        <v>26</v>
      </c>
      <c r="G280" s="85" t="s">
        <v>43</v>
      </c>
      <c r="H280" s="87">
        <v>11.895660000000001</v>
      </c>
      <c r="I280" s="87">
        <v>84.833299999999994</v>
      </c>
      <c r="J280" s="87">
        <v>7.4169</v>
      </c>
      <c r="K280" s="85">
        <v>4</v>
      </c>
      <c r="L280" s="85">
        <v>36</v>
      </c>
      <c r="M280" s="85">
        <f t="shared" si="4"/>
        <v>40</v>
      </c>
      <c r="N280" t="str" cm="1">
        <f t="array" ref="N280">_xlfn.IFS(M280&lt;40,"Queit",M280&lt;70,"Modest",M280&lt;100,"Good",M280&gt;=100,"Busy")</f>
        <v>Modest</v>
      </c>
    </row>
    <row r="281" spans="1:14" x14ac:dyDescent="0.35">
      <c r="A281" s="85">
        <v>270</v>
      </c>
      <c r="B281" s="86">
        <v>44831</v>
      </c>
      <c r="C281" s="85" t="s">
        <v>54</v>
      </c>
      <c r="D281" s="85" t="s">
        <v>40</v>
      </c>
      <c r="E281" s="85" t="s">
        <v>47</v>
      </c>
      <c r="F281" s="85" t="s">
        <v>26</v>
      </c>
      <c r="G281" s="85" t="s">
        <v>43</v>
      </c>
      <c r="H281" s="87">
        <v>13.612499999999999</v>
      </c>
      <c r="I281" s="87">
        <v>88.541700000000006</v>
      </c>
      <c r="J281" s="87">
        <v>7.9174569999999997</v>
      </c>
      <c r="K281" s="85">
        <v>6</v>
      </c>
      <c r="L281" s="85">
        <v>42</v>
      </c>
      <c r="M281" s="85">
        <f t="shared" si="4"/>
        <v>48</v>
      </c>
      <c r="N281" t="str" cm="1">
        <f t="array" ref="N281">_xlfn.IFS(M281&lt;40,"Queit",M281&lt;70,"Modest",M281&lt;100,"Good",M281&gt;=100,"Busy")</f>
        <v>Modest</v>
      </c>
    </row>
    <row r="282" spans="1:14" x14ac:dyDescent="0.35">
      <c r="A282" s="85">
        <v>271</v>
      </c>
      <c r="B282" s="86">
        <v>44832</v>
      </c>
      <c r="C282" s="85" t="s">
        <v>54</v>
      </c>
      <c r="D282" s="85" t="s">
        <v>40</v>
      </c>
      <c r="E282" s="85" t="s">
        <v>48</v>
      </c>
      <c r="F282" s="85" t="s">
        <v>26</v>
      </c>
      <c r="G282" s="85" t="s">
        <v>43</v>
      </c>
      <c r="H282" s="87">
        <v>13.5</v>
      </c>
      <c r="I282" s="87">
        <v>84.875</v>
      </c>
      <c r="J282" s="87">
        <v>9.9581430000000015</v>
      </c>
      <c r="K282" s="85">
        <v>3</v>
      </c>
      <c r="L282" s="85">
        <v>27</v>
      </c>
      <c r="M282" s="85">
        <f t="shared" si="4"/>
        <v>30</v>
      </c>
      <c r="N282" t="str" cm="1">
        <f t="array" ref="N282">_xlfn.IFS(M282&lt;40,"Queit",M282&lt;70,"Modest",M282&lt;100,"Good",M282&gt;=100,"Busy")</f>
        <v>Queit</v>
      </c>
    </row>
    <row r="283" spans="1:14" x14ac:dyDescent="0.35">
      <c r="A283" s="85">
        <v>274</v>
      </c>
      <c r="B283" s="86">
        <v>44835</v>
      </c>
      <c r="C283" s="85" t="s">
        <v>54</v>
      </c>
      <c r="D283" s="85" t="s">
        <v>40</v>
      </c>
      <c r="E283" s="85" t="s">
        <v>41</v>
      </c>
      <c r="F283" s="85" t="s">
        <v>42</v>
      </c>
      <c r="G283" s="85" t="s">
        <v>43</v>
      </c>
      <c r="H283" s="87">
        <v>14.175000000000001</v>
      </c>
      <c r="I283" s="87">
        <v>75.375</v>
      </c>
      <c r="J283" s="87">
        <v>19.583832000000001</v>
      </c>
      <c r="K283" s="85">
        <v>18</v>
      </c>
      <c r="L283" s="85">
        <v>27</v>
      </c>
      <c r="M283" s="85">
        <f t="shared" si="4"/>
        <v>45</v>
      </c>
      <c r="N283" t="str" cm="1">
        <f t="array" ref="N283">_xlfn.IFS(M283&lt;40,"Queit",M283&lt;70,"Modest",M283&lt;100,"Good",M283&gt;=100,"Busy")</f>
        <v>Modest</v>
      </c>
    </row>
    <row r="284" spans="1:14" x14ac:dyDescent="0.35">
      <c r="A284" s="85">
        <v>275</v>
      </c>
      <c r="B284" s="86">
        <v>44836</v>
      </c>
      <c r="C284" s="85" t="s">
        <v>54</v>
      </c>
      <c r="D284" s="85" t="s">
        <v>40</v>
      </c>
      <c r="E284" s="85" t="s">
        <v>44</v>
      </c>
      <c r="F284" s="85" t="s">
        <v>42</v>
      </c>
      <c r="G284" s="85" t="s">
        <v>43</v>
      </c>
      <c r="H284" s="87">
        <v>17.024984999999997</v>
      </c>
      <c r="I284" s="87">
        <v>79.166700000000006</v>
      </c>
      <c r="J284" s="87">
        <v>14.874870999999999</v>
      </c>
      <c r="K284" s="85">
        <v>33</v>
      </c>
      <c r="L284" s="85">
        <v>32</v>
      </c>
      <c r="M284" s="85">
        <f t="shared" si="4"/>
        <v>65</v>
      </c>
      <c r="N284" t="str" cm="1">
        <f t="array" ref="N284">_xlfn.IFS(M284&lt;40,"Queit",M284&lt;70,"Modest",M284&lt;100,"Good",M284&gt;=100,"Busy")</f>
        <v>Modest</v>
      </c>
    </row>
    <row r="285" spans="1:14" x14ac:dyDescent="0.35">
      <c r="A285" s="85">
        <v>276</v>
      </c>
      <c r="B285" s="86">
        <v>44837</v>
      </c>
      <c r="C285" s="85" t="s">
        <v>54</v>
      </c>
      <c r="D285" s="85" t="s">
        <v>40</v>
      </c>
      <c r="E285" s="85" t="s">
        <v>45</v>
      </c>
      <c r="F285" s="85" t="s">
        <v>26</v>
      </c>
      <c r="G285" s="85" t="s">
        <v>43</v>
      </c>
      <c r="H285" s="87">
        <v>25.799985</v>
      </c>
      <c r="I285" s="87">
        <v>76.083299999999994</v>
      </c>
      <c r="J285" s="87">
        <v>5.5841685999999999</v>
      </c>
      <c r="K285" s="85">
        <v>15</v>
      </c>
      <c r="L285" s="85">
        <v>48</v>
      </c>
      <c r="M285" s="85">
        <f t="shared" si="4"/>
        <v>63</v>
      </c>
      <c r="N285" t="str" cm="1">
        <f t="array" ref="N285">_xlfn.IFS(M285&lt;40,"Queit",M285&lt;70,"Modest",M285&lt;100,"Good",M285&gt;=100,"Busy")</f>
        <v>Modest</v>
      </c>
    </row>
    <row r="286" spans="1:14" x14ac:dyDescent="0.35">
      <c r="A286" s="85">
        <v>284</v>
      </c>
      <c r="B286" s="86">
        <v>44845</v>
      </c>
      <c r="C286" s="85" t="s">
        <v>54</v>
      </c>
      <c r="D286" s="85" t="s">
        <v>40</v>
      </c>
      <c r="E286" s="85" t="s">
        <v>47</v>
      </c>
      <c r="F286" s="85" t="s">
        <v>26</v>
      </c>
      <c r="G286" s="85" t="s">
        <v>43</v>
      </c>
      <c r="H286" s="87">
        <v>22.612499999999997</v>
      </c>
      <c r="I286" s="87">
        <v>80.875</v>
      </c>
      <c r="J286" s="87">
        <v>9.5838140000000003</v>
      </c>
      <c r="K286" s="85">
        <v>5</v>
      </c>
      <c r="L286" s="85">
        <v>36</v>
      </c>
      <c r="M286" s="85">
        <f t="shared" si="4"/>
        <v>41</v>
      </c>
      <c r="N286" t="str" cm="1">
        <f t="array" ref="N286">_xlfn.IFS(M286&lt;40,"Queit",M286&lt;70,"Modest",M286&lt;100,"Good",M286&gt;=100,"Busy")</f>
        <v>Modest</v>
      </c>
    </row>
    <row r="287" spans="1:14" x14ac:dyDescent="0.35">
      <c r="A287" s="85">
        <v>286</v>
      </c>
      <c r="B287" s="86">
        <v>44847</v>
      </c>
      <c r="C287" s="85" t="s">
        <v>54</v>
      </c>
      <c r="D287" s="85" t="s">
        <v>40</v>
      </c>
      <c r="E287" s="85" t="s">
        <v>49</v>
      </c>
      <c r="F287" s="85" t="s">
        <v>26</v>
      </c>
      <c r="G287" s="85" t="s">
        <v>43</v>
      </c>
      <c r="H287" s="87">
        <v>21.037500000000001</v>
      </c>
      <c r="I287" s="87">
        <v>89.666700000000006</v>
      </c>
      <c r="J287" s="87">
        <v>9.4997290000000003</v>
      </c>
      <c r="K287" s="85">
        <v>11</v>
      </c>
      <c r="L287" s="85">
        <v>55</v>
      </c>
      <c r="M287" s="85">
        <f t="shared" si="4"/>
        <v>66</v>
      </c>
      <c r="N287" t="str" cm="1">
        <f t="array" ref="N287">_xlfn.IFS(M287&lt;40,"Queit",M287&lt;70,"Modest",M287&lt;100,"Good",M287&gt;=100,"Busy")</f>
        <v>Modest</v>
      </c>
    </row>
    <row r="288" spans="1:14" x14ac:dyDescent="0.35">
      <c r="A288" s="85">
        <v>287</v>
      </c>
      <c r="B288" s="86">
        <v>44848</v>
      </c>
      <c r="C288" s="85" t="s">
        <v>54</v>
      </c>
      <c r="D288" s="85" t="s">
        <v>40</v>
      </c>
      <c r="E288" s="85" t="s">
        <v>50</v>
      </c>
      <c r="F288" s="85" t="s">
        <v>26</v>
      </c>
      <c r="G288" s="85" t="s">
        <v>43</v>
      </c>
      <c r="H288" s="87">
        <v>20.100014999999999</v>
      </c>
      <c r="I288" s="87">
        <v>71.625</v>
      </c>
      <c r="J288" s="87">
        <v>15.000161</v>
      </c>
      <c r="K288" s="85">
        <v>13</v>
      </c>
      <c r="L288" s="85">
        <v>50</v>
      </c>
      <c r="M288" s="85">
        <f t="shared" si="4"/>
        <v>63</v>
      </c>
      <c r="N288" t="str" cm="1">
        <f t="array" ref="N288">_xlfn.IFS(M288&lt;40,"Queit",M288&lt;70,"Modest",M288&lt;100,"Good",M288&gt;=100,"Busy")</f>
        <v>Modest</v>
      </c>
    </row>
    <row r="289" spans="1:14" x14ac:dyDescent="0.35">
      <c r="A289" s="85">
        <v>291</v>
      </c>
      <c r="B289" s="86">
        <v>44852</v>
      </c>
      <c r="C289" s="85" t="s">
        <v>54</v>
      </c>
      <c r="D289" s="85" t="s">
        <v>40</v>
      </c>
      <c r="E289" s="85" t="s">
        <v>47</v>
      </c>
      <c r="F289" s="85" t="s">
        <v>26</v>
      </c>
      <c r="G289" s="85" t="s">
        <v>43</v>
      </c>
      <c r="H289" s="87">
        <v>22.762484999999998</v>
      </c>
      <c r="I289" s="87">
        <v>70.166700000000006</v>
      </c>
      <c r="J289" s="87">
        <v>7.3758290000000004</v>
      </c>
      <c r="K289" s="85">
        <v>8</v>
      </c>
      <c r="L289" s="85">
        <v>56</v>
      </c>
      <c r="M289" s="85">
        <f t="shared" si="4"/>
        <v>64</v>
      </c>
      <c r="N289" t="str" cm="1">
        <f t="array" ref="N289">_xlfn.IFS(M289&lt;40,"Queit",M289&lt;70,"Modest",M289&lt;100,"Good",M289&gt;=100,"Busy")</f>
        <v>Modest</v>
      </c>
    </row>
    <row r="290" spans="1:14" x14ac:dyDescent="0.35">
      <c r="A290" s="85">
        <v>299</v>
      </c>
      <c r="B290" s="86">
        <v>44860</v>
      </c>
      <c r="C290" s="85" t="s">
        <v>54</v>
      </c>
      <c r="D290" s="85" t="s">
        <v>40</v>
      </c>
      <c r="E290" s="85" t="s">
        <v>48</v>
      </c>
      <c r="F290" s="85" t="s">
        <v>26</v>
      </c>
      <c r="G290" s="85" t="s">
        <v>43</v>
      </c>
      <c r="H290" s="87">
        <v>27.9</v>
      </c>
      <c r="I290" s="87">
        <v>72.041699999999992</v>
      </c>
      <c r="J290" s="87">
        <v>9.9590139999999998</v>
      </c>
      <c r="K290" s="85">
        <v>11</v>
      </c>
      <c r="L290" s="85">
        <v>67</v>
      </c>
      <c r="M290" s="85">
        <f t="shared" si="4"/>
        <v>78</v>
      </c>
      <c r="N290" t="str" cm="1">
        <f t="array" ref="N290">_xlfn.IFS(M290&lt;40,"Queit",M290&lt;70,"Modest",M290&lt;100,"Good",M290&gt;=100,"Busy")</f>
        <v>Good</v>
      </c>
    </row>
    <row r="291" spans="1:14" x14ac:dyDescent="0.35">
      <c r="A291" s="85">
        <v>300</v>
      </c>
      <c r="B291" s="86">
        <v>44861</v>
      </c>
      <c r="C291" s="85" t="s">
        <v>54</v>
      </c>
      <c r="D291" s="85" t="s">
        <v>40</v>
      </c>
      <c r="E291" s="85" t="s">
        <v>49</v>
      </c>
      <c r="F291" s="85" t="s">
        <v>26</v>
      </c>
      <c r="G291" s="85" t="s">
        <v>43</v>
      </c>
      <c r="H291" s="87">
        <v>27.787500000000001</v>
      </c>
      <c r="I291" s="87">
        <v>81.291700000000006</v>
      </c>
      <c r="J291" s="87">
        <v>13.250121</v>
      </c>
      <c r="K291" s="85">
        <v>11</v>
      </c>
      <c r="L291" s="85">
        <v>70</v>
      </c>
      <c r="M291" s="85">
        <f t="shared" si="4"/>
        <v>81</v>
      </c>
      <c r="N291" t="str" cm="1">
        <f t="array" ref="N291">_xlfn.IFS(M291&lt;40,"Queit",M291&lt;70,"Modest",M291&lt;100,"Good",M291&gt;=100,"Busy")</f>
        <v>Good</v>
      </c>
    </row>
    <row r="292" spans="1:14" x14ac:dyDescent="0.35">
      <c r="A292" s="85">
        <v>301</v>
      </c>
      <c r="B292" s="86">
        <v>44862</v>
      </c>
      <c r="C292" s="85" t="s">
        <v>54</v>
      </c>
      <c r="D292" s="85" t="s">
        <v>40</v>
      </c>
      <c r="E292" s="85" t="s">
        <v>50</v>
      </c>
      <c r="F292" s="85" t="s">
        <v>26</v>
      </c>
      <c r="G292" s="85" t="s">
        <v>43</v>
      </c>
      <c r="H292" s="87">
        <v>22.95</v>
      </c>
      <c r="I292" s="87">
        <v>58.583300000000008</v>
      </c>
      <c r="J292" s="87">
        <v>15.375093</v>
      </c>
      <c r="K292" s="85">
        <v>18</v>
      </c>
      <c r="L292" s="85">
        <v>74</v>
      </c>
      <c r="M292" s="85">
        <f t="shared" si="4"/>
        <v>92</v>
      </c>
      <c r="N292" t="str" cm="1">
        <f t="array" ref="N292">_xlfn.IFS(M292&lt;40,"Queit",M292&lt;70,"Modest",M292&lt;100,"Good",M292&gt;=100,"Busy")</f>
        <v>Good</v>
      </c>
    </row>
    <row r="293" spans="1:14" x14ac:dyDescent="0.35">
      <c r="A293" s="85">
        <v>308</v>
      </c>
      <c r="B293" s="86">
        <v>44869</v>
      </c>
      <c r="C293" s="85" t="s">
        <v>54</v>
      </c>
      <c r="D293" s="85" t="s">
        <v>40</v>
      </c>
      <c r="E293" s="85" t="s">
        <v>50</v>
      </c>
      <c r="F293" s="85" t="s">
        <v>26</v>
      </c>
      <c r="G293" s="85" t="s">
        <v>43</v>
      </c>
      <c r="H293" s="87">
        <v>21.562515000000001</v>
      </c>
      <c r="I293" s="87">
        <v>62.250000000000007</v>
      </c>
      <c r="J293" s="87">
        <v>18.209192999999999</v>
      </c>
      <c r="K293" s="85">
        <v>18</v>
      </c>
      <c r="L293" s="85">
        <v>74</v>
      </c>
      <c r="M293" s="85">
        <f t="shared" si="4"/>
        <v>92</v>
      </c>
      <c r="N293" t="str" cm="1">
        <f t="array" ref="N293">_xlfn.IFS(M293&lt;40,"Queit",M293&lt;70,"Modest",M293&lt;100,"Good",M293&gt;=100,"Busy")</f>
        <v>Good</v>
      </c>
    </row>
    <row r="294" spans="1:14" x14ac:dyDescent="0.35">
      <c r="A294" s="85">
        <v>314</v>
      </c>
      <c r="B294" s="86">
        <v>44875</v>
      </c>
      <c r="C294" s="85" t="s">
        <v>54</v>
      </c>
      <c r="D294" s="85" t="s">
        <v>40</v>
      </c>
      <c r="E294" s="85" t="s">
        <v>49</v>
      </c>
      <c r="F294" s="85" t="s">
        <v>26</v>
      </c>
      <c r="G294" s="85" t="s">
        <v>43</v>
      </c>
      <c r="H294" s="87">
        <v>24.075000000000003</v>
      </c>
      <c r="I294" s="87">
        <v>81.333299999999994</v>
      </c>
      <c r="J294" s="87">
        <v>12.667489000000002</v>
      </c>
      <c r="K294" s="85">
        <v>14</v>
      </c>
      <c r="L294" s="85">
        <v>83</v>
      </c>
      <c r="M294" s="85">
        <f t="shared" si="4"/>
        <v>97</v>
      </c>
      <c r="N294" t="str" cm="1">
        <f t="array" ref="N294">_xlfn.IFS(M294&lt;40,"Queit",M294&lt;70,"Modest",M294&lt;100,"Good",M294&gt;=100,"Busy")</f>
        <v>Good</v>
      </c>
    </row>
    <row r="295" spans="1:14" x14ac:dyDescent="0.35">
      <c r="A295" s="85">
        <v>319</v>
      </c>
      <c r="B295" s="86">
        <v>44880</v>
      </c>
      <c r="C295" s="85" t="s">
        <v>54</v>
      </c>
      <c r="D295" s="85" t="s">
        <v>40</v>
      </c>
      <c r="E295" s="85" t="s">
        <v>47</v>
      </c>
      <c r="F295" s="85" t="s">
        <v>26</v>
      </c>
      <c r="G295" s="85" t="s">
        <v>43</v>
      </c>
      <c r="H295" s="87">
        <v>25.275015</v>
      </c>
      <c r="I295" s="87">
        <v>68.875</v>
      </c>
      <c r="J295" s="87">
        <v>13.375411</v>
      </c>
      <c r="K295" s="85">
        <v>14</v>
      </c>
      <c r="L295" s="85">
        <v>69</v>
      </c>
      <c r="M295" s="85">
        <f t="shared" si="4"/>
        <v>83</v>
      </c>
      <c r="N295" t="str" cm="1">
        <f t="array" ref="N295">_xlfn.IFS(M295&lt;40,"Queit",M295&lt;70,"Modest",M295&lt;100,"Good",M295&gt;=100,"Busy")</f>
        <v>Good</v>
      </c>
    </row>
    <row r="296" spans="1:14" x14ac:dyDescent="0.35">
      <c r="A296" s="85">
        <v>321</v>
      </c>
      <c r="B296" s="86">
        <v>44882</v>
      </c>
      <c r="C296" s="85" t="s">
        <v>54</v>
      </c>
      <c r="D296" s="85" t="s">
        <v>40</v>
      </c>
      <c r="E296" s="85" t="s">
        <v>49</v>
      </c>
      <c r="F296" s="85" t="s">
        <v>26</v>
      </c>
      <c r="G296" s="85" t="s">
        <v>43</v>
      </c>
      <c r="H296" s="87">
        <v>23.887485000000002</v>
      </c>
      <c r="I296" s="87">
        <v>57.583300000000001</v>
      </c>
      <c r="J296" s="87">
        <v>20.459254000000001</v>
      </c>
      <c r="K296" s="85">
        <v>15</v>
      </c>
      <c r="L296" s="85">
        <v>77</v>
      </c>
      <c r="M296" s="85">
        <f t="shared" si="4"/>
        <v>92</v>
      </c>
      <c r="N296" t="str" cm="1">
        <f t="array" ref="N296">_xlfn.IFS(M296&lt;40,"Queit",M296&lt;70,"Modest",M296&lt;100,"Good",M296&gt;=100,"Busy")</f>
        <v>Good</v>
      </c>
    </row>
    <row r="297" spans="1:14" x14ac:dyDescent="0.35">
      <c r="A297" s="85">
        <v>324</v>
      </c>
      <c r="B297" s="86">
        <v>44885</v>
      </c>
      <c r="C297" s="85" t="s">
        <v>54</v>
      </c>
      <c r="D297" s="85" t="s">
        <v>40</v>
      </c>
      <c r="E297" s="85" t="s">
        <v>44</v>
      </c>
      <c r="F297" s="85" t="s">
        <v>42</v>
      </c>
      <c r="G297" s="85" t="s">
        <v>43</v>
      </c>
      <c r="H297" s="87">
        <v>27.187515000000001</v>
      </c>
      <c r="I297" s="87">
        <v>68.458300000000008</v>
      </c>
      <c r="J297" s="87">
        <v>12.45865</v>
      </c>
      <c r="K297" s="85">
        <v>32</v>
      </c>
      <c r="L297" s="85">
        <v>62</v>
      </c>
      <c r="M297" s="85">
        <f t="shared" si="4"/>
        <v>94</v>
      </c>
      <c r="N297" t="str" cm="1">
        <f t="array" ref="N297">_xlfn.IFS(M297&lt;40,"Queit",M297&lt;70,"Modest",M297&lt;100,"Good",M297&gt;=100,"Busy")</f>
        <v>Good</v>
      </c>
    </row>
    <row r="298" spans="1:14" x14ac:dyDescent="0.35">
      <c r="A298" s="85">
        <v>327</v>
      </c>
      <c r="B298" s="86">
        <v>44888</v>
      </c>
      <c r="C298" s="85" t="s">
        <v>54</v>
      </c>
      <c r="D298" s="85" t="s">
        <v>40</v>
      </c>
      <c r="E298" s="85" t="s">
        <v>48</v>
      </c>
      <c r="F298" s="85" t="s">
        <v>26</v>
      </c>
      <c r="G298" s="85" t="s">
        <v>43</v>
      </c>
      <c r="H298" s="87">
        <v>29.737485</v>
      </c>
      <c r="I298" s="87">
        <v>75.791699999999992</v>
      </c>
      <c r="J298" s="87">
        <v>22.500274999999998</v>
      </c>
      <c r="K298" s="85">
        <v>15</v>
      </c>
      <c r="L298" s="85">
        <v>85</v>
      </c>
      <c r="M298" s="85">
        <f t="shared" si="4"/>
        <v>100</v>
      </c>
      <c r="N298" t="str" cm="1">
        <f t="array" ref="N298">_xlfn.IFS(M298&lt;40,"Queit",M298&lt;70,"Modest",M298&lt;100,"Good",M298&gt;=100,"Busy")</f>
        <v>Busy</v>
      </c>
    </row>
    <row r="299" spans="1:14" x14ac:dyDescent="0.35">
      <c r="A299" s="85">
        <v>333</v>
      </c>
      <c r="B299" s="86">
        <v>44894</v>
      </c>
      <c r="C299" s="85" t="s">
        <v>54</v>
      </c>
      <c r="D299" s="85" t="s">
        <v>40</v>
      </c>
      <c r="E299" s="85" t="s">
        <v>47</v>
      </c>
      <c r="F299" s="85" t="s">
        <v>26</v>
      </c>
      <c r="G299" s="85" t="s">
        <v>43</v>
      </c>
      <c r="H299" s="87">
        <v>34.875</v>
      </c>
      <c r="I299" s="87">
        <v>83.083300000000008</v>
      </c>
      <c r="J299" s="87">
        <v>17.292164</v>
      </c>
      <c r="K299" s="85">
        <v>13</v>
      </c>
      <c r="L299" s="85">
        <v>66</v>
      </c>
      <c r="M299" s="85">
        <f t="shared" si="4"/>
        <v>79</v>
      </c>
      <c r="N299" t="str" cm="1">
        <f t="array" ref="N299">_xlfn.IFS(M299&lt;40,"Queit",M299&lt;70,"Modest",M299&lt;100,"Good",M299&gt;=100,"Busy")</f>
        <v>Good</v>
      </c>
    </row>
    <row r="300" spans="1:14" x14ac:dyDescent="0.35">
      <c r="A300" s="85">
        <v>1</v>
      </c>
      <c r="B300" s="86">
        <v>44562</v>
      </c>
      <c r="C300" s="85" t="s">
        <v>39</v>
      </c>
      <c r="D300" s="85" t="s">
        <v>40</v>
      </c>
      <c r="E300" s="85" t="s">
        <v>41</v>
      </c>
      <c r="F300" s="85" t="s">
        <v>42</v>
      </c>
      <c r="G300" s="85" t="s">
        <v>43</v>
      </c>
      <c r="H300" s="87">
        <v>32.250015000000005</v>
      </c>
      <c r="I300" s="87">
        <v>80.583300000000008</v>
      </c>
      <c r="J300" s="87">
        <v>10.749881999999999</v>
      </c>
      <c r="K300" s="85">
        <v>46</v>
      </c>
      <c r="L300" s="85">
        <v>47</v>
      </c>
      <c r="M300" s="85">
        <f t="shared" si="4"/>
        <v>93</v>
      </c>
      <c r="N300" t="str" cm="1">
        <f t="array" ref="N300">_xlfn.IFS(M300&lt;40,"Queit",M300&lt;70,"Modest",M300&lt;100,"Good",M300&gt;=100,"Busy")</f>
        <v>Good</v>
      </c>
    </row>
    <row r="301" spans="1:14" x14ac:dyDescent="0.35">
      <c r="A301" s="85">
        <v>2</v>
      </c>
      <c r="B301" s="86">
        <v>44563</v>
      </c>
      <c r="C301" s="85" t="s">
        <v>39</v>
      </c>
      <c r="D301" s="85" t="s">
        <v>40</v>
      </c>
      <c r="E301" s="85" t="s">
        <v>44</v>
      </c>
      <c r="F301" s="85" t="s">
        <v>42</v>
      </c>
      <c r="G301" s="85" t="s">
        <v>43</v>
      </c>
      <c r="H301" s="87">
        <v>32.700015</v>
      </c>
      <c r="I301" s="87">
        <v>69.608699999999999</v>
      </c>
      <c r="J301" s="87">
        <v>16.652113</v>
      </c>
      <c r="K301" s="85">
        <v>61</v>
      </c>
      <c r="L301" s="85">
        <v>60</v>
      </c>
      <c r="M301" s="85">
        <f t="shared" si="4"/>
        <v>121</v>
      </c>
      <c r="N301" t="str" cm="1">
        <f t="array" ref="N301">_xlfn.IFS(M301&lt;40,"Queit",M301&lt;70,"Modest",M301&lt;100,"Good",M301&gt;=100,"Busy")</f>
        <v>Busy</v>
      </c>
    </row>
    <row r="302" spans="1:14" x14ac:dyDescent="0.35">
      <c r="A302" s="85">
        <v>7</v>
      </c>
      <c r="B302" s="86">
        <v>44568</v>
      </c>
      <c r="C302" s="85" t="s">
        <v>39</v>
      </c>
      <c r="D302" s="85" t="s">
        <v>40</v>
      </c>
      <c r="E302" s="85" t="s">
        <v>50</v>
      </c>
      <c r="F302" s="85" t="s">
        <v>26</v>
      </c>
      <c r="G302" s="85" t="s">
        <v>43</v>
      </c>
      <c r="H302" s="87">
        <v>32.999985000000002</v>
      </c>
      <c r="I302" s="87">
        <v>49.869599999999998</v>
      </c>
      <c r="J302" s="87">
        <v>11.304641999999999</v>
      </c>
      <c r="K302" s="85">
        <v>40</v>
      </c>
      <c r="L302" s="85">
        <v>67</v>
      </c>
      <c r="M302" s="85">
        <f t="shared" si="4"/>
        <v>107</v>
      </c>
      <c r="N302" t="str" cm="1">
        <f t="array" ref="N302">_xlfn.IFS(M302&lt;40,"Queit",M302&lt;70,"Modest",M302&lt;100,"Good",M302&gt;=100,"Busy")</f>
        <v>Busy</v>
      </c>
    </row>
    <row r="303" spans="1:14" x14ac:dyDescent="0.35">
      <c r="A303" s="85">
        <v>8</v>
      </c>
      <c r="B303" s="86">
        <v>44569</v>
      </c>
      <c r="C303" s="85" t="s">
        <v>39</v>
      </c>
      <c r="D303" s="85" t="s">
        <v>40</v>
      </c>
      <c r="E303" s="85" t="s">
        <v>41</v>
      </c>
      <c r="F303" s="85" t="s">
        <v>42</v>
      </c>
      <c r="G303" s="85" t="s">
        <v>43</v>
      </c>
      <c r="H303" s="87">
        <v>33.637500000000003</v>
      </c>
      <c r="I303" s="87">
        <v>53.583300000000001</v>
      </c>
      <c r="J303" s="87">
        <v>17.875868000000001</v>
      </c>
      <c r="K303" s="85">
        <v>35</v>
      </c>
      <c r="L303" s="85">
        <v>63</v>
      </c>
      <c r="M303" s="85">
        <f t="shared" si="4"/>
        <v>98</v>
      </c>
      <c r="N303" t="str" cm="1">
        <f t="array" ref="N303">_xlfn.IFS(M303&lt;40,"Queit",M303&lt;70,"Modest",M303&lt;100,"Good",M303&gt;=100,"Busy")</f>
        <v>Good</v>
      </c>
    </row>
    <row r="304" spans="1:14" x14ac:dyDescent="0.35">
      <c r="A304" s="85">
        <v>11</v>
      </c>
      <c r="B304" s="86">
        <v>44572</v>
      </c>
      <c r="C304" s="85" t="s">
        <v>39</v>
      </c>
      <c r="D304" s="85" t="s">
        <v>40</v>
      </c>
      <c r="E304" s="85" t="s">
        <v>47</v>
      </c>
      <c r="F304" s="85" t="s">
        <v>26</v>
      </c>
      <c r="G304" s="85" t="s">
        <v>43</v>
      </c>
      <c r="H304" s="87">
        <v>33.600014999999999</v>
      </c>
      <c r="I304" s="87">
        <v>68.636399999999995</v>
      </c>
      <c r="J304" s="87">
        <v>8.1828440000000011</v>
      </c>
      <c r="K304" s="85">
        <v>15</v>
      </c>
      <c r="L304" s="85">
        <v>72</v>
      </c>
      <c r="M304" s="85">
        <f t="shared" si="4"/>
        <v>87</v>
      </c>
      <c r="N304" t="str" cm="1">
        <f t="array" ref="N304">_xlfn.IFS(M304&lt;40,"Queit",M304&lt;70,"Modest",M304&lt;100,"Good",M304&gt;=100,"Busy")</f>
        <v>Good</v>
      </c>
    </row>
    <row r="305" spans="1:14" x14ac:dyDescent="0.35">
      <c r="A305" s="85">
        <v>15</v>
      </c>
      <c r="B305" s="86">
        <v>44576</v>
      </c>
      <c r="C305" s="85" t="s">
        <v>39</v>
      </c>
      <c r="D305" s="85" t="s">
        <v>40</v>
      </c>
      <c r="E305" s="85" t="s">
        <v>41</v>
      </c>
      <c r="F305" s="85" t="s">
        <v>42</v>
      </c>
      <c r="G305" s="85" t="s">
        <v>43</v>
      </c>
      <c r="H305" s="87">
        <v>32.362515000000002</v>
      </c>
      <c r="I305" s="87">
        <v>49.875</v>
      </c>
      <c r="J305" s="87">
        <v>10.583520999999999</v>
      </c>
      <c r="K305" s="85">
        <v>40</v>
      </c>
      <c r="L305" s="85">
        <v>66</v>
      </c>
      <c r="M305" s="85">
        <f t="shared" si="4"/>
        <v>106</v>
      </c>
      <c r="N305" t="str" cm="1">
        <f t="array" ref="N305">_xlfn.IFS(M305&lt;40,"Queit",M305&lt;70,"Modest",M305&lt;100,"Good",M305&gt;=100,"Busy")</f>
        <v>Busy</v>
      </c>
    </row>
    <row r="306" spans="1:14" x14ac:dyDescent="0.35">
      <c r="A306" s="85">
        <v>17</v>
      </c>
      <c r="B306" s="86">
        <v>44578</v>
      </c>
      <c r="C306" s="85" t="s">
        <v>39</v>
      </c>
      <c r="D306" s="85" t="s">
        <v>22</v>
      </c>
      <c r="E306" s="85" t="s">
        <v>45</v>
      </c>
      <c r="F306" s="85" t="s">
        <v>42</v>
      </c>
      <c r="G306" s="85" t="s">
        <v>43</v>
      </c>
      <c r="H306" s="87">
        <v>34.950015</v>
      </c>
      <c r="I306" s="87">
        <v>53.75</v>
      </c>
      <c r="J306" s="87">
        <v>12.999139</v>
      </c>
      <c r="K306" s="85">
        <v>15</v>
      </c>
      <c r="L306" s="85">
        <v>76</v>
      </c>
      <c r="M306" s="85">
        <f t="shared" si="4"/>
        <v>91</v>
      </c>
      <c r="N306" t="str" cm="1">
        <f t="array" ref="N306">_xlfn.IFS(M306&lt;40,"Queit",M306&lt;70,"Modest",M306&lt;100,"Good",M306&gt;=100,"Busy")</f>
        <v>Good</v>
      </c>
    </row>
    <row r="307" spans="1:14" x14ac:dyDescent="0.35">
      <c r="A307" s="85">
        <v>18</v>
      </c>
      <c r="B307" s="86">
        <v>44579</v>
      </c>
      <c r="C307" s="85" t="s">
        <v>39</v>
      </c>
      <c r="D307" s="85" t="s">
        <v>40</v>
      </c>
      <c r="E307" s="85" t="s">
        <v>47</v>
      </c>
      <c r="F307" s="85" t="s">
        <v>26</v>
      </c>
      <c r="G307" s="85" t="s">
        <v>43</v>
      </c>
      <c r="H307" s="87">
        <v>34.574985000000005</v>
      </c>
      <c r="I307" s="87">
        <v>86.166699999999992</v>
      </c>
      <c r="J307" s="87">
        <v>9.8339249999999989</v>
      </c>
      <c r="K307" s="85">
        <v>13</v>
      </c>
      <c r="L307" s="85">
        <v>74</v>
      </c>
      <c r="M307" s="85">
        <f t="shared" si="4"/>
        <v>87</v>
      </c>
      <c r="N307" t="str" cm="1">
        <f t="array" ref="N307">_xlfn.IFS(M307&lt;40,"Queit",M307&lt;70,"Modest",M307&lt;100,"Good",M307&gt;=100,"Busy")</f>
        <v>Good</v>
      </c>
    </row>
    <row r="308" spans="1:14" x14ac:dyDescent="0.35">
      <c r="A308" s="85">
        <v>19</v>
      </c>
      <c r="B308" s="86">
        <v>44580</v>
      </c>
      <c r="C308" s="85" t="s">
        <v>39</v>
      </c>
      <c r="D308" s="85" t="s">
        <v>40</v>
      </c>
      <c r="E308" s="85" t="s">
        <v>48</v>
      </c>
      <c r="F308" s="85" t="s">
        <v>26</v>
      </c>
      <c r="G308" s="85" t="s">
        <v>43</v>
      </c>
      <c r="H308" s="87">
        <v>36.674999999999997</v>
      </c>
      <c r="I308" s="87">
        <v>74.173900000000003</v>
      </c>
      <c r="J308" s="87">
        <v>13.957239</v>
      </c>
      <c r="K308" s="85">
        <v>13</v>
      </c>
      <c r="L308" s="85">
        <v>63</v>
      </c>
      <c r="M308" s="85">
        <f t="shared" si="4"/>
        <v>76</v>
      </c>
      <c r="N308" t="str" cm="1">
        <f t="array" ref="N308">_xlfn.IFS(M308&lt;40,"Queit",M308&lt;70,"Modest",M308&lt;100,"Good",M308&gt;=100,"Busy")</f>
        <v>Good</v>
      </c>
    </row>
    <row r="309" spans="1:14" x14ac:dyDescent="0.35">
      <c r="A309" s="85">
        <v>20</v>
      </c>
      <c r="B309" s="86">
        <v>44581</v>
      </c>
      <c r="C309" s="85" t="s">
        <v>39</v>
      </c>
      <c r="D309" s="85" t="s">
        <v>40</v>
      </c>
      <c r="E309" s="85" t="s">
        <v>49</v>
      </c>
      <c r="F309" s="85" t="s">
        <v>26</v>
      </c>
      <c r="G309" s="85" t="s">
        <v>43</v>
      </c>
      <c r="H309" s="87">
        <v>38.174985</v>
      </c>
      <c r="I309" s="87">
        <v>53.833299999999994</v>
      </c>
      <c r="J309" s="87">
        <v>13.125567999999999</v>
      </c>
      <c r="K309" s="85">
        <v>11</v>
      </c>
      <c r="L309" s="85">
        <v>57</v>
      </c>
      <c r="M309" s="85">
        <f t="shared" si="4"/>
        <v>68</v>
      </c>
      <c r="N309" t="str" cm="1">
        <f t="array" ref="N309">_xlfn.IFS(M309&lt;40,"Queit",M309&lt;70,"Modest",M309&lt;100,"Good",M309&gt;=100,"Busy")</f>
        <v>Modest</v>
      </c>
    </row>
    <row r="310" spans="1:14" x14ac:dyDescent="0.35">
      <c r="A310" s="85">
        <v>25</v>
      </c>
      <c r="B310" s="86">
        <v>44586</v>
      </c>
      <c r="C310" s="85" t="s">
        <v>39</v>
      </c>
      <c r="D310" s="85" t="s">
        <v>40</v>
      </c>
      <c r="E310" s="85" t="s">
        <v>47</v>
      </c>
      <c r="F310" s="85" t="s">
        <v>26</v>
      </c>
      <c r="G310" s="85" t="s">
        <v>43</v>
      </c>
      <c r="H310" s="87">
        <v>34.875</v>
      </c>
      <c r="I310" s="87">
        <v>61.695699999999995</v>
      </c>
      <c r="J310" s="87">
        <v>8.696332</v>
      </c>
      <c r="K310" s="85">
        <v>15</v>
      </c>
      <c r="L310" s="85">
        <v>78</v>
      </c>
      <c r="M310" s="85">
        <f t="shared" si="4"/>
        <v>93</v>
      </c>
      <c r="N310" t="str" cm="1">
        <f t="array" ref="N310">_xlfn.IFS(M310&lt;40,"Queit",M310&lt;70,"Modest",M310&lt;100,"Good",M310&gt;=100,"Busy")</f>
        <v>Good</v>
      </c>
    </row>
    <row r="311" spans="1:14" x14ac:dyDescent="0.35">
      <c r="A311" s="85">
        <v>28</v>
      </c>
      <c r="B311" s="86">
        <v>44589</v>
      </c>
      <c r="C311" s="85" t="s">
        <v>39</v>
      </c>
      <c r="D311" s="85" t="s">
        <v>40</v>
      </c>
      <c r="E311" s="85" t="s">
        <v>50</v>
      </c>
      <c r="F311" s="85" t="s">
        <v>26</v>
      </c>
      <c r="G311" s="85" t="s">
        <v>43</v>
      </c>
      <c r="H311" s="87">
        <v>36.187514999999998</v>
      </c>
      <c r="I311" s="87">
        <v>79.304300000000012</v>
      </c>
      <c r="J311" s="87">
        <v>8.2611000000000008</v>
      </c>
      <c r="K311" s="85">
        <v>31</v>
      </c>
      <c r="L311" s="85">
        <v>58</v>
      </c>
      <c r="M311" s="85">
        <f t="shared" si="4"/>
        <v>89</v>
      </c>
      <c r="N311" t="str" cm="1">
        <f t="array" ref="N311">_xlfn.IFS(M311&lt;40,"Queit",M311&lt;70,"Modest",M311&lt;100,"Good",M311&gt;=100,"Busy")</f>
        <v>Good</v>
      </c>
    </row>
    <row r="312" spans="1:14" x14ac:dyDescent="0.35">
      <c r="A312" s="85">
        <v>31</v>
      </c>
      <c r="B312" s="86">
        <v>44592</v>
      </c>
      <c r="C312" s="85" t="s">
        <v>39</v>
      </c>
      <c r="D312" s="85" t="s">
        <v>40</v>
      </c>
      <c r="E312" s="85" t="s">
        <v>45</v>
      </c>
      <c r="F312" s="85" t="s">
        <v>26</v>
      </c>
      <c r="G312" s="85" t="s">
        <v>43</v>
      </c>
      <c r="H312" s="87">
        <v>35.249984999999995</v>
      </c>
      <c r="I312" s="87">
        <v>60.375</v>
      </c>
      <c r="J312" s="87">
        <v>12.541864</v>
      </c>
      <c r="K312" s="85">
        <v>16</v>
      </c>
      <c r="L312" s="85">
        <v>81</v>
      </c>
      <c r="M312" s="85">
        <f t="shared" si="4"/>
        <v>97</v>
      </c>
      <c r="N312" t="str" cm="1">
        <f t="array" ref="N312">_xlfn.IFS(M312&lt;40,"Queit",M312&lt;70,"Modest",M312&lt;100,"Good",M312&gt;=100,"Busy")</f>
        <v>Good</v>
      </c>
    </row>
    <row r="313" spans="1:14" x14ac:dyDescent="0.35">
      <c r="A313" s="85">
        <v>32</v>
      </c>
      <c r="B313" s="86">
        <v>44593</v>
      </c>
      <c r="C313" s="85" t="s">
        <v>39</v>
      </c>
      <c r="D313" s="85" t="s">
        <v>40</v>
      </c>
      <c r="E313" s="85" t="s">
        <v>47</v>
      </c>
      <c r="F313" s="85" t="s">
        <v>26</v>
      </c>
      <c r="G313" s="85" t="s">
        <v>43</v>
      </c>
      <c r="H313" s="87">
        <v>32.925014999999995</v>
      </c>
      <c r="I313" s="87">
        <v>82.956500000000005</v>
      </c>
      <c r="J313" s="87">
        <v>3.5652710000000001</v>
      </c>
      <c r="K313" s="85">
        <v>9</v>
      </c>
      <c r="L313" s="85">
        <v>62</v>
      </c>
      <c r="M313" s="85">
        <f t="shared" si="4"/>
        <v>71</v>
      </c>
      <c r="N313" t="str" cm="1">
        <f t="array" ref="N313">_xlfn.IFS(M313&lt;40,"Queit",M313&lt;70,"Modest",M313&lt;100,"Good",M313&gt;=100,"Busy")</f>
        <v>Good</v>
      </c>
    </row>
    <row r="314" spans="1:14" x14ac:dyDescent="0.35">
      <c r="A314" s="85">
        <v>33</v>
      </c>
      <c r="B314" s="86">
        <v>44594</v>
      </c>
      <c r="C314" s="85" t="s">
        <v>39</v>
      </c>
      <c r="D314" s="85" t="s">
        <v>40</v>
      </c>
      <c r="E314" s="85" t="s">
        <v>48</v>
      </c>
      <c r="F314" s="85" t="s">
        <v>26</v>
      </c>
      <c r="G314" s="85" t="s">
        <v>43</v>
      </c>
      <c r="H314" s="87">
        <v>31.95</v>
      </c>
      <c r="I314" s="87">
        <v>77.541700000000006</v>
      </c>
      <c r="J314" s="87">
        <v>17.708635999999998</v>
      </c>
      <c r="K314" s="85">
        <v>16</v>
      </c>
      <c r="L314" s="85">
        <v>76</v>
      </c>
      <c r="M314" s="85">
        <f t="shared" si="4"/>
        <v>92</v>
      </c>
      <c r="N314" t="str" cm="1">
        <f t="array" ref="N314">_xlfn.IFS(M314&lt;40,"Queit",M314&lt;70,"Modest",M314&lt;100,"Good",M314&gt;=100,"Busy")</f>
        <v>Good</v>
      </c>
    </row>
    <row r="315" spans="1:14" x14ac:dyDescent="0.35">
      <c r="A315" s="85">
        <v>35</v>
      </c>
      <c r="B315" s="86">
        <v>44596</v>
      </c>
      <c r="C315" s="85" t="s">
        <v>39</v>
      </c>
      <c r="D315" s="85" t="s">
        <v>40</v>
      </c>
      <c r="E315" s="85" t="s">
        <v>50</v>
      </c>
      <c r="F315" s="85" t="s">
        <v>26</v>
      </c>
      <c r="G315" s="85" t="s">
        <v>43</v>
      </c>
      <c r="H315" s="87">
        <v>32.250015000000005</v>
      </c>
      <c r="I315" s="87">
        <v>58.521699999999996</v>
      </c>
      <c r="J315" s="87">
        <v>8.565213</v>
      </c>
      <c r="K315" s="85">
        <v>30</v>
      </c>
      <c r="L315" s="85">
        <v>55</v>
      </c>
      <c r="M315" s="85">
        <f t="shared" si="4"/>
        <v>85</v>
      </c>
      <c r="N315" t="str" cm="1">
        <f t="array" ref="N315">_xlfn.IFS(M315&lt;40,"Queit",M315&lt;70,"Modest",M315&lt;100,"Good",M315&gt;=100,"Busy")</f>
        <v>Good</v>
      </c>
    </row>
    <row r="316" spans="1:14" x14ac:dyDescent="0.35">
      <c r="A316" s="85">
        <v>36</v>
      </c>
      <c r="B316" s="86">
        <v>44597</v>
      </c>
      <c r="C316" s="85" t="s">
        <v>39</v>
      </c>
      <c r="D316" s="85" t="s">
        <v>40</v>
      </c>
      <c r="E316" s="85" t="s">
        <v>41</v>
      </c>
      <c r="F316" s="85" t="s">
        <v>42</v>
      </c>
      <c r="G316" s="85" t="s">
        <v>43</v>
      </c>
      <c r="H316" s="87">
        <v>33.412500000000001</v>
      </c>
      <c r="I316" s="87">
        <v>92.916699999999992</v>
      </c>
      <c r="J316" s="87">
        <v>10.792293000000001</v>
      </c>
      <c r="K316" s="85">
        <v>26</v>
      </c>
      <c r="L316" s="85">
        <v>50</v>
      </c>
      <c r="M316" s="85">
        <f t="shared" si="4"/>
        <v>76</v>
      </c>
      <c r="N316" t="str" cm="1">
        <f t="array" ref="N316">_xlfn.IFS(M316&lt;40,"Queit",M316&lt;70,"Modest",M316&lt;100,"Good",M316&gt;=100,"Busy")</f>
        <v>Good</v>
      </c>
    </row>
    <row r="317" spans="1:14" x14ac:dyDescent="0.35">
      <c r="A317" s="85">
        <v>40</v>
      </c>
      <c r="B317" s="86">
        <v>44601</v>
      </c>
      <c r="C317" s="85" t="s">
        <v>39</v>
      </c>
      <c r="D317" s="85" t="s">
        <v>40</v>
      </c>
      <c r="E317" s="85" t="s">
        <v>48</v>
      </c>
      <c r="F317" s="85" t="s">
        <v>26</v>
      </c>
      <c r="G317" s="85" t="s">
        <v>43</v>
      </c>
      <c r="H317" s="87">
        <v>32.287500000000001</v>
      </c>
      <c r="I317" s="87">
        <v>49.478299999999997</v>
      </c>
      <c r="J317" s="87">
        <v>12.652213</v>
      </c>
      <c r="K317" s="85">
        <v>16</v>
      </c>
      <c r="L317" s="85">
        <v>80</v>
      </c>
      <c r="M317" s="85">
        <f t="shared" si="4"/>
        <v>96</v>
      </c>
      <c r="N317" t="str" cm="1">
        <f t="array" ref="N317">_xlfn.IFS(M317&lt;40,"Queit",M317&lt;70,"Modest",M317&lt;100,"Good",M317&gt;=100,"Busy")</f>
        <v>Good</v>
      </c>
    </row>
    <row r="318" spans="1:14" x14ac:dyDescent="0.35">
      <c r="A318" s="85">
        <v>52</v>
      </c>
      <c r="B318" s="86">
        <v>44613</v>
      </c>
      <c r="C318" s="85" t="s">
        <v>39</v>
      </c>
      <c r="D318" s="85" t="s">
        <v>22</v>
      </c>
      <c r="E318" s="85" t="s">
        <v>45</v>
      </c>
      <c r="F318" s="85" t="s">
        <v>42</v>
      </c>
      <c r="G318" s="85" t="s">
        <v>43</v>
      </c>
      <c r="H318" s="87">
        <v>28.837485000000001</v>
      </c>
      <c r="I318" s="87">
        <v>60.5</v>
      </c>
      <c r="J318" s="87">
        <v>20.625682000000001</v>
      </c>
      <c r="K318" s="85">
        <v>26</v>
      </c>
      <c r="L318" s="85">
        <v>92</v>
      </c>
      <c r="M318" s="85">
        <f t="shared" si="4"/>
        <v>118</v>
      </c>
      <c r="N318" t="str" cm="1">
        <f t="array" ref="N318">_xlfn.IFS(M318&lt;40,"Queit",M318&lt;70,"Modest",M318&lt;100,"Good",M318&gt;=100,"Busy")</f>
        <v>Busy</v>
      </c>
    </row>
    <row r="319" spans="1:14" x14ac:dyDescent="0.35">
      <c r="A319" s="85">
        <v>55</v>
      </c>
      <c r="B319" s="86">
        <v>44616</v>
      </c>
      <c r="C319" s="85" t="s">
        <v>39</v>
      </c>
      <c r="D319" s="85" t="s">
        <v>40</v>
      </c>
      <c r="E319" s="85" t="s">
        <v>49</v>
      </c>
      <c r="F319" s="85" t="s">
        <v>26</v>
      </c>
      <c r="G319" s="85" t="s">
        <v>43</v>
      </c>
      <c r="H319" s="87">
        <v>31.499999999999996</v>
      </c>
      <c r="I319" s="87">
        <v>69.739099999999993</v>
      </c>
      <c r="J319" s="87">
        <v>16.783231999999998</v>
      </c>
      <c r="K319" s="85">
        <v>15</v>
      </c>
      <c r="L319" s="85">
        <v>78</v>
      </c>
      <c r="M319" s="85">
        <f t="shared" si="4"/>
        <v>93</v>
      </c>
      <c r="N319" t="str" cm="1">
        <f t="array" ref="N319">_xlfn.IFS(M319&lt;40,"Queit",M319&lt;70,"Modest",M319&lt;100,"Good",M319&gt;=100,"Busy")</f>
        <v>Good</v>
      </c>
    </row>
    <row r="320" spans="1:14" x14ac:dyDescent="0.35">
      <c r="A320" s="85">
        <v>56</v>
      </c>
      <c r="B320" s="86">
        <v>44617</v>
      </c>
      <c r="C320" s="85" t="s">
        <v>39</v>
      </c>
      <c r="D320" s="85" t="s">
        <v>40</v>
      </c>
      <c r="E320" s="85" t="s">
        <v>50</v>
      </c>
      <c r="F320" s="85" t="s">
        <v>26</v>
      </c>
      <c r="G320" s="85" t="s">
        <v>43</v>
      </c>
      <c r="H320" s="87">
        <v>30.6</v>
      </c>
      <c r="I320" s="87">
        <v>71.217399999999998</v>
      </c>
      <c r="J320" s="87">
        <v>23.218112999999999</v>
      </c>
      <c r="K320" s="85">
        <v>5</v>
      </c>
      <c r="L320" s="85">
        <v>18</v>
      </c>
      <c r="M320" s="85">
        <f t="shared" si="4"/>
        <v>23</v>
      </c>
      <c r="N320" t="str" cm="1">
        <f t="array" ref="N320">_xlfn.IFS(M320&lt;40,"Queit",M320&lt;70,"Modest",M320&lt;100,"Good",M320&gt;=100,"Busy")</f>
        <v>Queit</v>
      </c>
    </row>
    <row r="321" spans="1:14" x14ac:dyDescent="0.35">
      <c r="A321" s="85">
        <v>59</v>
      </c>
      <c r="B321" s="86">
        <v>44620</v>
      </c>
      <c r="C321" s="85" t="s">
        <v>39</v>
      </c>
      <c r="D321" s="85" t="s">
        <v>40</v>
      </c>
      <c r="E321" s="85" t="s">
        <v>45</v>
      </c>
      <c r="F321" s="85" t="s">
        <v>26</v>
      </c>
      <c r="G321" s="85" t="s">
        <v>43</v>
      </c>
      <c r="H321" s="87">
        <v>28.762515</v>
      </c>
      <c r="I321" s="87">
        <v>87.636400000000009</v>
      </c>
      <c r="J321" s="87">
        <v>19.408961999999999</v>
      </c>
      <c r="K321" s="85">
        <v>16</v>
      </c>
      <c r="L321" s="85">
        <v>89</v>
      </c>
      <c r="M321" s="85">
        <f t="shared" si="4"/>
        <v>105</v>
      </c>
      <c r="N321" t="str" cm="1">
        <f t="array" ref="N321">_xlfn.IFS(M321&lt;40,"Queit",M321&lt;70,"Modest",M321&lt;100,"Good",M321&gt;=100,"Busy")</f>
        <v>Busy</v>
      </c>
    </row>
    <row r="322" spans="1:14" x14ac:dyDescent="0.35">
      <c r="A322" s="85">
        <v>339</v>
      </c>
      <c r="B322" s="86">
        <v>44900</v>
      </c>
      <c r="C322" s="85" t="s">
        <v>39</v>
      </c>
      <c r="D322" s="85" t="s">
        <v>40</v>
      </c>
      <c r="E322" s="85" t="s">
        <v>45</v>
      </c>
      <c r="F322" s="85" t="s">
        <v>26</v>
      </c>
      <c r="G322" s="85" t="s">
        <v>43</v>
      </c>
      <c r="H322" s="87">
        <v>30.524984999999997</v>
      </c>
      <c r="I322" s="87">
        <v>82.708300000000008</v>
      </c>
      <c r="J322" s="87">
        <v>4.1679561000000005</v>
      </c>
      <c r="K322" s="85">
        <v>13</v>
      </c>
      <c r="L322" s="85">
        <v>78</v>
      </c>
      <c r="M322" s="85">
        <f t="shared" ref="M322:M385" si="5">K322+L322</f>
        <v>91</v>
      </c>
      <c r="N322" t="str" cm="1">
        <f t="array" ref="N322">_xlfn.IFS(M322&lt;40,"Queit",M322&lt;70,"Modest",M322&lt;100,"Good",M322&gt;=100,"Busy")</f>
        <v>Good</v>
      </c>
    </row>
    <row r="323" spans="1:14" x14ac:dyDescent="0.35">
      <c r="A323" s="85">
        <v>348</v>
      </c>
      <c r="B323" s="86">
        <v>44909</v>
      </c>
      <c r="C323" s="85" t="s">
        <v>39</v>
      </c>
      <c r="D323" s="85" t="s">
        <v>40</v>
      </c>
      <c r="E323" s="85" t="s">
        <v>48</v>
      </c>
      <c r="F323" s="85" t="s">
        <v>26</v>
      </c>
      <c r="G323" s="85" t="s">
        <v>43</v>
      </c>
      <c r="H323" s="87">
        <v>28.200015</v>
      </c>
      <c r="I323" s="87">
        <v>66.375</v>
      </c>
      <c r="J323" s="87">
        <v>4.0842061000000003</v>
      </c>
      <c r="K323" s="85">
        <v>15</v>
      </c>
      <c r="L323" s="85">
        <v>88</v>
      </c>
      <c r="M323" s="85">
        <f t="shared" si="5"/>
        <v>103</v>
      </c>
      <c r="N323" t="str" cm="1">
        <f t="array" ref="N323">_xlfn.IFS(M323&lt;40,"Queit",M323&lt;70,"Modest",M323&lt;100,"Good",M323&gt;=100,"Busy")</f>
        <v>Busy</v>
      </c>
    </row>
    <row r="324" spans="1:14" x14ac:dyDescent="0.35">
      <c r="A324" s="85">
        <v>349</v>
      </c>
      <c r="B324" s="86">
        <v>44910</v>
      </c>
      <c r="C324" s="85" t="s">
        <v>39</v>
      </c>
      <c r="D324" s="85" t="s">
        <v>40</v>
      </c>
      <c r="E324" s="85" t="s">
        <v>49</v>
      </c>
      <c r="F324" s="85" t="s">
        <v>26</v>
      </c>
      <c r="G324" s="85" t="s">
        <v>43</v>
      </c>
      <c r="H324" s="87">
        <v>28.274985000000001</v>
      </c>
      <c r="I324" s="87">
        <v>63.416700000000006</v>
      </c>
      <c r="J324" s="87">
        <v>17.958814</v>
      </c>
      <c r="K324" s="85">
        <v>11</v>
      </c>
      <c r="L324" s="85">
        <v>64</v>
      </c>
      <c r="M324" s="85">
        <f t="shared" si="5"/>
        <v>75</v>
      </c>
      <c r="N324" t="str" cm="1">
        <f t="array" ref="N324">_xlfn.IFS(M324&lt;40,"Queit",M324&lt;70,"Modest",M324&lt;100,"Good",M324&gt;=100,"Busy")</f>
        <v>Good</v>
      </c>
    </row>
    <row r="325" spans="1:14" x14ac:dyDescent="0.35">
      <c r="A325" s="85">
        <v>350</v>
      </c>
      <c r="B325" s="86">
        <v>44911</v>
      </c>
      <c r="C325" s="85" t="s">
        <v>39</v>
      </c>
      <c r="D325" s="85" t="s">
        <v>40</v>
      </c>
      <c r="E325" s="85" t="s">
        <v>50</v>
      </c>
      <c r="F325" s="85" t="s">
        <v>26</v>
      </c>
      <c r="G325" s="85" t="s">
        <v>43</v>
      </c>
      <c r="H325" s="87">
        <v>29.212515000000003</v>
      </c>
      <c r="I325" s="87">
        <v>50.041699999999999</v>
      </c>
      <c r="J325" s="87">
        <v>17.458525000000002</v>
      </c>
      <c r="K325" s="85">
        <v>17</v>
      </c>
      <c r="L325" s="85">
        <v>80</v>
      </c>
      <c r="M325" s="85">
        <f t="shared" si="5"/>
        <v>97</v>
      </c>
      <c r="N325" t="str" cm="1">
        <f t="array" ref="N325">_xlfn.IFS(M325&lt;40,"Queit",M325&lt;70,"Modest",M325&lt;100,"Good",M325&gt;=100,"Busy")</f>
        <v>Good</v>
      </c>
    </row>
    <row r="326" spans="1:14" x14ac:dyDescent="0.35">
      <c r="A326" s="85">
        <v>351</v>
      </c>
      <c r="B326" s="86">
        <v>44912</v>
      </c>
      <c r="C326" s="85" t="s">
        <v>39</v>
      </c>
      <c r="D326" s="85" t="s">
        <v>40</v>
      </c>
      <c r="E326" s="85" t="s">
        <v>41</v>
      </c>
      <c r="F326" s="85" t="s">
        <v>42</v>
      </c>
      <c r="G326" s="85" t="s">
        <v>43</v>
      </c>
      <c r="H326" s="87">
        <v>31.350015000000003</v>
      </c>
      <c r="I326" s="87">
        <v>56.083300000000001</v>
      </c>
      <c r="J326" s="87">
        <v>16.292189</v>
      </c>
      <c r="K326" s="85">
        <v>36</v>
      </c>
      <c r="L326" s="85">
        <v>66</v>
      </c>
      <c r="M326" s="85">
        <f t="shared" si="5"/>
        <v>102</v>
      </c>
      <c r="N326" t="str" cm="1">
        <f t="array" ref="N326">_xlfn.IFS(M326&lt;40,"Queit",M326&lt;70,"Modest",M326&lt;100,"Good",M326&gt;=100,"Busy")</f>
        <v>Busy</v>
      </c>
    </row>
    <row r="327" spans="1:14" x14ac:dyDescent="0.35">
      <c r="A327" s="85">
        <v>354</v>
      </c>
      <c r="B327" s="86">
        <v>44915</v>
      </c>
      <c r="C327" s="85" t="s">
        <v>39</v>
      </c>
      <c r="D327" s="85" t="s">
        <v>40</v>
      </c>
      <c r="E327" s="85" t="s">
        <v>47</v>
      </c>
      <c r="F327" s="85" t="s">
        <v>26</v>
      </c>
      <c r="G327" s="85" t="s">
        <v>43</v>
      </c>
      <c r="H327" s="87">
        <v>30.637485000000002</v>
      </c>
      <c r="I327" s="87">
        <v>59.541699999999999</v>
      </c>
      <c r="J327" s="87">
        <v>4.1252436000000001</v>
      </c>
      <c r="K327" s="85">
        <v>15</v>
      </c>
      <c r="L327" s="85">
        <v>81</v>
      </c>
      <c r="M327" s="85">
        <f t="shared" si="5"/>
        <v>96</v>
      </c>
      <c r="N327" t="str" cm="1">
        <f t="array" ref="N327">_xlfn.IFS(M327&lt;40,"Queit",M327&lt;70,"Modest",M327&lt;100,"Good",M327&gt;=100,"Busy")</f>
        <v>Good</v>
      </c>
    </row>
    <row r="328" spans="1:14" x14ac:dyDescent="0.35">
      <c r="A328" s="85">
        <v>355</v>
      </c>
      <c r="B328" s="86">
        <v>44916</v>
      </c>
      <c r="C328" s="85" t="s">
        <v>39</v>
      </c>
      <c r="D328" s="85" t="s">
        <v>40</v>
      </c>
      <c r="E328" s="85" t="s">
        <v>48</v>
      </c>
      <c r="F328" s="85" t="s">
        <v>26</v>
      </c>
      <c r="G328" s="85" t="s">
        <v>43</v>
      </c>
      <c r="H328" s="87">
        <v>32.999985000000002</v>
      </c>
      <c r="I328" s="87">
        <v>85.833300000000008</v>
      </c>
      <c r="J328" s="87">
        <v>14.8338</v>
      </c>
      <c r="K328" s="85">
        <v>13</v>
      </c>
      <c r="L328" s="85">
        <v>77</v>
      </c>
      <c r="M328" s="85">
        <f t="shared" si="5"/>
        <v>90</v>
      </c>
      <c r="N328" t="str" cm="1">
        <f t="array" ref="N328">_xlfn.IFS(M328&lt;40,"Queit",M328&lt;70,"Modest",M328&lt;100,"Good",M328&gt;=100,"Busy")</f>
        <v>Good</v>
      </c>
    </row>
    <row r="329" spans="1:14" x14ac:dyDescent="0.35">
      <c r="A329" s="85">
        <v>356</v>
      </c>
      <c r="B329" s="86">
        <v>44917</v>
      </c>
      <c r="C329" s="85" t="s">
        <v>39</v>
      </c>
      <c r="D329" s="85" t="s">
        <v>40</v>
      </c>
      <c r="E329" s="85" t="s">
        <v>49</v>
      </c>
      <c r="F329" s="85" t="s">
        <v>26</v>
      </c>
      <c r="G329" s="85" t="s">
        <v>43</v>
      </c>
      <c r="H329" s="87">
        <v>32.774985000000001</v>
      </c>
      <c r="I329" s="87">
        <v>75.75</v>
      </c>
      <c r="J329" s="87">
        <v>3.1674249999999997</v>
      </c>
      <c r="K329" s="85">
        <v>15</v>
      </c>
      <c r="L329" s="85">
        <v>81</v>
      </c>
      <c r="M329" s="85">
        <f t="shared" si="5"/>
        <v>96</v>
      </c>
      <c r="N329" t="str" cm="1">
        <f t="array" ref="N329">_xlfn.IFS(M329&lt;40,"Queit",M329&lt;70,"Modest",M329&lt;100,"Good",M329&gt;=100,"Busy")</f>
        <v>Good</v>
      </c>
    </row>
    <row r="330" spans="1:14" x14ac:dyDescent="0.35">
      <c r="A330" s="85">
        <v>361</v>
      </c>
      <c r="B330" s="86">
        <v>44922</v>
      </c>
      <c r="C330" s="85" t="s">
        <v>39</v>
      </c>
      <c r="D330" s="85" t="s">
        <v>40</v>
      </c>
      <c r="E330" s="85" t="s">
        <v>47</v>
      </c>
      <c r="F330" s="85" t="s">
        <v>26</v>
      </c>
      <c r="G330" s="85" t="s">
        <v>43</v>
      </c>
      <c r="H330" s="87">
        <v>33.487515000000002</v>
      </c>
      <c r="I330" s="87">
        <v>76.25</v>
      </c>
      <c r="J330" s="87">
        <v>12.626150000000001</v>
      </c>
      <c r="K330" s="85">
        <v>15</v>
      </c>
      <c r="L330" s="85">
        <v>78</v>
      </c>
      <c r="M330" s="85">
        <f t="shared" si="5"/>
        <v>93</v>
      </c>
      <c r="N330" t="str" cm="1">
        <f t="array" ref="N330">_xlfn.IFS(M330&lt;40,"Queit",M330&lt;70,"Modest",M330&lt;100,"Good",M330&gt;=100,"Busy")</f>
        <v>Good</v>
      </c>
    </row>
    <row r="331" spans="1:14" x14ac:dyDescent="0.35">
      <c r="A331" s="85">
        <v>152</v>
      </c>
      <c r="B331" s="86">
        <v>44713</v>
      </c>
      <c r="C331" s="85" t="s">
        <v>53</v>
      </c>
      <c r="D331" s="85" t="s">
        <v>40</v>
      </c>
      <c r="E331" s="85" t="s">
        <v>48</v>
      </c>
      <c r="F331" s="85" t="s">
        <v>26</v>
      </c>
      <c r="G331" s="85" t="s">
        <v>43</v>
      </c>
      <c r="H331" s="87">
        <v>14.0625</v>
      </c>
      <c r="I331" s="87">
        <v>67.708299999999994</v>
      </c>
      <c r="J331" s="87">
        <v>13.875164</v>
      </c>
      <c r="K331" s="85">
        <v>4</v>
      </c>
      <c r="L331" s="85">
        <v>71</v>
      </c>
      <c r="M331" s="85">
        <f t="shared" si="5"/>
        <v>75</v>
      </c>
      <c r="N331" t="str" cm="1">
        <f t="array" ref="N331">_xlfn.IFS(M331&lt;40,"Queit",M331&lt;70,"Modest",M331&lt;100,"Good",M331&gt;=100,"Busy")</f>
        <v>Good</v>
      </c>
    </row>
    <row r="332" spans="1:14" x14ac:dyDescent="0.35">
      <c r="A332" s="85">
        <v>156</v>
      </c>
      <c r="B332" s="86">
        <v>44717</v>
      </c>
      <c r="C332" s="85" t="s">
        <v>53</v>
      </c>
      <c r="D332" s="85" t="s">
        <v>40</v>
      </c>
      <c r="E332" s="85" t="s">
        <v>44</v>
      </c>
      <c r="F332" s="85" t="s">
        <v>42</v>
      </c>
      <c r="G332" s="85" t="s">
        <v>43</v>
      </c>
      <c r="H332" s="87">
        <v>17.362485</v>
      </c>
      <c r="I332" s="87">
        <v>65.25</v>
      </c>
      <c r="J332" s="87">
        <v>9.292364000000001</v>
      </c>
      <c r="K332" s="85">
        <v>5</v>
      </c>
      <c r="L332" s="85">
        <v>72</v>
      </c>
      <c r="M332" s="85">
        <f t="shared" si="5"/>
        <v>77</v>
      </c>
      <c r="N332" t="str" cm="1">
        <f t="array" ref="N332">_xlfn.IFS(M332&lt;40,"Queit",M332&lt;70,"Modest",M332&lt;100,"Good",M332&gt;=100,"Busy")</f>
        <v>Good</v>
      </c>
    </row>
    <row r="333" spans="1:14" x14ac:dyDescent="0.35">
      <c r="A333" s="85">
        <v>160</v>
      </c>
      <c r="B333" s="86">
        <v>44721</v>
      </c>
      <c r="C333" s="85" t="s">
        <v>53</v>
      </c>
      <c r="D333" s="85" t="s">
        <v>40</v>
      </c>
      <c r="E333" s="85" t="s">
        <v>49</v>
      </c>
      <c r="F333" s="85" t="s">
        <v>26</v>
      </c>
      <c r="G333" s="85" t="s">
        <v>43</v>
      </c>
      <c r="H333" s="87">
        <v>13.087485000000001</v>
      </c>
      <c r="I333" s="87">
        <v>56.833299999999994</v>
      </c>
      <c r="J333" s="87">
        <v>10.042161</v>
      </c>
      <c r="K333" s="85">
        <v>5</v>
      </c>
      <c r="L333" s="85">
        <v>67</v>
      </c>
      <c r="M333" s="85">
        <f t="shared" si="5"/>
        <v>72</v>
      </c>
      <c r="N333" t="str" cm="1">
        <f t="array" ref="N333">_xlfn.IFS(M333&lt;40,"Queit",M333&lt;70,"Modest",M333&lt;100,"Good",M333&gt;=100,"Busy")</f>
        <v>Good</v>
      </c>
    </row>
    <row r="334" spans="1:14" x14ac:dyDescent="0.35">
      <c r="A334" s="85">
        <v>167</v>
      </c>
      <c r="B334" s="86">
        <v>44728</v>
      </c>
      <c r="C334" s="85" t="s">
        <v>53</v>
      </c>
      <c r="D334" s="85" t="s">
        <v>40</v>
      </c>
      <c r="E334" s="85" t="s">
        <v>49</v>
      </c>
      <c r="F334" s="85" t="s">
        <v>26</v>
      </c>
      <c r="G334" s="85" t="s">
        <v>43</v>
      </c>
      <c r="H334" s="87">
        <v>16.875</v>
      </c>
      <c r="I334" s="87">
        <v>68.833299999999994</v>
      </c>
      <c r="J334" s="87">
        <v>13.833556999999999</v>
      </c>
      <c r="K334" s="85">
        <v>4</v>
      </c>
      <c r="L334" s="85">
        <v>68</v>
      </c>
      <c r="M334" s="85">
        <f t="shared" si="5"/>
        <v>72</v>
      </c>
      <c r="N334" t="str" cm="1">
        <f t="array" ref="N334">_xlfn.IFS(M334&lt;40,"Queit",M334&lt;70,"Modest",M334&lt;100,"Good",M334&gt;=100,"Busy")</f>
        <v>Good</v>
      </c>
    </row>
    <row r="335" spans="1:14" x14ac:dyDescent="0.35">
      <c r="A335" s="85">
        <v>170</v>
      </c>
      <c r="B335" s="86">
        <v>44731</v>
      </c>
      <c r="C335" s="85" t="s">
        <v>53</v>
      </c>
      <c r="D335" s="85" t="s">
        <v>40</v>
      </c>
      <c r="E335" s="85" t="s">
        <v>44</v>
      </c>
      <c r="F335" s="85" t="s">
        <v>42</v>
      </c>
      <c r="G335" s="85" t="s">
        <v>43</v>
      </c>
      <c r="H335" s="87">
        <v>12.450015</v>
      </c>
      <c r="I335" s="87">
        <v>66.666700000000006</v>
      </c>
      <c r="J335" s="87">
        <v>6.8339999999999996</v>
      </c>
      <c r="K335" s="85">
        <v>5</v>
      </c>
      <c r="L335" s="85">
        <v>63</v>
      </c>
      <c r="M335" s="85">
        <f t="shared" si="5"/>
        <v>68</v>
      </c>
      <c r="N335" t="str" cm="1">
        <f t="array" ref="N335">_xlfn.IFS(M335&lt;40,"Queit",M335&lt;70,"Modest",M335&lt;100,"Good",M335&gt;=100,"Busy")</f>
        <v>Modest</v>
      </c>
    </row>
    <row r="336" spans="1:14" x14ac:dyDescent="0.35">
      <c r="A336" s="85">
        <v>171</v>
      </c>
      <c r="B336" s="86">
        <v>44732</v>
      </c>
      <c r="C336" s="85" t="s">
        <v>53</v>
      </c>
      <c r="D336" s="85" t="s">
        <v>40</v>
      </c>
      <c r="E336" s="85" t="s">
        <v>45</v>
      </c>
      <c r="F336" s="85" t="s">
        <v>26</v>
      </c>
      <c r="G336" s="85" t="s">
        <v>43</v>
      </c>
      <c r="H336" s="87">
        <v>17.362485</v>
      </c>
      <c r="I336" s="87">
        <v>74.625</v>
      </c>
      <c r="J336" s="87">
        <v>10.416824999999999</v>
      </c>
      <c r="K336" s="85">
        <v>4</v>
      </c>
      <c r="L336" s="85">
        <v>71</v>
      </c>
      <c r="M336" s="85">
        <f t="shared" si="5"/>
        <v>75</v>
      </c>
      <c r="N336" t="str" cm="1">
        <f t="array" ref="N336">_xlfn.IFS(M336&lt;40,"Queit",M336&lt;70,"Modest",M336&lt;100,"Good",M336&gt;=100,"Busy")</f>
        <v>Good</v>
      </c>
    </row>
    <row r="337" spans="1:14" x14ac:dyDescent="0.35">
      <c r="A337" s="85">
        <v>172</v>
      </c>
      <c r="B337" s="86">
        <v>44733</v>
      </c>
      <c r="C337" s="85" t="s">
        <v>53</v>
      </c>
      <c r="D337" s="85" t="s">
        <v>40</v>
      </c>
      <c r="E337" s="85" t="s">
        <v>47</v>
      </c>
      <c r="F337" s="85" t="s">
        <v>26</v>
      </c>
      <c r="G337" s="85" t="s">
        <v>43</v>
      </c>
      <c r="H337" s="87">
        <v>19.274985000000001</v>
      </c>
      <c r="I337" s="87">
        <v>77.041700000000006</v>
      </c>
      <c r="J337" s="87">
        <v>11.458675000000001</v>
      </c>
      <c r="K337" s="85">
        <v>2</v>
      </c>
      <c r="L337" s="85">
        <v>51</v>
      </c>
      <c r="M337" s="85">
        <f t="shared" si="5"/>
        <v>53</v>
      </c>
      <c r="N337" t="str" cm="1">
        <f t="array" ref="N337">_xlfn.IFS(M337&lt;40,"Queit",M337&lt;70,"Modest",M337&lt;100,"Good",M337&gt;=100,"Busy")</f>
        <v>Modest</v>
      </c>
    </row>
    <row r="338" spans="1:14" x14ac:dyDescent="0.35">
      <c r="A338" s="85">
        <v>174</v>
      </c>
      <c r="B338" s="86">
        <v>44735</v>
      </c>
      <c r="C338" s="85" t="s">
        <v>53</v>
      </c>
      <c r="D338" s="85" t="s">
        <v>40</v>
      </c>
      <c r="E338" s="85" t="s">
        <v>49</v>
      </c>
      <c r="F338" s="85" t="s">
        <v>26</v>
      </c>
      <c r="G338" s="85" t="s">
        <v>43</v>
      </c>
      <c r="H338" s="87">
        <v>16.799985</v>
      </c>
      <c r="I338" s="87">
        <v>70.333299999999994</v>
      </c>
      <c r="J338" s="87">
        <v>15.999867999999999</v>
      </c>
      <c r="K338" s="85">
        <v>3</v>
      </c>
      <c r="L338" s="85">
        <v>41</v>
      </c>
      <c r="M338" s="85">
        <f t="shared" si="5"/>
        <v>44</v>
      </c>
      <c r="N338" t="str" cm="1">
        <f t="array" ref="N338">_xlfn.IFS(M338&lt;40,"Queit",M338&lt;70,"Modest",M338&lt;100,"Good",M338&gt;=100,"Busy")</f>
        <v>Modest</v>
      </c>
    </row>
    <row r="339" spans="1:14" x14ac:dyDescent="0.35">
      <c r="A339" s="85">
        <v>178</v>
      </c>
      <c r="B339" s="86">
        <v>44739</v>
      </c>
      <c r="C339" s="85" t="s">
        <v>53</v>
      </c>
      <c r="D339" s="85" t="s">
        <v>40</v>
      </c>
      <c r="E339" s="85" t="s">
        <v>45</v>
      </c>
      <c r="F339" s="85" t="s">
        <v>26</v>
      </c>
      <c r="G339" s="85" t="s">
        <v>43</v>
      </c>
      <c r="H339" s="87">
        <v>14.625</v>
      </c>
      <c r="I339" s="87">
        <v>65.833299999999994</v>
      </c>
      <c r="J339" s="87">
        <v>7.2083960000000005</v>
      </c>
      <c r="K339" s="85">
        <v>2</v>
      </c>
      <c r="L339" s="85">
        <v>21</v>
      </c>
      <c r="M339" s="85">
        <f t="shared" si="5"/>
        <v>23</v>
      </c>
      <c r="N339" t="str" cm="1">
        <f t="array" ref="N339">_xlfn.IFS(M339&lt;40,"Queit",M339&lt;70,"Modest",M339&lt;100,"Good",M339&gt;=100,"Busy")</f>
        <v>Queit</v>
      </c>
    </row>
    <row r="340" spans="1:14" x14ac:dyDescent="0.35">
      <c r="A340" s="85">
        <v>184</v>
      </c>
      <c r="B340" s="86">
        <v>44745</v>
      </c>
      <c r="C340" s="85" t="s">
        <v>53</v>
      </c>
      <c r="D340" s="85" t="s">
        <v>40</v>
      </c>
      <c r="E340" s="85" t="s">
        <v>44</v>
      </c>
      <c r="F340" s="85" t="s">
        <v>42</v>
      </c>
      <c r="G340" s="85" t="s">
        <v>43</v>
      </c>
      <c r="H340" s="87">
        <v>16.35651</v>
      </c>
      <c r="I340" s="87">
        <v>68.25</v>
      </c>
      <c r="J340" s="87">
        <v>15.333486000000001</v>
      </c>
      <c r="K340" s="85">
        <v>3</v>
      </c>
      <c r="L340" s="85">
        <v>13</v>
      </c>
      <c r="M340" s="85">
        <f t="shared" si="5"/>
        <v>16</v>
      </c>
      <c r="N340" t="str" cm="1">
        <f t="array" ref="N340">_xlfn.IFS(M340&lt;40,"Queit",M340&lt;70,"Modest",M340&lt;100,"Good",M340&gt;=100,"Busy")</f>
        <v>Queit</v>
      </c>
    </row>
    <row r="341" spans="1:14" x14ac:dyDescent="0.35">
      <c r="A341" s="85">
        <v>185</v>
      </c>
      <c r="B341" s="86">
        <v>44746</v>
      </c>
      <c r="C341" s="85" t="s">
        <v>53</v>
      </c>
      <c r="D341" s="85" t="s">
        <v>22</v>
      </c>
      <c r="E341" s="85" t="s">
        <v>45</v>
      </c>
      <c r="F341" s="85" t="s">
        <v>42</v>
      </c>
      <c r="G341" s="85" t="s">
        <v>43</v>
      </c>
      <c r="H341" s="87">
        <v>8.8363800000000001</v>
      </c>
      <c r="I341" s="87">
        <v>63.791699999999999</v>
      </c>
      <c r="J341" s="87">
        <v>5.4591064000000005</v>
      </c>
      <c r="K341" s="85">
        <v>2</v>
      </c>
      <c r="L341" s="85">
        <v>25</v>
      </c>
      <c r="M341" s="85">
        <f t="shared" si="5"/>
        <v>27</v>
      </c>
      <c r="N341" t="str" cm="1">
        <f t="array" ref="N341">_xlfn.IFS(M341&lt;40,"Queit",M341&lt;70,"Modest",M341&lt;100,"Good",M341&gt;=100,"Busy")</f>
        <v>Queit</v>
      </c>
    </row>
    <row r="342" spans="1:14" x14ac:dyDescent="0.35">
      <c r="A342" s="85">
        <v>189</v>
      </c>
      <c r="B342" s="86">
        <v>44750</v>
      </c>
      <c r="C342" s="85" t="s">
        <v>53</v>
      </c>
      <c r="D342" s="85" t="s">
        <v>40</v>
      </c>
      <c r="E342" s="85" t="s">
        <v>50</v>
      </c>
      <c r="F342" s="85" t="s">
        <v>26</v>
      </c>
      <c r="G342" s="85" t="s">
        <v>43</v>
      </c>
      <c r="H342" s="87">
        <v>8.843490000000001</v>
      </c>
      <c r="I342" s="87">
        <v>75.791699999999992</v>
      </c>
      <c r="J342" s="87">
        <v>15.083643</v>
      </c>
      <c r="K342" s="85">
        <v>3</v>
      </c>
      <c r="L342" s="85">
        <v>27</v>
      </c>
      <c r="M342" s="85">
        <f t="shared" si="5"/>
        <v>30</v>
      </c>
      <c r="N342" t="str" cm="1">
        <f t="array" ref="N342">_xlfn.IFS(M342&lt;40,"Queit",M342&lt;70,"Modest",M342&lt;100,"Good",M342&gt;=100,"Busy")</f>
        <v>Queit</v>
      </c>
    </row>
    <row r="343" spans="1:14" x14ac:dyDescent="0.35">
      <c r="A343" s="85">
        <v>202</v>
      </c>
      <c r="B343" s="86">
        <v>44763</v>
      </c>
      <c r="C343" s="85" t="s">
        <v>53</v>
      </c>
      <c r="D343" s="85" t="s">
        <v>40</v>
      </c>
      <c r="E343" s="85" t="s">
        <v>49</v>
      </c>
      <c r="F343" s="85" t="s">
        <v>26</v>
      </c>
      <c r="G343" s="85" t="s">
        <v>43</v>
      </c>
      <c r="H343" s="87">
        <v>11.775015</v>
      </c>
      <c r="I343" s="87">
        <v>69.125</v>
      </c>
      <c r="J343" s="87">
        <v>14.875406999999999</v>
      </c>
      <c r="K343" s="85">
        <v>2</v>
      </c>
      <c r="L343" s="85">
        <v>37</v>
      </c>
      <c r="M343" s="85">
        <f t="shared" si="5"/>
        <v>39</v>
      </c>
      <c r="N343" t="str" cm="1">
        <f t="array" ref="N343">_xlfn.IFS(M343&lt;40,"Queit",M343&lt;70,"Modest",M343&lt;100,"Good",M343&gt;=100,"Busy")</f>
        <v>Queit</v>
      </c>
    </row>
    <row r="344" spans="1:14" x14ac:dyDescent="0.35">
      <c r="A344" s="85">
        <v>215</v>
      </c>
      <c r="B344" s="86">
        <v>44776</v>
      </c>
      <c r="C344" s="85" t="s">
        <v>53</v>
      </c>
      <c r="D344" s="85" t="s">
        <v>40</v>
      </c>
      <c r="E344" s="85" t="s">
        <v>48</v>
      </c>
      <c r="F344" s="85" t="s">
        <v>26</v>
      </c>
      <c r="G344" s="85" t="s">
        <v>43</v>
      </c>
      <c r="H344" s="87">
        <v>11.700000000000001</v>
      </c>
      <c r="I344" s="87">
        <v>65.75</v>
      </c>
      <c r="J344" s="87">
        <v>9.0840610000000002</v>
      </c>
      <c r="K344" s="85">
        <v>1</v>
      </c>
      <c r="L344" s="85">
        <v>29</v>
      </c>
      <c r="M344" s="85">
        <f t="shared" si="5"/>
        <v>30</v>
      </c>
      <c r="N344" t="str" cm="1">
        <f t="array" ref="N344">_xlfn.IFS(M344&lt;40,"Queit",M344&lt;70,"Modest",M344&lt;100,"Good",M344&gt;=100,"Busy")</f>
        <v>Queit</v>
      </c>
    </row>
    <row r="345" spans="1:14" x14ac:dyDescent="0.35">
      <c r="A345" s="85">
        <v>216</v>
      </c>
      <c r="B345" s="86">
        <v>44777</v>
      </c>
      <c r="C345" s="85" t="s">
        <v>53</v>
      </c>
      <c r="D345" s="85" t="s">
        <v>40</v>
      </c>
      <c r="E345" s="85" t="s">
        <v>49</v>
      </c>
      <c r="F345" s="85" t="s">
        <v>26</v>
      </c>
      <c r="G345" s="85" t="s">
        <v>43</v>
      </c>
      <c r="H345" s="87">
        <v>8.4130650000000013</v>
      </c>
      <c r="I345" s="87">
        <v>75.75</v>
      </c>
      <c r="J345" s="87">
        <v>13.20905</v>
      </c>
      <c r="K345" s="85">
        <v>1</v>
      </c>
      <c r="L345" s="85">
        <v>30</v>
      </c>
      <c r="M345" s="85">
        <f t="shared" si="5"/>
        <v>31</v>
      </c>
      <c r="N345" t="str" cm="1">
        <f t="array" ref="N345">_xlfn.IFS(M345&lt;40,"Queit",M345&lt;70,"Modest",M345&lt;100,"Good",M345&gt;=100,"Busy")</f>
        <v>Queit</v>
      </c>
    </row>
    <row r="346" spans="1:14" x14ac:dyDescent="0.35">
      <c r="A346" s="85">
        <v>218</v>
      </c>
      <c r="B346" s="86">
        <v>44779</v>
      </c>
      <c r="C346" s="85" t="s">
        <v>53</v>
      </c>
      <c r="D346" s="85" t="s">
        <v>40</v>
      </c>
      <c r="E346" s="85" t="s">
        <v>41</v>
      </c>
      <c r="F346" s="85" t="s">
        <v>42</v>
      </c>
      <c r="G346" s="85" t="s">
        <v>43</v>
      </c>
      <c r="H346" s="87">
        <v>10.499985000000001</v>
      </c>
      <c r="I346" s="87">
        <v>75.5</v>
      </c>
      <c r="J346" s="87">
        <v>15.29275</v>
      </c>
      <c r="K346" s="85">
        <v>2</v>
      </c>
      <c r="L346" s="85">
        <v>18</v>
      </c>
      <c r="M346" s="85">
        <f t="shared" si="5"/>
        <v>20</v>
      </c>
      <c r="N346" t="str" cm="1">
        <f t="array" ref="N346">_xlfn.IFS(M346&lt;40,"Queit",M346&lt;70,"Modest",M346&lt;100,"Good",M346&gt;=100,"Busy")</f>
        <v>Queit</v>
      </c>
    </row>
    <row r="347" spans="1:14" x14ac:dyDescent="0.35">
      <c r="A347" s="85">
        <v>225</v>
      </c>
      <c r="B347" s="86">
        <v>44786</v>
      </c>
      <c r="C347" s="85" t="s">
        <v>53</v>
      </c>
      <c r="D347" s="85" t="s">
        <v>40</v>
      </c>
      <c r="E347" s="85" t="s">
        <v>41</v>
      </c>
      <c r="F347" s="85" t="s">
        <v>42</v>
      </c>
      <c r="G347" s="85" t="s">
        <v>43</v>
      </c>
      <c r="H347" s="87">
        <v>10.012499999999999</v>
      </c>
      <c r="I347" s="87">
        <v>72.958299999999994</v>
      </c>
      <c r="J347" s="87">
        <v>14.167418</v>
      </c>
      <c r="K347" s="85">
        <v>6</v>
      </c>
      <c r="L347" s="85">
        <v>24</v>
      </c>
      <c r="M347" s="85">
        <f t="shared" si="5"/>
        <v>30</v>
      </c>
      <c r="N347" t="str" cm="1">
        <f t="array" ref="N347">_xlfn.IFS(M347&lt;40,"Queit",M347&lt;70,"Modest",M347&lt;100,"Good",M347&gt;=100,"Busy")</f>
        <v>Queit</v>
      </c>
    </row>
    <row r="348" spans="1:14" x14ac:dyDescent="0.35">
      <c r="A348" s="85">
        <v>226</v>
      </c>
      <c r="B348" s="86">
        <v>44787</v>
      </c>
      <c r="C348" s="85" t="s">
        <v>53</v>
      </c>
      <c r="D348" s="85" t="s">
        <v>40</v>
      </c>
      <c r="E348" s="85" t="s">
        <v>44</v>
      </c>
      <c r="F348" s="85" t="s">
        <v>42</v>
      </c>
      <c r="G348" s="85" t="s">
        <v>43</v>
      </c>
      <c r="H348" s="87">
        <v>14.243490000000001</v>
      </c>
      <c r="I348" s="87">
        <v>81.75</v>
      </c>
      <c r="J348" s="87">
        <v>14.916411</v>
      </c>
      <c r="K348" s="85">
        <v>8</v>
      </c>
      <c r="L348" s="85">
        <v>24</v>
      </c>
      <c r="M348" s="85">
        <f t="shared" si="5"/>
        <v>32</v>
      </c>
      <c r="N348" t="str" cm="1">
        <f t="array" ref="N348">_xlfn.IFS(M348&lt;40,"Queit",M348&lt;70,"Modest",M348&lt;100,"Good",M348&gt;=100,"Busy")</f>
        <v>Queit</v>
      </c>
    </row>
    <row r="349" spans="1:14" x14ac:dyDescent="0.35">
      <c r="A349" s="85">
        <v>231</v>
      </c>
      <c r="B349" s="86">
        <v>44792</v>
      </c>
      <c r="C349" s="85" t="s">
        <v>53</v>
      </c>
      <c r="D349" s="85" t="s">
        <v>40</v>
      </c>
      <c r="E349" s="85" t="s">
        <v>50</v>
      </c>
      <c r="F349" s="85" t="s">
        <v>26</v>
      </c>
      <c r="G349" s="85" t="s">
        <v>43</v>
      </c>
      <c r="H349" s="87">
        <v>23.475014999999999</v>
      </c>
      <c r="I349" s="87">
        <v>72.291700000000006</v>
      </c>
      <c r="J349" s="87">
        <v>9.3336359999999985</v>
      </c>
      <c r="K349" s="85">
        <v>12</v>
      </c>
      <c r="L349" s="85">
        <v>47</v>
      </c>
      <c r="M349" s="85">
        <f t="shared" si="5"/>
        <v>59</v>
      </c>
      <c r="N349" t="str" cm="1">
        <f t="array" ref="N349">_xlfn.IFS(M349&lt;40,"Queit",M349&lt;70,"Modest",M349&lt;100,"Good",M349&gt;=100,"Busy")</f>
        <v>Modest</v>
      </c>
    </row>
    <row r="350" spans="1:14" x14ac:dyDescent="0.35">
      <c r="A350" s="85">
        <v>237</v>
      </c>
      <c r="B350" s="86">
        <v>44798</v>
      </c>
      <c r="C350" s="85" t="s">
        <v>53</v>
      </c>
      <c r="D350" s="85" t="s">
        <v>40</v>
      </c>
      <c r="E350" s="85" t="s">
        <v>49</v>
      </c>
      <c r="F350" s="85" t="s">
        <v>26</v>
      </c>
      <c r="G350" s="85" t="s">
        <v>43</v>
      </c>
      <c r="H350" s="87">
        <v>13.304340000000002</v>
      </c>
      <c r="I350" s="87">
        <v>77.166700000000006</v>
      </c>
      <c r="J350" s="87">
        <v>14.125810999999999</v>
      </c>
      <c r="K350" s="85">
        <v>2</v>
      </c>
      <c r="L350" s="85">
        <v>34</v>
      </c>
      <c r="M350" s="85">
        <f t="shared" si="5"/>
        <v>36</v>
      </c>
      <c r="N350" t="str" cm="1">
        <f t="array" ref="N350">_xlfn.IFS(M350&lt;40,"Queit",M350&lt;70,"Modest",M350&lt;100,"Good",M350&gt;=100,"Busy")</f>
        <v>Queit</v>
      </c>
    </row>
    <row r="351" spans="1:14" x14ac:dyDescent="0.35">
      <c r="A351" s="85">
        <v>239</v>
      </c>
      <c r="B351" s="86">
        <v>44800</v>
      </c>
      <c r="C351" s="85" t="s">
        <v>53</v>
      </c>
      <c r="D351" s="85" t="s">
        <v>40</v>
      </c>
      <c r="E351" s="85" t="s">
        <v>41</v>
      </c>
      <c r="F351" s="85" t="s">
        <v>42</v>
      </c>
      <c r="G351" s="85" t="s">
        <v>43</v>
      </c>
      <c r="H351" s="87">
        <v>12.712499999999999</v>
      </c>
      <c r="I351" s="87">
        <v>85</v>
      </c>
      <c r="J351" s="87">
        <v>25.166338999999997</v>
      </c>
      <c r="K351" s="85">
        <v>8</v>
      </c>
      <c r="L351" s="85">
        <v>31</v>
      </c>
      <c r="M351" s="85">
        <f t="shared" si="5"/>
        <v>39</v>
      </c>
      <c r="N351" t="str" cm="1">
        <f t="array" ref="N351">_xlfn.IFS(M351&lt;40,"Queit",M351&lt;70,"Modest",M351&lt;100,"Good",M351&gt;=100,"Busy")</f>
        <v>Queit</v>
      </c>
    </row>
    <row r="352" spans="1:14" x14ac:dyDescent="0.35">
      <c r="A352" s="85">
        <v>69</v>
      </c>
      <c r="B352" s="86">
        <v>44630</v>
      </c>
      <c r="C352" s="85" t="s">
        <v>52</v>
      </c>
      <c r="D352" s="85" t="s">
        <v>40</v>
      </c>
      <c r="E352" s="85" t="s">
        <v>49</v>
      </c>
      <c r="F352" s="85" t="s">
        <v>26</v>
      </c>
      <c r="G352" s="85" t="s">
        <v>51</v>
      </c>
      <c r="H352" s="87">
        <v>29.25</v>
      </c>
      <c r="I352" s="87">
        <v>0</v>
      </c>
      <c r="J352" s="87">
        <v>17.545759</v>
      </c>
      <c r="K352" s="85">
        <v>8</v>
      </c>
      <c r="L352" s="85">
        <v>63</v>
      </c>
      <c r="M352" s="85">
        <f t="shared" si="5"/>
        <v>71</v>
      </c>
      <c r="N352" t="str" cm="1">
        <f t="array" ref="N352">_xlfn.IFS(M352&lt;40,"Queit",M352&lt;70,"Modest",M352&lt;100,"Good",M352&gt;=100,"Busy")</f>
        <v>Good</v>
      </c>
    </row>
    <row r="353" spans="1:14" x14ac:dyDescent="0.35">
      <c r="A353" s="85">
        <v>90</v>
      </c>
      <c r="B353" s="86">
        <v>44651</v>
      </c>
      <c r="C353" s="85" t="s">
        <v>52</v>
      </c>
      <c r="D353" s="85" t="s">
        <v>40</v>
      </c>
      <c r="E353" s="85" t="s">
        <v>49</v>
      </c>
      <c r="F353" s="85" t="s">
        <v>26</v>
      </c>
      <c r="G353" s="85" t="s">
        <v>51</v>
      </c>
      <c r="H353" s="87">
        <v>25.387515</v>
      </c>
      <c r="I353" s="87">
        <v>91.833299999999994</v>
      </c>
      <c r="J353" s="87">
        <v>14.582282000000001</v>
      </c>
      <c r="K353" s="85">
        <v>17</v>
      </c>
      <c r="L353" s="85">
        <v>87</v>
      </c>
      <c r="M353" s="85">
        <f t="shared" si="5"/>
        <v>104</v>
      </c>
      <c r="N353" t="str" cm="1">
        <f t="array" ref="N353">_xlfn.IFS(M353&lt;40,"Queit",M353&lt;70,"Modest",M353&lt;100,"Good",M353&gt;=100,"Busy")</f>
        <v>Busy</v>
      </c>
    </row>
    <row r="354" spans="1:14" x14ac:dyDescent="0.35">
      <c r="A354" s="85">
        <v>106</v>
      </c>
      <c r="B354" s="86">
        <v>44667</v>
      </c>
      <c r="C354" s="85" t="s">
        <v>52</v>
      </c>
      <c r="D354" s="85" t="s">
        <v>40</v>
      </c>
      <c r="E354" s="85" t="s">
        <v>41</v>
      </c>
      <c r="F354" s="85" t="s">
        <v>42</v>
      </c>
      <c r="G354" s="85" t="s">
        <v>51</v>
      </c>
      <c r="H354" s="87">
        <v>23.025015</v>
      </c>
      <c r="I354" s="87">
        <v>88.833300000000008</v>
      </c>
      <c r="J354" s="87">
        <v>22.834136000000001</v>
      </c>
      <c r="K354" s="85">
        <v>35</v>
      </c>
      <c r="L354" s="85">
        <v>66</v>
      </c>
      <c r="M354" s="85">
        <f t="shared" si="5"/>
        <v>101</v>
      </c>
      <c r="N354" t="str" cm="1">
        <f t="array" ref="N354">_xlfn.IFS(M354&lt;40,"Queit",M354&lt;70,"Modest",M354&lt;100,"Good",M354&gt;=100,"Busy")</f>
        <v>Busy</v>
      </c>
    </row>
    <row r="355" spans="1:14" x14ac:dyDescent="0.35">
      <c r="A355" s="85">
        <v>249</v>
      </c>
      <c r="B355" s="86">
        <v>44810</v>
      </c>
      <c r="C355" s="85" t="s">
        <v>54</v>
      </c>
      <c r="D355" s="85" t="s">
        <v>40</v>
      </c>
      <c r="E355" s="85" t="s">
        <v>47</v>
      </c>
      <c r="F355" s="85" t="s">
        <v>26</v>
      </c>
      <c r="G355" s="85" t="s">
        <v>51</v>
      </c>
      <c r="H355" s="87">
        <v>13.1625</v>
      </c>
      <c r="I355" s="87">
        <v>88.695700000000002</v>
      </c>
      <c r="J355" s="87">
        <v>23.044180999999998</v>
      </c>
      <c r="K355" s="85">
        <v>6</v>
      </c>
      <c r="L355" s="85">
        <v>36</v>
      </c>
      <c r="M355" s="85">
        <f t="shared" si="5"/>
        <v>42</v>
      </c>
      <c r="N355" t="str" cm="1">
        <f t="array" ref="N355">_xlfn.IFS(M355&lt;40,"Queit",M355&lt;70,"Modest",M355&lt;100,"Good",M355&gt;=100,"Busy")</f>
        <v>Modest</v>
      </c>
    </row>
    <row r="356" spans="1:14" x14ac:dyDescent="0.35">
      <c r="A356" s="85">
        <v>250</v>
      </c>
      <c r="B356" s="86">
        <v>44811</v>
      </c>
      <c r="C356" s="85" t="s">
        <v>54</v>
      </c>
      <c r="D356" s="85" t="s">
        <v>40</v>
      </c>
      <c r="E356" s="85" t="s">
        <v>48</v>
      </c>
      <c r="F356" s="85" t="s">
        <v>26</v>
      </c>
      <c r="G356" s="85" t="s">
        <v>51</v>
      </c>
      <c r="H356" s="87">
        <v>13.312485000000001</v>
      </c>
      <c r="I356" s="87">
        <v>91.708299999999994</v>
      </c>
      <c r="J356" s="87">
        <v>6.5003936000000007</v>
      </c>
      <c r="K356" s="85">
        <v>4</v>
      </c>
      <c r="L356" s="85">
        <v>34</v>
      </c>
      <c r="M356" s="85">
        <f t="shared" si="5"/>
        <v>38</v>
      </c>
      <c r="N356" t="str" cm="1">
        <f t="array" ref="N356">_xlfn.IFS(M356&lt;40,"Queit",M356&lt;70,"Modest",M356&lt;100,"Good",M356&gt;=100,"Busy")</f>
        <v>Queit</v>
      </c>
    </row>
    <row r="357" spans="1:14" x14ac:dyDescent="0.35">
      <c r="A357" s="85">
        <v>251</v>
      </c>
      <c r="B357" s="86">
        <v>44812</v>
      </c>
      <c r="C357" s="85" t="s">
        <v>54</v>
      </c>
      <c r="D357" s="85" t="s">
        <v>40</v>
      </c>
      <c r="E357" s="85" t="s">
        <v>49</v>
      </c>
      <c r="F357" s="85" t="s">
        <v>26</v>
      </c>
      <c r="G357" s="85" t="s">
        <v>51</v>
      </c>
      <c r="H357" s="87">
        <v>17.509095000000002</v>
      </c>
      <c r="I357" s="87">
        <v>93.956500000000005</v>
      </c>
      <c r="J357" s="87">
        <v>12.914116</v>
      </c>
      <c r="K357" s="85">
        <v>1</v>
      </c>
      <c r="L357" s="85">
        <v>12</v>
      </c>
      <c r="M357" s="85">
        <f t="shared" si="5"/>
        <v>13</v>
      </c>
      <c r="N357" t="str" cm="1">
        <f t="array" ref="N357">_xlfn.IFS(M357&lt;40,"Queit",M357&lt;70,"Modest",M357&lt;100,"Good",M357&gt;=100,"Busy")</f>
        <v>Queit</v>
      </c>
    </row>
    <row r="358" spans="1:14" x14ac:dyDescent="0.35">
      <c r="A358" s="85">
        <v>285</v>
      </c>
      <c r="B358" s="86">
        <v>44846</v>
      </c>
      <c r="C358" s="85" t="s">
        <v>54</v>
      </c>
      <c r="D358" s="85" t="s">
        <v>40</v>
      </c>
      <c r="E358" s="85" t="s">
        <v>48</v>
      </c>
      <c r="F358" s="85" t="s">
        <v>26</v>
      </c>
      <c r="G358" s="85" t="s">
        <v>51</v>
      </c>
      <c r="H358" s="87">
        <v>18.5625</v>
      </c>
      <c r="I358" s="87">
        <v>90.625</v>
      </c>
      <c r="J358" s="87">
        <v>16.626049999999999</v>
      </c>
      <c r="K358" s="85">
        <v>4</v>
      </c>
      <c r="L358" s="85">
        <v>39</v>
      </c>
      <c r="M358" s="85">
        <f t="shared" si="5"/>
        <v>43</v>
      </c>
      <c r="N358" t="str" cm="1">
        <f t="array" ref="N358">_xlfn.IFS(M358&lt;40,"Queit",M358&lt;70,"Modest",M358&lt;100,"Good",M358&gt;=100,"Busy")</f>
        <v>Modest</v>
      </c>
    </row>
    <row r="359" spans="1:14" x14ac:dyDescent="0.35">
      <c r="A359" s="85">
        <v>292</v>
      </c>
      <c r="B359" s="86">
        <v>44853</v>
      </c>
      <c r="C359" s="85" t="s">
        <v>54</v>
      </c>
      <c r="D359" s="85" t="s">
        <v>40</v>
      </c>
      <c r="E359" s="85" t="s">
        <v>48</v>
      </c>
      <c r="F359" s="85" t="s">
        <v>26</v>
      </c>
      <c r="G359" s="85" t="s">
        <v>51</v>
      </c>
      <c r="H359" s="87">
        <v>26.774999999999999</v>
      </c>
      <c r="I359" s="87">
        <v>89.52170000000001</v>
      </c>
      <c r="J359" s="87">
        <v>16.303712999999998</v>
      </c>
      <c r="K359" s="85">
        <v>12</v>
      </c>
      <c r="L359" s="85">
        <v>67</v>
      </c>
      <c r="M359" s="85">
        <f t="shared" si="5"/>
        <v>79</v>
      </c>
      <c r="N359" t="str" cm="1">
        <f t="array" ref="N359">_xlfn.IFS(M359&lt;40,"Queit",M359&lt;70,"Modest",M359&lt;100,"Good",M359&gt;=100,"Busy")</f>
        <v>Good</v>
      </c>
    </row>
    <row r="360" spans="1:14" x14ac:dyDescent="0.35">
      <c r="A360" s="85">
        <v>302</v>
      </c>
      <c r="B360" s="86">
        <v>44863</v>
      </c>
      <c r="C360" s="85" t="s">
        <v>54</v>
      </c>
      <c r="D360" s="85" t="s">
        <v>40</v>
      </c>
      <c r="E360" s="85" t="s">
        <v>41</v>
      </c>
      <c r="F360" s="85" t="s">
        <v>42</v>
      </c>
      <c r="G360" s="85" t="s">
        <v>51</v>
      </c>
      <c r="H360" s="87">
        <v>21.262499999999999</v>
      </c>
      <c r="I360" s="87">
        <v>88.25</v>
      </c>
      <c r="J360" s="87">
        <v>23.541857</v>
      </c>
      <c r="K360" s="85">
        <v>39</v>
      </c>
      <c r="L360" s="85">
        <v>67</v>
      </c>
      <c r="M360" s="85">
        <f t="shared" si="5"/>
        <v>106</v>
      </c>
      <c r="N360" t="str" cm="1">
        <f t="array" ref="N360">_xlfn.IFS(M360&lt;40,"Queit",M360&lt;70,"Modest",M360&lt;100,"Good",M360&gt;=100,"Busy")</f>
        <v>Busy</v>
      </c>
    </row>
    <row r="361" spans="1:14" x14ac:dyDescent="0.35">
      <c r="A361" s="85">
        <v>320</v>
      </c>
      <c r="B361" s="86">
        <v>44881</v>
      </c>
      <c r="C361" s="85" t="s">
        <v>54</v>
      </c>
      <c r="D361" s="85" t="s">
        <v>40</v>
      </c>
      <c r="E361" s="85" t="s">
        <v>48</v>
      </c>
      <c r="F361" s="85" t="s">
        <v>26</v>
      </c>
      <c r="G361" s="85" t="s">
        <v>51</v>
      </c>
      <c r="H361" s="87">
        <v>24.750000000000004</v>
      </c>
      <c r="I361" s="87">
        <v>93</v>
      </c>
      <c r="J361" s="87">
        <v>9.1675430000000002</v>
      </c>
      <c r="K361" s="85">
        <v>11</v>
      </c>
      <c r="L361" s="85">
        <v>66</v>
      </c>
      <c r="M361" s="85">
        <f t="shared" si="5"/>
        <v>77</v>
      </c>
      <c r="N361" t="str" cm="1">
        <f t="array" ref="N361">_xlfn.IFS(M361&lt;40,"Queit",M361&lt;70,"Modest",M361&lt;100,"Good",M361&gt;=100,"Busy")</f>
        <v>Good</v>
      </c>
    </row>
    <row r="362" spans="1:14" x14ac:dyDescent="0.35">
      <c r="A362" s="85">
        <v>325</v>
      </c>
      <c r="B362" s="86">
        <v>44886</v>
      </c>
      <c r="C362" s="85" t="s">
        <v>54</v>
      </c>
      <c r="D362" s="85" t="s">
        <v>40</v>
      </c>
      <c r="E362" s="85" t="s">
        <v>45</v>
      </c>
      <c r="F362" s="85" t="s">
        <v>26</v>
      </c>
      <c r="G362" s="85" t="s">
        <v>51</v>
      </c>
      <c r="H362" s="87">
        <v>28.425014999999998</v>
      </c>
      <c r="I362" s="87">
        <v>91</v>
      </c>
      <c r="J362" s="87">
        <v>9.2496179999999999</v>
      </c>
      <c r="K362" s="85">
        <v>17</v>
      </c>
      <c r="L362" s="85">
        <v>69</v>
      </c>
      <c r="M362" s="85">
        <f t="shared" si="5"/>
        <v>86</v>
      </c>
      <c r="N362" t="str" cm="1">
        <f t="array" ref="N362">_xlfn.IFS(M362&lt;40,"Queit",M362&lt;70,"Modest",M362&lt;100,"Good",M362&gt;=100,"Busy")</f>
        <v>Good</v>
      </c>
    </row>
    <row r="363" spans="1:14" x14ac:dyDescent="0.35">
      <c r="A363" s="85">
        <v>326</v>
      </c>
      <c r="B363" s="86">
        <v>44887</v>
      </c>
      <c r="C363" s="85" t="s">
        <v>54</v>
      </c>
      <c r="D363" s="85" t="s">
        <v>40</v>
      </c>
      <c r="E363" s="85" t="s">
        <v>47</v>
      </c>
      <c r="F363" s="85" t="s">
        <v>26</v>
      </c>
      <c r="G363" s="85" t="s">
        <v>51</v>
      </c>
      <c r="H363" s="87">
        <v>29.700000000000003</v>
      </c>
      <c r="I363" s="87">
        <v>96.25</v>
      </c>
      <c r="J363" s="87">
        <v>7.9590639999999997</v>
      </c>
      <c r="K363" s="85">
        <v>13</v>
      </c>
      <c r="L363" s="85">
        <v>77</v>
      </c>
      <c r="M363" s="85">
        <f t="shared" si="5"/>
        <v>90</v>
      </c>
      <c r="N363" t="str" cm="1">
        <f t="array" ref="N363">_xlfn.IFS(M363&lt;40,"Queit",M363&lt;70,"Modest",M363&lt;100,"Good",M363&gt;=100,"Busy")</f>
        <v>Good</v>
      </c>
    </row>
    <row r="364" spans="1:14" x14ac:dyDescent="0.35">
      <c r="A364" s="85">
        <v>26</v>
      </c>
      <c r="B364" s="86">
        <v>44587</v>
      </c>
      <c r="C364" s="85" t="s">
        <v>39</v>
      </c>
      <c r="D364" s="85" t="s">
        <v>40</v>
      </c>
      <c r="E364" s="85" t="s">
        <v>48</v>
      </c>
      <c r="F364" s="85" t="s">
        <v>26</v>
      </c>
      <c r="G364" s="85" t="s">
        <v>51</v>
      </c>
      <c r="H364" s="87">
        <v>35.062515000000005</v>
      </c>
      <c r="I364" s="87">
        <v>86.25</v>
      </c>
      <c r="J364" s="87">
        <v>19.687950000000001</v>
      </c>
      <c r="K364" s="85">
        <v>12</v>
      </c>
      <c r="L364" s="85">
        <v>76</v>
      </c>
      <c r="M364" s="85">
        <f t="shared" si="5"/>
        <v>88</v>
      </c>
      <c r="N364" t="str" cm="1">
        <f t="array" ref="N364">_xlfn.IFS(M364&lt;40,"Queit",M364&lt;70,"Modest",M364&lt;100,"Good",M364&gt;=100,"Busy")</f>
        <v>Good</v>
      </c>
    </row>
    <row r="365" spans="1:14" x14ac:dyDescent="0.35">
      <c r="A365" s="85">
        <v>340</v>
      </c>
      <c r="B365" s="86">
        <v>44901</v>
      </c>
      <c r="C365" s="85" t="s">
        <v>39</v>
      </c>
      <c r="D365" s="85" t="s">
        <v>40</v>
      </c>
      <c r="E365" s="85" t="s">
        <v>47</v>
      </c>
      <c r="F365" s="85" t="s">
        <v>26</v>
      </c>
      <c r="G365" s="85" t="s">
        <v>51</v>
      </c>
      <c r="H365" s="87">
        <v>31.837500000000002</v>
      </c>
      <c r="I365" s="87">
        <v>94.958299999999994</v>
      </c>
      <c r="J365" s="87">
        <v>15.583061000000001</v>
      </c>
      <c r="K365" s="85">
        <v>15</v>
      </c>
      <c r="L365" s="85">
        <v>81</v>
      </c>
      <c r="M365" s="85">
        <f t="shared" si="5"/>
        <v>96</v>
      </c>
      <c r="N365" t="str" cm="1">
        <f t="array" ref="N365">_xlfn.IFS(M365&lt;40,"Queit",M365&lt;70,"Modest",M365&lt;100,"Good",M365&gt;=100,"Busy")</f>
        <v>Good</v>
      </c>
    </row>
    <row r="366" spans="1:14" x14ac:dyDescent="0.35">
      <c r="A366" s="85">
        <v>341</v>
      </c>
      <c r="B366" s="86">
        <v>44902</v>
      </c>
      <c r="C366" s="85" t="s">
        <v>39</v>
      </c>
      <c r="D366" s="85" t="s">
        <v>40</v>
      </c>
      <c r="E366" s="85" t="s">
        <v>48</v>
      </c>
      <c r="F366" s="85" t="s">
        <v>26</v>
      </c>
      <c r="G366" s="85" t="s">
        <v>51</v>
      </c>
      <c r="H366" s="87">
        <v>34.912484999999997</v>
      </c>
      <c r="I366" s="87">
        <v>97.041699999999992</v>
      </c>
      <c r="J366" s="87">
        <v>17.833725000000001</v>
      </c>
      <c r="K366" s="85">
        <v>14</v>
      </c>
      <c r="L366" s="85">
        <v>75</v>
      </c>
      <c r="M366" s="85">
        <f t="shared" si="5"/>
        <v>89</v>
      </c>
      <c r="N366" t="str" cm="1">
        <f t="array" ref="N366">_xlfn.IFS(M366&lt;40,"Queit",M366&lt;70,"Modest",M366&lt;100,"Good",M366&gt;=100,"Busy")</f>
        <v>Good</v>
      </c>
    </row>
  </sheetData>
  <autoFilter ref="A1:M366" xr:uid="{93516512-0AE1-4C36-8BF5-82AD4EAE2731}">
    <sortState xmlns:xlrd2="http://schemas.microsoft.com/office/spreadsheetml/2017/richdata2" ref="A2:M366">
      <sortCondition ref="G1:G36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F46AD-AC0C-4713-BEB1-F87C01737041}">
  <sheetPr>
    <pageSetUpPr fitToPage="1"/>
  </sheetPr>
  <dimension ref="A1:T366"/>
  <sheetViews>
    <sheetView topLeftCell="C8" zoomScale="77" zoomScaleNormal="51" workbookViewId="0">
      <selection activeCell="G19" sqref="G19"/>
    </sheetView>
  </sheetViews>
  <sheetFormatPr defaultColWidth="14.36328125" defaultRowHeight="20.149999999999999" customHeight="1" x14ac:dyDescent="0.35"/>
  <cols>
    <col min="1" max="2" width="6.36328125" style="24" customWidth="1"/>
    <col min="3" max="3" width="12.36328125" style="4" bestFit="1" customWidth="1"/>
    <col min="4" max="4" width="11.90625" style="24" bestFit="1" customWidth="1"/>
    <col min="5" max="5" width="26.36328125" style="4" bestFit="1" customWidth="1"/>
    <col min="6" max="6" width="34.81640625" style="4" bestFit="1" customWidth="1"/>
    <col min="7" max="19" width="14.36328125" style="4"/>
    <col min="20" max="20" width="14.36328125" style="85"/>
    <col min="21" max="16384" width="14.36328125" style="4"/>
  </cols>
  <sheetData>
    <row r="1" spans="1:20" ht="20.149999999999999" customHeight="1" thickBot="1" x14ac:dyDescent="0.4">
      <c r="A1" s="3" t="s">
        <v>3</v>
      </c>
      <c r="B1" s="3"/>
      <c r="D1" s="5" t="s">
        <v>4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 t="s">
        <v>62</v>
      </c>
      <c r="T1" s="84" t="s">
        <v>28</v>
      </c>
    </row>
    <row r="2" spans="1:20" ht="20.149999999999999" customHeight="1" x14ac:dyDescent="0.35">
      <c r="A2" s="8"/>
      <c r="B2" s="9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2"/>
      <c r="T2" s="85" t="s">
        <v>43</v>
      </c>
    </row>
    <row r="3" spans="1:20" ht="20.149999999999999" customHeight="1" x14ac:dyDescent="0.35">
      <c r="A3" s="8"/>
      <c r="B3" s="13"/>
      <c r="C3" s="21" t="s">
        <v>28</v>
      </c>
      <c r="D3" s="14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15"/>
      <c r="T3" s="85" t="s">
        <v>43</v>
      </c>
    </row>
    <row r="4" spans="1:20" ht="20.149999999999999" customHeight="1" x14ac:dyDescent="0.35">
      <c r="A4" s="8"/>
      <c r="B4" s="13"/>
      <c r="C4" s="7"/>
      <c r="D4" s="16" t="s">
        <v>175</v>
      </c>
      <c r="E4" s="1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15"/>
      <c r="T4" s="85" t="s">
        <v>46</v>
      </c>
    </row>
    <row r="5" spans="1:20" ht="20.149999999999999" customHeight="1" x14ac:dyDescent="0.35">
      <c r="A5" s="8"/>
      <c r="B5" s="13"/>
      <c r="C5" s="6"/>
      <c r="D5" s="1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5"/>
      <c r="T5" s="85" t="s">
        <v>46</v>
      </c>
    </row>
    <row r="6" spans="1:20" ht="20.149999999999999" customHeight="1" x14ac:dyDescent="0.35">
      <c r="A6" s="8"/>
      <c r="B6" s="13"/>
      <c r="C6" s="6"/>
      <c r="D6" s="1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15"/>
      <c r="T6" s="85" t="s">
        <v>46</v>
      </c>
    </row>
    <row r="7" spans="1:20" ht="20.149999999999999" customHeight="1" x14ac:dyDescent="0.35">
      <c r="A7" s="8"/>
      <c r="B7" s="13"/>
      <c r="C7" s="6"/>
      <c r="D7" s="14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5"/>
      <c r="T7" s="85" t="s">
        <v>46</v>
      </c>
    </row>
    <row r="8" spans="1:20" ht="20.149999999999999" customHeight="1" x14ac:dyDescent="0.35">
      <c r="A8" s="8"/>
      <c r="B8" s="13"/>
      <c r="C8" s="6"/>
      <c r="D8" s="1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5"/>
      <c r="T8" s="85" t="s">
        <v>43</v>
      </c>
    </row>
    <row r="9" spans="1:20" ht="20.149999999999999" customHeight="1" thickBot="1" x14ac:dyDescent="0.4">
      <c r="A9" s="8"/>
      <c r="B9" s="17"/>
      <c r="C9" s="18"/>
      <c r="D9" s="19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20"/>
      <c r="T9" s="85" t="s">
        <v>43</v>
      </c>
    </row>
    <row r="10" spans="1:20" ht="20.149999999999999" customHeight="1" x14ac:dyDescent="0.35">
      <c r="A10" s="8"/>
      <c r="B10" s="8"/>
      <c r="C10" s="6"/>
      <c r="D10" s="8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T10" s="85" t="s">
        <v>46</v>
      </c>
    </row>
    <row r="11" spans="1:20" ht="20.149999999999999" customHeight="1" thickBot="1" x14ac:dyDescent="0.4">
      <c r="A11" s="3" t="s">
        <v>5</v>
      </c>
      <c r="B11" s="3"/>
      <c r="C11" s="21"/>
      <c r="D11" s="5" t="s">
        <v>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7" t="str">
        <f>R1</f>
        <v>Q.1.1 - Categorical Variable (Weather)</v>
      </c>
      <c r="T11" s="85" t="s">
        <v>46</v>
      </c>
    </row>
    <row r="12" spans="1:20" ht="20.149999999999999" customHeight="1" x14ac:dyDescent="0.35">
      <c r="A12" s="8"/>
      <c r="B12" s="9"/>
      <c r="C12" s="10"/>
      <c r="D12" s="11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2"/>
      <c r="T12" s="85" t="s">
        <v>43</v>
      </c>
    </row>
    <row r="13" spans="1:20" ht="20.149999999999999" customHeight="1" x14ac:dyDescent="0.35">
      <c r="A13" s="8"/>
      <c r="B13" s="13"/>
      <c r="C13" s="22"/>
      <c r="D13" s="23"/>
      <c r="E13" s="22"/>
      <c r="F13" s="22"/>
      <c r="G13" s="22"/>
      <c r="I13" s="6"/>
      <c r="K13" s="6"/>
      <c r="L13" s="6"/>
      <c r="M13" s="6"/>
      <c r="N13" s="6"/>
      <c r="O13" s="6"/>
      <c r="P13" s="6"/>
      <c r="Q13" s="6"/>
      <c r="R13" s="15"/>
      <c r="T13" s="85" t="s">
        <v>46</v>
      </c>
    </row>
    <row r="14" spans="1:20" ht="20.149999999999999" customHeight="1" x14ac:dyDescent="0.35">
      <c r="A14" s="8"/>
      <c r="B14" s="13"/>
      <c r="C14"/>
      <c r="D14"/>
      <c r="E14"/>
      <c r="I14" s="6"/>
      <c r="K14" s="6"/>
      <c r="L14" s="6"/>
      <c r="M14" s="6"/>
      <c r="N14" s="6"/>
      <c r="O14" s="6"/>
      <c r="P14" s="6"/>
      <c r="Q14" s="6"/>
      <c r="R14" s="15"/>
      <c r="T14" s="85" t="s">
        <v>46</v>
      </c>
    </row>
    <row r="15" spans="1:20" ht="20.149999999999999" customHeight="1" x14ac:dyDescent="0.35">
      <c r="A15" s="8"/>
      <c r="B15" s="13"/>
      <c r="C15"/>
      <c r="D15"/>
      <c r="E15"/>
      <c r="F15" s="26"/>
      <c r="G15" s="26"/>
      <c r="I15" s="6"/>
      <c r="K15" s="6"/>
      <c r="L15" s="6"/>
      <c r="M15" s="6"/>
      <c r="N15" s="6"/>
      <c r="O15" s="6"/>
      <c r="P15" s="6"/>
      <c r="Q15" s="6"/>
      <c r="R15" s="15"/>
      <c r="T15" s="85" t="s">
        <v>46</v>
      </c>
    </row>
    <row r="16" spans="1:20" ht="20.149999999999999" customHeight="1" x14ac:dyDescent="0.35">
      <c r="A16" s="8"/>
      <c r="B16" s="13"/>
      <c r="C16"/>
      <c r="D16"/>
      <c r="E16"/>
      <c r="F16" s="26"/>
      <c r="G16" s="26"/>
      <c r="I16" s="6"/>
      <c r="K16" s="6"/>
      <c r="L16" s="6"/>
      <c r="M16" s="6"/>
      <c r="N16" s="6"/>
      <c r="O16" s="6"/>
      <c r="P16" s="6"/>
      <c r="Q16" s="6"/>
      <c r="R16" s="15"/>
      <c r="T16" s="85" t="s">
        <v>43</v>
      </c>
    </row>
    <row r="17" spans="5:20" ht="15.5" x14ac:dyDescent="0.35">
      <c r="G17"/>
      <c r="I17" s="6"/>
      <c r="K17" s="6"/>
      <c r="L17" s="6"/>
      <c r="M17" s="6"/>
      <c r="N17" s="6"/>
      <c r="O17" s="6"/>
      <c r="P17" s="6"/>
      <c r="Q17" s="6"/>
      <c r="R17" s="15"/>
      <c r="T17" s="85" t="s">
        <v>46</v>
      </c>
    </row>
    <row r="18" spans="5:20" ht="15.5" x14ac:dyDescent="0.35">
      <c r="G18"/>
      <c r="I18" s="6"/>
      <c r="K18" s="6"/>
      <c r="L18" s="6"/>
      <c r="M18" s="6"/>
      <c r="N18" s="6"/>
      <c r="O18" s="6"/>
      <c r="P18" s="6"/>
      <c r="Q18" s="6"/>
      <c r="R18" s="15"/>
      <c r="T18" s="85" t="s">
        <v>43</v>
      </c>
    </row>
    <row r="19" spans="5:20" ht="31" x14ac:dyDescent="0.7">
      <c r="E19" s="134" t="s">
        <v>98</v>
      </c>
      <c r="F19" s="135" t="s">
        <v>100</v>
      </c>
      <c r="G19"/>
      <c r="I19" s="6"/>
      <c r="K19" s="6"/>
      <c r="L19" s="6"/>
      <c r="M19" s="6"/>
      <c r="N19" s="6"/>
      <c r="O19" s="6"/>
      <c r="P19" s="6"/>
      <c r="Q19" s="6"/>
      <c r="R19" s="15"/>
      <c r="T19" s="85" t="s">
        <v>43</v>
      </c>
    </row>
    <row r="20" spans="5:20" ht="31" x14ac:dyDescent="0.7">
      <c r="E20" s="136" t="s">
        <v>46</v>
      </c>
      <c r="F20" s="137">
        <v>0.61917808219178083</v>
      </c>
      <c r="G20"/>
      <c r="I20" s="6"/>
      <c r="K20" s="6"/>
      <c r="L20" s="6"/>
      <c r="M20" s="6"/>
      <c r="N20" s="6"/>
      <c r="O20" s="6"/>
      <c r="P20" s="6"/>
      <c r="Q20" s="6"/>
      <c r="R20" s="15"/>
      <c r="T20" s="85" t="s">
        <v>43</v>
      </c>
    </row>
    <row r="21" spans="5:20" ht="31" x14ac:dyDescent="0.7">
      <c r="E21" s="136" t="s">
        <v>43</v>
      </c>
      <c r="F21" s="137">
        <v>0.33972602739726027</v>
      </c>
      <c r="G21"/>
      <c r="I21" s="6"/>
      <c r="K21" s="6"/>
      <c r="L21" s="6"/>
      <c r="M21" s="6"/>
      <c r="N21" s="6"/>
      <c r="O21" s="6"/>
      <c r="P21" s="6"/>
      <c r="Q21" s="6"/>
      <c r="R21" s="15"/>
      <c r="T21" s="85" t="s">
        <v>43</v>
      </c>
    </row>
    <row r="22" spans="5:20" ht="31" x14ac:dyDescent="0.7">
      <c r="E22" s="136" t="s">
        <v>51</v>
      </c>
      <c r="F22" s="137">
        <v>4.1095890410958902E-2</v>
      </c>
      <c r="G22"/>
      <c r="I22" s="6"/>
      <c r="K22" s="6"/>
      <c r="L22" s="6"/>
      <c r="M22" s="6"/>
      <c r="N22" s="6"/>
      <c r="O22" s="6"/>
      <c r="P22" s="6"/>
      <c r="Q22" s="6"/>
      <c r="R22" s="15"/>
      <c r="T22" s="85" t="s">
        <v>46</v>
      </c>
    </row>
    <row r="23" spans="5:20" ht="31" x14ac:dyDescent="0.7">
      <c r="E23" s="136" t="s">
        <v>99</v>
      </c>
      <c r="F23" s="137">
        <v>1</v>
      </c>
      <c r="G23"/>
      <c r="I23" s="6"/>
      <c r="K23" s="6"/>
      <c r="L23" s="6"/>
      <c r="M23" s="6"/>
      <c r="N23" s="6"/>
      <c r="O23" s="6"/>
      <c r="P23" s="6"/>
      <c r="Q23" s="6"/>
      <c r="R23" s="15"/>
      <c r="T23" s="85" t="s">
        <v>46</v>
      </c>
    </row>
    <row r="24" spans="5:20" ht="20.149999999999999" customHeight="1" x14ac:dyDescent="0.35">
      <c r="E24"/>
      <c r="F24"/>
      <c r="G24"/>
      <c r="I24" s="6"/>
      <c r="K24" s="6"/>
      <c r="L24" s="6"/>
      <c r="M24" s="6"/>
      <c r="N24" s="6"/>
      <c r="O24" s="6"/>
      <c r="P24" s="6"/>
      <c r="Q24" s="6"/>
      <c r="R24" s="15"/>
      <c r="T24" s="85" t="s">
        <v>46</v>
      </c>
    </row>
    <row r="25" spans="5:20" ht="20.149999999999999" customHeight="1" x14ac:dyDescent="0.35">
      <c r="E25"/>
      <c r="F25"/>
      <c r="G25"/>
      <c r="I25" s="6"/>
      <c r="K25" s="6"/>
      <c r="L25" s="6"/>
      <c r="M25" s="6"/>
      <c r="N25" s="6"/>
      <c r="O25" s="6"/>
      <c r="P25" s="6"/>
      <c r="Q25" s="6"/>
      <c r="R25" s="15"/>
      <c r="T25" s="85" t="s">
        <v>46</v>
      </c>
    </row>
    <row r="26" spans="5:20" ht="20.149999999999999" customHeight="1" x14ac:dyDescent="0.35">
      <c r="E26"/>
      <c r="F26"/>
      <c r="G26"/>
      <c r="I26" s="6"/>
      <c r="K26" s="6"/>
      <c r="L26" s="6"/>
      <c r="M26" s="6"/>
      <c r="N26" s="6"/>
      <c r="O26" s="6"/>
      <c r="P26" s="6"/>
      <c r="Q26" s="6"/>
      <c r="R26" s="15"/>
      <c r="T26" s="85" t="s">
        <v>43</v>
      </c>
    </row>
    <row r="27" spans="5:20" ht="20.149999999999999" customHeight="1" x14ac:dyDescent="0.35">
      <c r="E27"/>
      <c r="F27"/>
      <c r="G27"/>
      <c r="I27" s="6"/>
      <c r="K27" s="6"/>
      <c r="L27" s="6"/>
      <c r="M27" s="6"/>
      <c r="N27" s="6"/>
      <c r="O27" s="6"/>
      <c r="P27" s="6"/>
      <c r="Q27" s="6"/>
      <c r="R27" s="15"/>
      <c r="T27" s="85" t="s">
        <v>51</v>
      </c>
    </row>
    <row r="28" spans="5:20" ht="20.149999999999999" customHeight="1" x14ac:dyDescent="0.35">
      <c r="E28"/>
      <c r="F28"/>
      <c r="G28"/>
      <c r="H28" s="6"/>
      <c r="I28" s="6"/>
      <c r="J28" s="6"/>
      <c r="K28" s="6"/>
      <c r="L28" s="6"/>
      <c r="M28" s="6"/>
      <c r="N28" s="6"/>
      <c r="O28" s="6"/>
      <c r="P28" s="6"/>
      <c r="Q28" s="6"/>
      <c r="R28" s="15"/>
      <c r="T28" s="85" t="s">
        <v>46</v>
      </c>
    </row>
    <row r="29" spans="5:20" ht="20.149999999999999" customHeight="1" x14ac:dyDescent="0.35">
      <c r="E29"/>
      <c r="F29"/>
      <c r="G29"/>
      <c r="H29" s="6"/>
      <c r="I29" s="6"/>
      <c r="J29" s="6"/>
      <c r="K29" s="6"/>
      <c r="L29" s="6"/>
      <c r="M29" s="6"/>
      <c r="N29" s="6"/>
      <c r="O29" s="6"/>
      <c r="P29" s="6"/>
      <c r="Q29" s="6"/>
      <c r="R29" s="15"/>
      <c r="T29" s="85" t="s">
        <v>43</v>
      </c>
    </row>
    <row r="30" spans="5:20" ht="20.149999999999999" customHeight="1" x14ac:dyDescent="0.35">
      <c r="E30"/>
      <c r="F30"/>
      <c r="G30"/>
      <c r="H30" s="6"/>
      <c r="I30" s="6"/>
      <c r="J30" s="6"/>
      <c r="K30" s="6"/>
      <c r="L30" s="6"/>
      <c r="M30" s="6"/>
      <c r="N30" s="6"/>
      <c r="O30" s="6"/>
      <c r="P30" s="6"/>
      <c r="Q30" s="6"/>
      <c r="R30" s="15"/>
      <c r="T30" s="85" t="s">
        <v>46</v>
      </c>
    </row>
    <row r="31" spans="5:20" ht="20.149999999999999" customHeight="1" x14ac:dyDescent="0.35">
      <c r="E31"/>
      <c r="F31"/>
      <c r="G31"/>
      <c r="H31" s="6"/>
      <c r="I31" s="6"/>
      <c r="J31" s="6"/>
      <c r="K31" s="6"/>
      <c r="L31" s="6"/>
      <c r="M31" s="6"/>
      <c r="N31" s="6"/>
      <c r="O31" s="6"/>
      <c r="P31" s="6"/>
      <c r="Q31" s="6"/>
      <c r="R31" s="15"/>
      <c r="T31" s="85" t="s">
        <v>46</v>
      </c>
    </row>
    <row r="32" spans="5:20" ht="15.5" x14ac:dyDescent="0.35">
      <c r="E32"/>
      <c r="F32"/>
      <c r="G32"/>
      <c r="H32" s="6"/>
      <c r="I32" s="6"/>
      <c r="J32" s="6"/>
      <c r="K32" s="6"/>
      <c r="L32" s="6"/>
      <c r="M32" s="6"/>
      <c r="N32" s="6"/>
      <c r="O32" s="6"/>
      <c r="P32" s="6"/>
      <c r="Q32" s="6"/>
      <c r="R32" s="15"/>
      <c r="T32" s="85" t="s">
        <v>43</v>
      </c>
    </row>
    <row r="33" spans="1:20" ht="15.5" x14ac:dyDescent="0.35">
      <c r="A33" s="8"/>
      <c r="B33" s="13"/>
      <c r="C33"/>
      <c r="D33"/>
      <c r="E33"/>
      <c r="F33"/>
      <c r="G33"/>
      <c r="H33" s="6"/>
      <c r="I33" s="6"/>
      <c r="J33" s="6"/>
      <c r="K33" s="6"/>
      <c r="L33" s="6"/>
      <c r="M33" s="6"/>
      <c r="N33" s="6"/>
      <c r="O33" s="6"/>
      <c r="P33" s="6"/>
      <c r="Q33" s="6"/>
      <c r="R33" s="15"/>
      <c r="T33" s="85" t="s">
        <v>43</v>
      </c>
    </row>
    <row r="34" spans="1:20" ht="15.5" x14ac:dyDescent="0.35">
      <c r="A34" s="8"/>
      <c r="B34" s="13"/>
      <c r="C34"/>
      <c r="D34"/>
      <c r="E34"/>
      <c r="F34"/>
      <c r="G34"/>
      <c r="H34" s="6"/>
      <c r="I34" s="6"/>
      <c r="J34" s="6"/>
      <c r="K34" s="6"/>
      <c r="L34" s="6"/>
      <c r="M34" s="6"/>
      <c r="N34" s="6"/>
      <c r="O34" s="6"/>
      <c r="P34" s="6"/>
      <c r="Q34" s="6"/>
      <c r="R34" s="15"/>
      <c r="T34" s="85" t="s">
        <v>43</v>
      </c>
    </row>
    <row r="35" spans="1:20" ht="15.5" x14ac:dyDescent="0.35">
      <c r="A35" s="8"/>
      <c r="B35" s="13"/>
      <c r="C35"/>
      <c r="D35"/>
      <c r="E35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15"/>
      <c r="T35" s="85" t="s">
        <v>46</v>
      </c>
    </row>
    <row r="36" spans="1:20" ht="15.5" x14ac:dyDescent="0.35">
      <c r="A36" s="8"/>
      <c r="B36" s="13"/>
      <c r="C36"/>
      <c r="D36"/>
      <c r="E3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15"/>
      <c r="T36" s="85" t="s">
        <v>43</v>
      </c>
    </row>
    <row r="37" spans="1:20" ht="15.5" x14ac:dyDescent="0.35">
      <c r="A37" s="8"/>
      <c r="B37" s="13"/>
      <c r="C37"/>
      <c r="D37"/>
      <c r="E37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15"/>
      <c r="T37" s="85" t="s">
        <v>43</v>
      </c>
    </row>
    <row r="38" spans="1:20" ht="15.5" x14ac:dyDescent="0.35">
      <c r="A38" s="8"/>
      <c r="B38" s="13"/>
      <c r="C38"/>
      <c r="D38"/>
      <c r="E38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15"/>
      <c r="T38" s="85" t="s">
        <v>46</v>
      </c>
    </row>
    <row r="39" spans="1:20" ht="15.5" x14ac:dyDescent="0.35">
      <c r="A39" s="8"/>
      <c r="B39" s="13"/>
      <c r="C39"/>
      <c r="D39"/>
      <c r="E39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15"/>
      <c r="T39" s="85" t="s">
        <v>46</v>
      </c>
    </row>
    <row r="40" spans="1:20" ht="20.149999999999999" customHeight="1" x14ac:dyDescent="0.35">
      <c r="A40" s="8"/>
      <c r="B40" s="13"/>
      <c r="C40" s="6"/>
      <c r="D40" s="8"/>
      <c r="E40" s="6"/>
      <c r="F40" s="6"/>
      <c r="G40" s="6"/>
      <c r="H40" s="28"/>
      <c r="I40" s="6"/>
      <c r="J40" s="6"/>
      <c r="K40" s="6"/>
      <c r="L40" s="29"/>
      <c r="M40" s="28"/>
      <c r="N40" s="29"/>
      <c r="O40" s="6"/>
      <c r="P40" s="6"/>
      <c r="Q40" s="6"/>
      <c r="R40" s="15"/>
      <c r="T40" s="85" t="s">
        <v>46</v>
      </c>
    </row>
    <row r="41" spans="1:20" ht="20.149999999999999" customHeight="1" x14ac:dyDescent="0.35">
      <c r="A41" s="8"/>
      <c r="B41" s="13"/>
      <c r="C41" s="6"/>
      <c r="D41" s="8"/>
      <c r="E41" s="6"/>
      <c r="F41" s="6"/>
      <c r="G41" s="6"/>
      <c r="H41" s="28"/>
      <c r="I41" s="6"/>
      <c r="J41" s="6"/>
      <c r="K41" s="6"/>
      <c r="L41" s="29"/>
      <c r="M41" s="28"/>
      <c r="N41" s="29"/>
      <c r="O41" s="6"/>
      <c r="P41" s="6"/>
      <c r="Q41" s="6"/>
      <c r="R41" s="15"/>
      <c r="T41" s="85" t="s">
        <v>43</v>
      </c>
    </row>
    <row r="42" spans="1:20" ht="20.149999999999999" customHeight="1" x14ac:dyDescent="0.35">
      <c r="A42" s="8"/>
      <c r="B42" s="13"/>
      <c r="C42" s="6"/>
      <c r="D42" s="8"/>
      <c r="E42" s="6"/>
      <c r="F42" s="6"/>
      <c r="G42" s="6"/>
      <c r="H42" s="28"/>
      <c r="I42" s="6"/>
      <c r="J42" s="6"/>
      <c r="K42" s="6"/>
      <c r="L42" s="29"/>
      <c r="M42" s="28"/>
      <c r="N42" s="29"/>
      <c r="O42" s="6"/>
      <c r="P42" s="6"/>
      <c r="Q42" s="6"/>
      <c r="R42" s="15"/>
      <c r="T42" s="85" t="s">
        <v>46</v>
      </c>
    </row>
    <row r="43" spans="1:20" ht="20.149999999999999" customHeight="1" x14ac:dyDescent="0.35">
      <c r="A43" s="8"/>
      <c r="B43" s="13"/>
      <c r="C43" s="6"/>
      <c r="D43" s="8"/>
      <c r="E43" s="6"/>
      <c r="F43" s="6"/>
      <c r="G43" s="6"/>
      <c r="H43" s="28"/>
      <c r="I43" s="6"/>
      <c r="J43" s="6"/>
      <c r="K43" s="6"/>
      <c r="L43" s="29"/>
      <c r="M43" s="28"/>
      <c r="N43" s="29"/>
      <c r="O43" s="6"/>
      <c r="P43" s="6"/>
      <c r="Q43" s="6"/>
      <c r="R43" s="15"/>
      <c r="T43" s="85" t="s">
        <v>46</v>
      </c>
    </row>
    <row r="44" spans="1:20" ht="20.149999999999999" customHeight="1" x14ac:dyDescent="0.35">
      <c r="A44" s="8"/>
      <c r="B44" s="13"/>
      <c r="C44" s="6"/>
      <c r="D44" s="8"/>
      <c r="E44" s="6"/>
      <c r="F44" s="6"/>
      <c r="G44" s="28"/>
      <c r="H44" s="28"/>
      <c r="I44" s="6"/>
      <c r="J44" s="6"/>
      <c r="K44" s="6"/>
      <c r="L44" s="29"/>
      <c r="M44" s="28"/>
      <c r="N44" s="29"/>
      <c r="O44" s="6"/>
      <c r="P44" s="6"/>
      <c r="Q44" s="6"/>
      <c r="R44" s="15"/>
      <c r="T44" s="85" t="s">
        <v>46</v>
      </c>
    </row>
    <row r="45" spans="1:20" ht="20.149999999999999" customHeight="1" thickBot="1" x14ac:dyDescent="0.4">
      <c r="A45" s="8"/>
      <c r="B45" s="17"/>
      <c r="C45" s="18"/>
      <c r="D45" s="19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20"/>
      <c r="T45" s="85" t="s">
        <v>46</v>
      </c>
    </row>
    <row r="46" spans="1:20" ht="20.149999999999999" customHeight="1" x14ac:dyDescent="0.35">
      <c r="A46" s="8"/>
      <c r="B46" s="8"/>
      <c r="C46" s="6"/>
      <c r="D46" s="8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T46" s="85" t="s">
        <v>46</v>
      </c>
    </row>
    <row r="47" spans="1:20" ht="20.149999999999999" customHeight="1" x14ac:dyDescent="0.35">
      <c r="A47" s="3" t="s">
        <v>6</v>
      </c>
      <c r="B47" s="3"/>
      <c r="C47" s="6"/>
      <c r="D47" s="5" t="s">
        <v>7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7"/>
      <c r="T47" s="85" t="s">
        <v>46</v>
      </c>
    </row>
    <row r="48" spans="1:20" ht="20.149999999999999" customHeight="1" x14ac:dyDescent="0.35">
      <c r="C48" s="6"/>
      <c r="D48" s="8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85" t="s">
        <v>46</v>
      </c>
    </row>
    <row r="49" spans="20:20" ht="20.149999999999999" customHeight="1" x14ac:dyDescent="0.35">
      <c r="T49" s="85" t="s">
        <v>46</v>
      </c>
    </row>
    <row r="50" spans="20:20" ht="20.149999999999999" customHeight="1" x14ac:dyDescent="0.35">
      <c r="T50" s="85" t="s">
        <v>46</v>
      </c>
    </row>
    <row r="51" spans="20:20" ht="20.149999999999999" customHeight="1" x14ac:dyDescent="0.35">
      <c r="T51" s="85" t="s">
        <v>46</v>
      </c>
    </row>
    <row r="52" spans="20:20" ht="20.149999999999999" customHeight="1" x14ac:dyDescent="0.35">
      <c r="T52" s="85" t="s">
        <v>46</v>
      </c>
    </row>
    <row r="53" spans="20:20" ht="20.149999999999999" customHeight="1" x14ac:dyDescent="0.35">
      <c r="T53" s="85" t="s">
        <v>43</v>
      </c>
    </row>
    <row r="54" spans="20:20" ht="20.149999999999999" customHeight="1" x14ac:dyDescent="0.35">
      <c r="T54" s="85" t="s">
        <v>46</v>
      </c>
    </row>
    <row r="55" spans="20:20" ht="20.149999999999999" customHeight="1" x14ac:dyDescent="0.35">
      <c r="T55" s="85" t="s">
        <v>46</v>
      </c>
    </row>
    <row r="56" spans="20:20" ht="20.149999999999999" customHeight="1" x14ac:dyDescent="0.35">
      <c r="T56" s="85" t="s">
        <v>43</v>
      </c>
    </row>
    <row r="57" spans="20:20" ht="20.149999999999999" customHeight="1" x14ac:dyDescent="0.35">
      <c r="T57" s="85" t="s">
        <v>43</v>
      </c>
    </row>
    <row r="58" spans="20:20" ht="20.149999999999999" customHeight="1" x14ac:dyDescent="0.35">
      <c r="T58" s="85" t="s">
        <v>46</v>
      </c>
    </row>
    <row r="59" spans="20:20" ht="20.149999999999999" customHeight="1" x14ac:dyDescent="0.35">
      <c r="T59" s="85" t="s">
        <v>46</v>
      </c>
    </row>
    <row r="60" spans="20:20" ht="20.149999999999999" customHeight="1" x14ac:dyDescent="0.35">
      <c r="T60" s="85" t="s">
        <v>43</v>
      </c>
    </row>
    <row r="61" spans="20:20" ht="20.149999999999999" customHeight="1" x14ac:dyDescent="0.35">
      <c r="T61" s="85" t="s">
        <v>46</v>
      </c>
    </row>
    <row r="62" spans="20:20" ht="20.149999999999999" customHeight="1" x14ac:dyDescent="0.35">
      <c r="T62" s="85" t="s">
        <v>46</v>
      </c>
    </row>
    <row r="63" spans="20:20" ht="20.149999999999999" customHeight="1" x14ac:dyDescent="0.35">
      <c r="T63" s="85" t="s">
        <v>46</v>
      </c>
    </row>
    <row r="64" spans="20:20" ht="20.149999999999999" customHeight="1" x14ac:dyDescent="0.35">
      <c r="T64" s="85" t="s">
        <v>43</v>
      </c>
    </row>
    <row r="65" spans="20:20" ht="20.149999999999999" customHeight="1" x14ac:dyDescent="0.35">
      <c r="T65" s="85" t="s">
        <v>43</v>
      </c>
    </row>
    <row r="66" spans="20:20" ht="20.149999999999999" customHeight="1" x14ac:dyDescent="0.35">
      <c r="T66" s="85" t="s">
        <v>43</v>
      </c>
    </row>
    <row r="67" spans="20:20" ht="20.149999999999999" customHeight="1" x14ac:dyDescent="0.35">
      <c r="T67" s="85" t="s">
        <v>46</v>
      </c>
    </row>
    <row r="68" spans="20:20" ht="20.149999999999999" customHeight="1" x14ac:dyDescent="0.35">
      <c r="T68" s="85" t="s">
        <v>46</v>
      </c>
    </row>
    <row r="69" spans="20:20" ht="20.149999999999999" customHeight="1" x14ac:dyDescent="0.35">
      <c r="T69" s="85" t="s">
        <v>43</v>
      </c>
    </row>
    <row r="70" spans="20:20" ht="20.149999999999999" customHeight="1" x14ac:dyDescent="0.35">
      <c r="T70" s="85" t="s">
        <v>51</v>
      </c>
    </row>
    <row r="71" spans="20:20" ht="20.149999999999999" customHeight="1" x14ac:dyDescent="0.35">
      <c r="T71" s="85" t="s">
        <v>43</v>
      </c>
    </row>
    <row r="72" spans="20:20" ht="20.149999999999999" customHeight="1" x14ac:dyDescent="0.35">
      <c r="T72" s="85" t="s">
        <v>46</v>
      </c>
    </row>
    <row r="73" spans="20:20" ht="20.149999999999999" customHeight="1" x14ac:dyDescent="0.35">
      <c r="T73" s="85" t="s">
        <v>46</v>
      </c>
    </row>
    <row r="74" spans="20:20" ht="20.149999999999999" customHeight="1" x14ac:dyDescent="0.35">
      <c r="T74" s="85" t="s">
        <v>46</v>
      </c>
    </row>
    <row r="75" spans="20:20" ht="20.149999999999999" customHeight="1" x14ac:dyDescent="0.35">
      <c r="T75" s="85" t="s">
        <v>43</v>
      </c>
    </row>
    <row r="76" spans="20:20" ht="20.149999999999999" customHeight="1" x14ac:dyDescent="0.35">
      <c r="T76" s="85" t="s">
        <v>43</v>
      </c>
    </row>
    <row r="77" spans="20:20" ht="20.149999999999999" customHeight="1" x14ac:dyDescent="0.35">
      <c r="T77" s="85" t="s">
        <v>46</v>
      </c>
    </row>
    <row r="78" spans="20:20" ht="20.149999999999999" customHeight="1" x14ac:dyDescent="0.35">
      <c r="T78" s="85" t="s">
        <v>46</v>
      </c>
    </row>
    <row r="79" spans="20:20" ht="20.149999999999999" customHeight="1" x14ac:dyDescent="0.35">
      <c r="T79" s="85" t="s">
        <v>46</v>
      </c>
    </row>
    <row r="80" spans="20:20" ht="20.149999999999999" customHeight="1" x14ac:dyDescent="0.35">
      <c r="T80" s="85" t="s">
        <v>46</v>
      </c>
    </row>
    <row r="81" spans="20:20" ht="20.149999999999999" customHeight="1" x14ac:dyDescent="0.35">
      <c r="T81" s="85" t="s">
        <v>43</v>
      </c>
    </row>
    <row r="82" spans="20:20" ht="20.149999999999999" customHeight="1" x14ac:dyDescent="0.35">
      <c r="T82" s="85" t="s">
        <v>46</v>
      </c>
    </row>
    <row r="83" spans="20:20" ht="20.149999999999999" customHeight="1" x14ac:dyDescent="0.35">
      <c r="T83" s="85" t="s">
        <v>43</v>
      </c>
    </row>
    <row r="84" spans="20:20" ht="20.149999999999999" customHeight="1" x14ac:dyDescent="0.35">
      <c r="T84" s="85" t="s">
        <v>43</v>
      </c>
    </row>
    <row r="85" spans="20:20" ht="20.149999999999999" customHeight="1" x14ac:dyDescent="0.35">
      <c r="T85" s="85" t="s">
        <v>46</v>
      </c>
    </row>
    <row r="86" spans="20:20" ht="20.149999999999999" customHeight="1" x14ac:dyDescent="0.35">
      <c r="T86" s="85" t="s">
        <v>46</v>
      </c>
    </row>
    <row r="87" spans="20:20" ht="20.149999999999999" customHeight="1" x14ac:dyDescent="0.35">
      <c r="T87" s="85" t="s">
        <v>43</v>
      </c>
    </row>
    <row r="88" spans="20:20" ht="20.149999999999999" customHeight="1" x14ac:dyDescent="0.35">
      <c r="T88" s="85" t="s">
        <v>46</v>
      </c>
    </row>
    <row r="89" spans="20:20" ht="20.149999999999999" customHeight="1" x14ac:dyDescent="0.35">
      <c r="T89" s="85" t="s">
        <v>46</v>
      </c>
    </row>
    <row r="90" spans="20:20" ht="20.149999999999999" customHeight="1" x14ac:dyDescent="0.35">
      <c r="T90" s="85" t="s">
        <v>43</v>
      </c>
    </row>
    <row r="91" spans="20:20" ht="20.149999999999999" customHeight="1" x14ac:dyDescent="0.35">
      <c r="T91" s="85" t="s">
        <v>51</v>
      </c>
    </row>
    <row r="92" spans="20:20" ht="20.149999999999999" customHeight="1" x14ac:dyDescent="0.35">
      <c r="T92" s="85" t="s">
        <v>43</v>
      </c>
    </row>
    <row r="93" spans="20:20" ht="20.149999999999999" customHeight="1" x14ac:dyDescent="0.35">
      <c r="T93" s="85" t="s">
        <v>43</v>
      </c>
    </row>
    <row r="94" spans="20:20" ht="20.149999999999999" customHeight="1" x14ac:dyDescent="0.35">
      <c r="T94" s="85" t="s">
        <v>46</v>
      </c>
    </row>
    <row r="95" spans="20:20" ht="20.149999999999999" customHeight="1" x14ac:dyDescent="0.35">
      <c r="T95" s="85" t="s">
        <v>46</v>
      </c>
    </row>
    <row r="96" spans="20:20" ht="20.149999999999999" customHeight="1" x14ac:dyDescent="0.35">
      <c r="T96" s="85" t="s">
        <v>43</v>
      </c>
    </row>
    <row r="97" spans="20:20" ht="20.149999999999999" customHeight="1" x14ac:dyDescent="0.35">
      <c r="T97" s="85" t="s">
        <v>46</v>
      </c>
    </row>
    <row r="98" spans="20:20" ht="20.149999999999999" customHeight="1" x14ac:dyDescent="0.35">
      <c r="T98" s="85" t="s">
        <v>46</v>
      </c>
    </row>
    <row r="99" spans="20:20" ht="20.149999999999999" customHeight="1" x14ac:dyDescent="0.35">
      <c r="T99" s="85" t="s">
        <v>43</v>
      </c>
    </row>
    <row r="100" spans="20:20" ht="20.149999999999999" customHeight="1" x14ac:dyDescent="0.35">
      <c r="T100" s="85" t="s">
        <v>43</v>
      </c>
    </row>
    <row r="101" spans="20:20" ht="20.149999999999999" customHeight="1" x14ac:dyDescent="0.35">
      <c r="T101" s="85" t="s">
        <v>43</v>
      </c>
    </row>
    <row r="102" spans="20:20" ht="20.149999999999999" customHeight="1" x14ac:dyDescent="0.35">
      <c r="T102" s="85" t="s">
        <v>43</v>
      </c>
    </row>
    <row r="103" spans="20:20" ht="20.149999999999999" customHeight="1" x14ac:dyDescent="0.35">
      <c r="T103" s="85" t="s">
        <v>43</v>
      </c>
    </row>
    <row r="104" spans="20:20" ht="20.149999999999999" customHeight="1" x14ac:dyDescent="0.35">
      <c r="T104" s="85" t="s">
        <v>43</v>
      </c>
    </row>
    <row r="105" spans="20:20" ht="20.149999999999999" customHeight="1" x14ac:dyDescent="0.35">
      <c r="T105" s="85" t="s">
        <v>46</v>
      </c>
    </row>
    <row r="106" spans="20:20" ht="20.149999999999999" customHeight="1" x14ac:dyDescent="0.35">
      <c r="T106" s="85" t="s">
        <v>46</v>
      </c>
    </row>
    <row r="107" spans="20:20" ht="20.149999999999999" customHeight="1" x14ac:dyDescent="0.35">
      <c r="T107" s="85" t="s">
        <v>51</v>
      </c>
    </row>
    <row r="108" spans="20:20" ht="20.149999999999999" customHeight="1" x14ac:dyDescent="0.35">
      <c r="T108" s="85" t="s">
        <v>46</v>
      </c>
    </row>
    <row r="109" spans="20:20" ht="20.149999999999999" customHeight="1" x14ac:dyDescent="0.35">
      <c r="T109" s="85" t="s">
        <v>46</v>
      </c>
    </row>
    <row r="110" spans="20:20" ht="20.149999999999999" customHeight="1" x14ac:dyDescent="0.35">
      <c r="T110" s="85" t="s">
        <v>43</v>
      </c>
    </row>
    <row r="111" spans="20:20" ht="20.149999999999999" customHeight="1" x14ac:dyDescent="0.35">
      <c r="T111" s="85" t="s">
        <v>46</v>
      </c>
    </row>
    <row r="112" spans="20:20" ht="20.149999999999999" customHeight="1" x14ac:dyDescent="0.35">
      <c r="T112" s="85" t="s">
        <v>46</v>
      </c>
    </row>
    <row r="113" spans="20:20" ht="20.149999999999999" customHeight="1" x14ac:dyDescent="0.35">
      <c r="T113" s="85" t="s">
        <v>43</v>
      </c>
    </row>
    <row r="114" spans="20:20" ht="20.149999999999999" customHeight="1" x14ac:dyDescent="0.35">
      <c r="T114" s="85" t="s">
        <v>43</v>
      </c>
    </row>
    <row r="115" spans="20:20" ht="20.149999999999999" customHeight="1" x14ac:dyDescent="0.35">
      <c r="T115" s="85" t="s">
        <v>43</v>
      </c>
    </row>
    <row r="116" spans="20:20" ht="20.149999999999999" customHeight="1" x14ac:dyDescent="0.35">
      <c r="T116" s="85" t="s">
        <v>46</v>
      </c>
    </row>
    <row r="117" spans="20:20" ht="20.149999999999999" customHeight="1" x14ac:dyDescent="0.35">
      <c r="T117" s="85" t="s">
        <v>46</v>
      </c>
    </row>
    <row r="118" spans="20:20" ht="20.149999999999999" customHeight="1" x14ac:dyDescent="0.35">
      <c r="T118" s="85" t="s">
        <v>43</v>
      </c>
    </row>
    <row r="119" spans="20:20" ht="20.149999999999999" customHeight="1" x14ac:dyDescent="0.35">
      <c r="T119" s="85" t="s">
        <v>43</v>
      </c>
    </row>
    <row r="120" spans="20:20" ht="20.149999999999999" customHeight="1" x14ac:dyDescent="0.35">
      <c r="T120" s="85" t="s">
        <v>46</v>
      </c>
    </row>
    <row r="121" spans="20:20" ht="20.149999999999999" customHeight="1" x14ac:dyDescent="0.35">
      <c r="T121" s="85" t="s">
        <v>46</v>
      </c>
    </row>
    <row r="122" spans="20:20" ht="20.149999999999999" customHeight="1" x14ac:dyDescent="0.35">
      <c r="T122" s="85" t="s">
        <v>43</v>
      </c>
    </row>
    <row r="123" spans="20:20" ht="20.149999999999999" customHeight="1" x14ac:dyDescent="0.35">
      <c r="T123" s="85" t="s">
        <v>43</v>
      </c>
    </row>
    <row r="124" spans="20:20" ht="20.149999999999999" customHeight="1" x14ac:dyDescent="0.35">
      <c r="T124" s="85" t="s">
        <v>43</v>
      </c>
    </row>
    <row r="125" spans="20:20" ht="20.149999999999999" customHeight="1" x14ac:dyDescent="0.35">
      <c r="T125" s="85" t="s">
        <v>43</v>
      </c>
    </row>
    <row r="126" spans="20:20" ht="20.149999999999999" customHeight="1" x14ac:dyDescent="0.35">
      <c r="T126" s="85" t="s">
        <v>46</v>
      </c>
    </row>
    <row r="127" spans="20:20" ht="20.149999999999999" customHeight="1" x14ac:dyDescent="0.35">
      <c r="T127" s="85" t="s">
        <v>46</v>
      </c>
    </row>
    <row r="128" spans="20:20" ht="20.149999999999999" customHeight="1" x14ac:dyDescent="0.35">
      <c r="T128" s="85" t="s">
        <v>46</v>
      </c>
    </row>
    <row r="129" spans="20:20" ht="20.149999999999999" customHeight="1" x14ac:dyDescent="0.35">
      <c r="T129" s="85" t="s">
        <v>46</v>
      </c>
    </row>
    <row r="130" spans="20:20" ht="20.149999999999999" customHeight="1" x14ac:dyDescent="0.35">
      <c r="T130" s="85" t="s">
        <v>46</v>
      </c>
    </row>
    <row r="131" spans="20:20" ht="20.149999999999999" customHeight="1" x14ac:dyDescent="0.35">
      <c r="T131" s="85" t="s">
        <v>46</v>
      </c>
    </row>
    <row r="132" spans="20:20" ht="20.149999999999999" customHeight="1" x14ac:dyDescent="0.35">
      <c r="T132" s="85" t="s">
        <v>46</v>
      </c>
    </row>
    <row r="133" spans="20:20" ht="20.149999999999999" customHeight="1" x14ac:dyDescent="0.35">
      <c r="T133" s="85" t="s">
        <v>46</v>
      </c>
    </row>
    <row r="134" spans="20:20" ht="20.149999999999999" customHeight="1" x14ac:dyDescent="0.35">
      <c r="T134" s="85" t="s">
        <v>43</v>
      </c>
    </row>
    <row r="135" spans="20:20" ht="20.149999999999999" customHeight="1" x14ac:dyDescent="0.35">
      <c r="T135" s="85" t="s">
        <v>43</v>
      </c>
    </row>
    <row r="136" spans="20:20" ht="20.149999999999999" customHeight="1" x14ac:dyDescent="0.35">
      <c r="T136" s="85" t="s">
        <v>43</v>
      </c>
    </row>
    <row r="137" spans="20:20" ht="20.149999999999999" customHeight="1" x14ac:dyDescent="0.35">
      <c r="T137" s="85" t="s">
        <v>46</v>
      </c>
    </row>
    <row r="138" spans="20:20" ht="20.149999999999999" customHeight="1" x14ac:dyDescent="0.35">
      <c r="T138" s="85" t="s">
        <v>43</v>
      </c>
    </row>
    <row r="139" spans="20:20" ht="20.149999999999999" customHeight="1" x14ac:dyDescent="0.35">
      <c r="T139" s="85" t="s">
        <v>43</v>
      </c>
    </row>
    <row r="140" spans="20:20" ht="20.149999999999999" customHeight="1" x14ac:dyDescent="0.35">
      <c r="T140" s="85" t="s">
        <v>43</v>
      </c>
    </row>
    <row r="141" spans="20:20" ht="20.149999999999999" customHeight="1" x14ac:dyDescent="0.35">
      <c r="T141" s="85" t="s">
        <v>46</v>
      </c>
    </row>
    <row r="142" spans="20:20" ht="20.149999999999999" customHeight="1" x14ac:dyDescent="0.35">
      <c r="T142" s="85" t="s">
        <v>46</v>
      </c>
    </row>
    <row r="143" spans="20:20" ht="20.149999999999999" customHeight="1" x14ac:dyDescent="0.35">
      <c r="T143" s="85" t="s">
        <v>46</v>
      </c>
    </row>
    <row r="144" spans="20:20" ht="20.149999999999999" customHeight="1" x14ac:dyDescent="0.35">
      <c r="T144" s="85" t="s">
        <v>43</v>
      </c>
    </row>
    <row r="145" spans="20:20" ht="20.149999999999999" customHeight="1" x14ac:dyDescent="0.35">
      <c r="T145" s="85" t="s">
        <v>43</v>
      </c>
    </row>
    <row r="146" spans="20:20" ht="20.149999999999999" customHeight="1" x14ac:dyDescent="0.35">
      <c r="T146" s="85" t="s">
        <v>46</v>
      </c>
    </row>
    <row r="147" spans="20:20" ht="20.149999999999999" customHeight="1" x14ac:dyDescent="0.35">
      <c r="T147" s="85" t="s">
        <v>46</v>
      </c>
    </row>
    <row r="148" spans="20:20" ht="20.149999999999999" customHeight="1" x14ac:dyDescent="0.35">
      <c r="T148" s="85" t="s">
        <v>46</v>
      </c>
    </row>
    <row r="149" spans="20:20" ht="20.149999999999999" customHeight="1" x14ac:dyDescent="0.35">
      <c r="T149" s="85" t="s">
        <v>46</v>
      </c>
    </row>
    <row r="150" spans="20:20" ht="20.149999999999999" customHeight="1" x14ac:dyDescent="0.35">
      <c r="T150" s="85" t="s">
        <v>46</v>
      </c>
    </row>
    <row r="151" spans="20:20" ht="20.149999999999999" customHeight="1" x14ac:dyDescent="0.35">
      <c r="T151" s="85" t="s">
        <v>46</v>
      </c>
    </row>
    <row r="152" spans="20:20" ht="20.149999999999999" customHeight="1" x14ac:dyDescent="0.35">
      <c r="T152" s="85" t="s">
        <v>46</v>
      </c>
    </row>
    <row r="153" spans="20:20" ht="20.149999999999999" customHeight="1" x14ac:dyDescent="0.35">
      <c r="T153" s="85" t="s">
        <v>43</v>
      </c>
    </row>
    <row r="154" spans="20:20" ht="20.149999999999999" customHeight="1" x14ac:dyDescent="0.35">
      <c r="T154" s="85" t="s">
        <v>46</v>
      </c>
    </row>
    <row r="155" spans="20:20" ht="20.149999999999999" customHeight="1" x14ac:dyDescent="0.35">
      <c r="T155" s="85" t="s">
        <v>46</v>
      </c>
    </row>
    <row r="156" spans="20:20" ht="20.149999999999999" customHeight="1" x14ac:dyDescent="0.35">
      <c r="T156" s="85" t="s">
        <v>46</v>
      </c>
    </row>
    <row r="157" spans="20:20" ht="20.149999999999999" customHeight="1" x14ac:dyDescent="0.35">
      <c r="T157" s="85" t="s">
        <v>43</v>
      </c>
    </row>
    <row r="158" spans="20:20" ht="20.149999999999999" customHeight="1" x14ac:dyDescent="0.35">
      <c r="T158" s="85" t="s">
        <v>46</v>
      </c>
    </row>
    <row r="159" spans="20:20" ht="20.149999999999999" customHeight="1" x14ac:dyDescent="0.35">
      <c r="T159" s="85" t="s">
        <v>46</v>
      </c>
    </row>
    <row r="160" spans="20:20" ht="20.149999999999999" customHeight="1" x14ac:dyDescent="0.35">
      <c r="T160" s="85" t="s">
        <v>46</v>
      </c>
    </row>
    <row r="161" spans="20:20" ht="20.149999999999999" customHeight="1" x14ac:dyDescent="0.35">
      <c r="T161" s="85" t="s">
        <v>43</v>
      </c>
    </row>
    <row r="162" spans="20:20" ht="20.149999999999999" customHeight="1" x14ac:dyDescent="0.35">
      <c r="T162" s="85" t="s">
        <v>46</v>
      </c>
    </row>
    <row r="163" spans="20:20" ht="20.149999999999999" customHeight="1" x14ac:dyDescent="0.35">
      <c r="T163" s="85" t="s">
        <v>46</v>
      </c>
    </row>
    <row r="164" spans="20:20" ht="20.149999999999999" customHeight="1" x14ac:dyDescent="0.35">
      <c r="T164" s="85" t="s">
        <v>46</v>
      </c>
    </row>
    <row r="165" spans="20:20" ht="20.149999999999999" customHeight="1" x14ac:dyDescent="0.35">
      <c r="T165" s="85" t="s">
        <v>46</v>
      </c>
    </row>
    <row r="166" spans="20:20" ht="20.149999999999999" customHeight="1" x14ac:dyDescent="0.35">
      <c r="T166" s="85" t="s">
        <v>46</v>
      </c>
    </row>
    <row r="167" spans="20:20" ht="20.149999999999999" customHeight="1" x14ac:dyDescent="0.35">
      <c r="T167" s="85" t="s">
        <v>46</v>
      </c>
    </row>
    <row r="168" spans="20:20" ht="20.149999999999999" customHeight="1" x14ac:dyDescent="0.35">
      <c r="T168" s="85" t="s">
        <v>43</v>
      </c>
    </row>
    <row r="169" spans="20:20" ht="20.149999999999999" customHeight="1" x14ac:dyDescent="0.35">
      <c r="T169" s="85" t="s">
        <v>46</v>
      </c>
    </row>
    <row r="170" spans="20:20" ht="20.149999999999999" customHeight="1" x14ac:dyDescent="0.35">
      <c r="T170" s="85" t="s">
        <v>46</v>
      </c>
    </row>
    <row r="171" spans="20:20" ht="20.149999999999999" customHeight="1" x14ac:dyDescent="0.35">
      <c r="T171" s="85" t="s">
        <v>43</v>
      </c>
    </row>
    <row r="172" spans="20:20" ht="20.149999999999999" customHeight="1" x14ac:dyDescent="0.35">
      <c r="T172" s="85" t="s">
        <v>43</v>
      </c>
    </row>
    <row r="173" spans="20:20" ht="20.149999999999999" customHeight="1" x14ac:dyDescent="0.35">
      <c r="T173" s="85" t="s">
        <v>43</v>
      </c>
    </row>
    <row r="174" spans="20:20" ht="20.149999999999999" customHeight="1" x14ac:dyDescent="0.35">
      <c r="T174" s="85" t="s">
        <v>46</v>
      </c>
    </row>
    <row r="175" spans="20:20" ht="20.149999999999999" customHeight="1" x14ac:dyDescent="0.35">
      <c r="T175" s="85" t="s">
        <v>43</v>
      </c>
    </row>
    <row r="176" spans="20:20" ht="20.149999999999999" customHeight="1" x14ac:dyDescent="0.35">
      <c r="T176" s="85" t="s">
        <v>46</v>
      </c>
    </row>
    <row r="177" spans="20:20" ht="20.149999999999999" customHeight="1" x14ac:dyDescent="0.35">
      <c r="T177" s="85" t="s">
        <v>46</v>
      </c>
    </row>
    <row r="178" spans="20:20" ht="20.149999999999999" customHeight="1" x14ac:dyDescent="0.35">
      <c r="T178" s="85" t="s">
        <v>46</v>
      </c>
    </row>
    <row r="179" spans="20:20" ht="20.149999999999999" customHeight="1" x14ac:dyDescent="0.35">
      <c r="T179" s="85" t="s">
        <v>43</v>
      </c>
    </row>
    <row r="180" spans="20:20" ht="20.149999999999999" customHeight="1" x14ac:dyDescent="0.35">
      <c r="T180" s="85" t="s">
        <v>46</v>
      </c>
    </row>
    <row r="181" spans="20:20" ht="20.149999999999999" customHeight="1" x14ac:dyDescent="0.35">
      <c r="T181" s="85" t="s">
        <v>46</v>
      </c>
    </row>
    <row r="182" spans="20:20" ht="20.149999999999999" customHeight="1" x14ac:dyDescent="0.35">
      <c r="T182" s="85" t="s">
        <v>46</v>
      </c>
    </row>
    <row r="183" spans="20:20" ht="20.149999999999999" customHeight="1" x14ac:dyDescent="0.35">
      <c r="T183" s="85" t="s">
        <v>46</v>
      </c>
    </row>
    <row r="184" spans="20:20" ht="20.149999999999999" customHeight="1" x14ac:dyDescent="0.35">
      <c r="T184" s="85" t="s">
        <v>46</v>
      </c>
    </row>
    <row r="185" spans="20:20" ht="20.149999999999999" customHeight="1" x14ac:dyDescent="0.35">
      <c r="T185" s="85" t="s">
        <v>43</v>
      </c>
    </row>
    <row r="186" spans="20:20" ht="20.149999999999999" customHeight="1" x14ac:dyDescent="0.35">
      <c r="T186" s="85" t="s">
        <v>43</v>
      </c>
    </row>
    <row r="187" spans="20:20" ht="20.149999999999999" customHeight="1" x14ac:dyDescent="0.35">
      <c r="T187" s="85" t="s">
        <v>46</v>
      </c>
    </row>
    <row r="188" spans="20:20" ht="20.149999999999999" customHeight="1" x14ac:dyDescent="0.35">
      <c r="T188" s="85" t="s">
        <v>46</v>
      </c>
    </row>
    <row r="189" spans="20:20" ht="20.149999999999999" customHeight="1" x14ac:dyDescent="0.35">
      <c r="T189" s="85" t="s">
        <v>46</v>
      </c>
    </row>
    <row r="190" spans="20:20" ht="20.149999999999999" customHeight="1" x14ac:dyDescent="0.35">
      <c r="T190" s="85" t="s">
        <v>43</v>
      </c>
    </row>
    <row r="191" spans="20:20" ht="20.149999999999999" customHeight="1" x14ac:dyDescent="0.35">
      <c r="T191" s="85" t="s">
        <v>46</v>
      </c>
    </row>
    <row r="192" spans="20:20" ht="20.149999999999999" customHeight="1" x14ac:dyDescent="0.35">
      <c r="T192" s="85" t="s">
        <v>46</v>
      </c>
    </row>
    <row r="193" spans="20:20" ht="20.149999999999999" customHeight="1" x14ac:dyDescent="0.35">
      <c r="T193" s="85" t="s">
        <v>46</v>
      </c>
    </row>
    <row r="194" spans="20:20" ht="20.149999999999999" customHeight="1" x14ac:dyDescent="0.35">
      <c r="T194" s="85" t="s">
        <v>46</v>
      </c>
    </row>
    <row r="195" spans="20:20" ht="20.149999999999999" customHeight="1" x14ac:dyDescent="0.35">
      <c r="T195" s="85" t="s">
        <v>46</v>
      </c>
    </row>
    <row r="196" spans="20:20" ht="20.149999999999999" customHeight="1" x14ac:dyDescent="0.35">
      <c r="T196" s="85" t="s">
        <v>46</v>
      </c>
    </row>
    <row r="197" spans="20:20" ht="20.149999999999999" customHeight="1" x14ac:dyDescent="0.35">
      <c r="T197" s="85" t="s">
        <v>46</v>
      </c>
    </row>
    <row r="198" spans="20:20" ht="20.149999999999999" customHeight="1" x14ac:dyDescent="0.35">
      <c r="T198" s="85" t="s">
        <v>46</v>
      </c>
    </row>
    <row r="199" spans="20:20" ht="20.149999999999999" customHeight="1" x14ac:dyDescent="0.35">
      <c r="T199" s="85" t="s">
        <v>46</v>
      </c>
    </row>
    <row r="200" spans="20:20" ht="20.149999999999999" customHeight="1" x14ac:dyDescent="0.35">
      <c r="T200" s="85" t="s">
        <v>46</v>
      </c>
    </row>
    <row r="201" spans="20:20" ht="20.149999999999999" customHeight="1" x14ac:dyDescent="0.35">
      <c r="T201" s="85" t="s">
        <v>46</v>
      </c>
    </row>
    <row r="202" spans="20:20" ht="20.149999999999999" customHeight="1" x14ac:dyDescent="0.35">
      <c r="T202" s="85" t="s">
        <v>46</v>
      </c>
    </row>
    <row r="203" spans="20:20" ht="20.149999999999999" customHeight="1" x14ac:dyDescent="0.35">
      <c r="T203" s="85" t="s">
        <v>43</v>
      </c>
    </row>
    <row r="204" spans="20:20" ht="20.149999999999999" customHeight="1" x14ac:dyDescent="0.35">
      <c r="T204" s="85" t="s">
        <v>46</v>
      </c>
    </row>
    <row r="205" spans="20:20" ht="20.149999999999999" customHeight="1" x14ac:dyDescent="0.35">
      <c r="T205" s="85" t="s">
        <v>46</v>
      </c>
    </row>
    <row r="206" spans="20:20" ht="20.149999999999999" customHeight="1" x14ac:dyDescent="0.35">
      <c r="T206" s="85" t="s">
        <v>46</v>
      </c>
    </row>
    <row r="207" spans="20:20" ht="20.149999999999999" customHeight="1" x14ac:dyDescent="0.35">
      <c r="T207" s="85" t="s">
        <v>46</v>
      </c>
    </row>
    <row r="208" spans="20:20" ht="20.149999999999999" customHeight="1" x14ac:dyDescent="0.35">
      <c r="T208" s="85" t="s">
        <v>46</v>
      </c>
    </row>
    <row r="209" spans="20:20" ht="20.149999999999999" customHeight="1" x14ac:dyDescent="0.35">
      <c r="T209" s="85" t="s">
        <v>46</v>
      </c>
    </row>
    <row r="210" spans="20:20" ht="20.149999999999999" customHeight="1" x14ac:dyDescent="0.35">
      <c r="T210" s="85" t="s">
        <v>46</v>
      </c>
    </row>
    <row r="211" spans="20:20" ht="20.149999999999999" customHeight="1" x14ac:dyDescent="0.35">
      <c r="T211" s="85" t="s">
        <v>46</v>
      </c>
    </row>
    <row r="212" spans="20:20" ht="20.149999999999999" customHeight="1" x14ac:dyDescent="0.35">
      <c r="T212" s="85" t="s">
        <v>46</v>
      </c>
    </row>
    <row r="213" spans="20:20" ht="20.149999999999999" customHeight="1" x14ac:dyDescent="0.35">
      <c r="T213" s="85" t="s">
        <v>46</v>
      </c>
    </row>
    <row r="214" spans="20:20" ht="20.149999999999999" customHeight="1" x14ac:dyDescent="0.35">
      <c r="T214" s="85" t="s">
        <v>46</v>
      </c>
    </row>
    <row r="215" spans="20:20" ht="20.149999999999999" customHeight="1" x14ac:dyDescent="0.35">
      <c r="T215" s="85" t="s">
        <v>46</v>
      </c>
    </row>
    <row r="216" spans="20:20" ht="20.149999999999999" customHeight="1" x14ac:dyDescent="0.35">
      <c r="T216" s="85" t="s">
        <v>43</v>
      </c>
    </row>
    <row r="217" spans="20:20" ht="20.149999999999999" customHeight="1" x14ac:dyDescent="0.35">
      <c r="T217" s="85" t="s">
        <v>43</v>
      </c>
    </row>
    <row r="218" spans="20:20" ht="20.149999999999999" customHeight="1" x14ac:dyDescent="0.35">
      <c r="T218" s="85" t="s">
        <v>46</v>
      </c>
    </row>
    <row r="219" spans="20:20" ht="20.149999999999999" customHeight="1" x14ac:dyDescent="0.35">
      <c r="T219" s="85" t="s">
        <v>43</v>
      </c>
    </row>
    <row r="220" spans="20:20" ht="20.149999999999999" customHeight="1" x14ac:dyDescent="0.35">
      <c r="T220" s="85" t="s">
        <v>46</v>
      </c>
    </row>
    <row r="221" spans="20:20" ht="20.149999999999999" customHeight="1" x14ac:dyDescent="0.35">
      <c r="T221" s="85" t="s">
        <v>46</v>
      </c>
    </row>
    <row r="222" spans="20:20" ht="20.149999999999999" customHeight="1" x14ac:dyDescent="0.35">
      <c r="T222" s="85" t="s">
        <v>46</v>
      </c>
    </row>
    <row r="223" spans="20:20" ht="20.149999999999999" customHeight="1" x14ac:dyDescent="0.35">
      <c r="T223" s="85" t="s">
        <v>46</v>
      </c>
    </row>
    <row r="224" spans="20:20" ht="20.149999999999999" customHeight="1" x14ac:dyDescent="0.35">
      <c r="T224" s="85" t="s">
        <v>46</v>
      </c>
    </row>
    <row r="225" spans="20:20" ht="20.149999999999999" customHeight="1" x14ac:dyDescent="0.35">
      <c r="T225" s="85" t="s">
        <v>46</v>
      </c>
    </row>
    <row r="226" spans="20:20" ht="20.149999999999999" customHeight="1" x14ac:dyDescent="0.35">
      <c r="T226" s="85" t="s">
        <v>43</v>
      </c>
    </row>
    <row r="227" spans="20:20" ht="20.149999999999999" customHeight="1" x14ac:dyDescent="0.35">
      <c r="T227" s="85" t="s">
        <v>43</v>
      </c>
    </row>
    <row r="228" spans="20:20" ht="20.149999999999999" customHeight="1" x14ac:dyDescent="0.35">
      <c r="T228" s="85" t="s">
        <v>46</v>
      </c>
    </row>
    <row r="229" spans="20:20" ht="20.149999999999999" customHeight="1" x14ac:dyDescent="0.35">
      <c r="T229" s="85" t="s">
        <v>46</v>
      </c>
    </row>
    <row r="230" spans="20:20" ht="20.149999999999999" customHeight="1" x14ac:dyDescent="0.35">
      <c r="T230" s="85" t="s">
        <v>46</v>
      </c>
    </row>
    <row r="231" spans="20:20" ht="20.149999999999999" customHeight="1" x14ac:dyDescent="0.35">
      <c r="T231" s="85" t="s">
        <v>46</v>
      </c>
    </row>
    <row r="232" spans="20:20" ht="20.149999999999999" customHeight="1" x14ac:dyDescent="0.35">
      <c r="T232" s="85" t="s">
        <v>43</v>
      </c>
    </row>
    <row r="233" spans="20:20" ht="20.149999999999999" customHeight="1" x14ac:dyDescent="0.35">
      <c r="T233" s="85" t="s">
        <v>46</v>
      </c>
    </row>
    <row r="234" spans="20:20" ht="20.149999999999999" customHeight="1" x14ac:dyDescent="0.35">
      <c r="T234" s="85" t="s">
        <v>46</v>
      </c>
    </row>
    <row r="235" spans="20:20" ht="20.149999999999999" customHeight="1" x14ac:dyDescent="0.35">
      <c r="T235" s="85" t="s">
        <v>46</v>
      </c>
    </row>
    <row r="236" spans="20:20" ht="20.149999999999999" customHeight="1" x14ac:dyDescent="0.35">
      <c r="T236" s="85" t="s">
        <v>46</v>
      </c>
    </row>
    <row r="237" spans="20:20" ht="20.149999999999999" customHeight="1" x14ac:dyDescent="0.35">
      <c r="T237" s="85" t="s">
        <v>46</v>
      </c>
    </row>
    <row r="238" spans="20:20" ht="20.149999999999999" customHeight="1" x14ac:dyDescent="0.35">
      <c r="T238" s="85" t="s">
        <v>43</v>
      </c>
    </row>
    <row r="239" spans="20:20" ht="20.149999999999999" customHeight="1" x14ac:dyDescent="0.35">
      <c r="T239" s="85" t="s">
        <v>46</v>
      </c>
    </row>
    <row r="240" spans="20:20" ht="20.149999999999999" customHeight="1" x14ac:dyDescent="0.35">
      <c r="T240" s="85" t="s">
        <v>43</v>
      </c>
    </row>
    <row r="241" spans="20:20" ht="20.149999999999999" customHeight="1" x14ac:dyDescent="0.35">
      <c r="T241" s="85" t="s">
        <v>46</v>
      </c>
    </row>
    <row r="242" spans="20:20" ht="20.149999999999999" customHeight="1" x14ac:dyDescent="0.35">
      <c r="T242" s="85" t="s">
        <v>46</v>
      </c>
    </row>
    <row r="243" spans="20:20" ht="20.149999999999999" customHeight="1" x14ac:dyDescent="0.35">
      <c r="T243" s="85" t="s">
        <v>46</v>
      </c>
    </row>
    <row r="244" spans="20:20" ht="20.149999999999999" customHeight="1" x14ac:dyDescent="0.35">
      <c r="T244" s="85" t="s">
        <v>46</v>
      </c>
    </row>
    <row r="245" spans="20:20" ht="20.149999999999999" customHeight="1" x14ac:dyDescent="0.35">
      <c r="T245" s="85" t="s">
        <v>46</v>
      </c>
    </row>
    <row r="246" spans="20:20" ht="20.149999999999999" customHeight="1" x14ac:dyDescent="0.35">
      <c r="T246" s="85" t="s">
        <v>43</v>
      </c>
    </row>
    <row r="247" spans="20:20" ht="20.149999999999999" customHeight="1" x14ac:dyDescent="0.35">
      <c r="T247" s="85" t="s">
        <v>46</v>
      </c>
    </row>
    <row r="248" spans="20:20" ht="20.149999999999999" customHeight="1" x14ac:dyDescent="0.35">
      <c r="T248" s="85" t="s">
        <v>46</v>
      </c>
    </row>
    <row r="249" spans="20:20" ht="20.149999999999999" customHeight="1" x14ac:dyDescent="0.35">
      <c r="T249" s="85" t="s">
        <v>43</v>
      </c>
    </row>
    <row r="250" spans="20:20" ht="20.149999999999999" customHeight="1" x14ac:dyDescent="0.35">
      <c r="T250" s="85" t="s">
        <v>51</v>
      </c>
    </row>
    <row r="251" spans="20:20" ht="20.149999999999999" customHeight="1" x14ac:dyDescent="0.35">
      <c r="T251" s="85" t="s">
        <v>51</v>
      </c>
    </row>
    <row r="252" spans="20:20" ht="20.149999999999999" customHeight="1" x14ac:dyDescent="0.35">
      <c r="T252" s="85" t="s">
        <v>51</v>
      </c>
    </row>
    <row r="253" spans="20:20" ht="20.149999999999999" customHeight="1" x14ac:dyDescent="0.35">
      <c r="T253" s="85" t="s">
        <v>43</v>
      </c>
    </row>
    <row r="254" spans="20:20" ht="20.149999999999999" customHeight="1" x14ac:dyDescent="0.35">
      <c r="T254" s="85" t="s">
        <v>46</v>
      </c>
    </row>
    <row r="255" spans="20:20" ht="20.149999999999999" customHeight="1" x14ac:dyDescent="0.35">
      <c r="T255" s="85" t="s">
        <v>46</v>
      </c>
    </row>
    <row r="256" spans="20:20" ht="20.149999999999999" customHeight="1" x14ac:dyDescent="0.35">
      <c r="T256" s="85" t="s">
        <v>46</v>
      </c>
    </row>
    <row r="257" spans="20:20" ht="20.149999999999999" customHeight="1" x14ac:dyDescent="0.35">
      <c r="T257" s="85" t="s">
        <v>46</v>
      </c>
    </row>
    <row r="258" spans="20:20" ht="20.149999999999999" customHeight="1" x14ac:dyDescent="0.35">
      <c r="T258" s="85" t="s">
        <v>46</v>
      </c>
    </row>
    <row r="259" spans="20:20" ht="20.149999999999999" customHeight="1" x14ac:dyDescent="0.35">
      <c r="T259" s="85" t="s">
        <v>43</v>
      </c>
    </row>
    <row r="260" spans="20:20" ht="20.149999999999999" customHeight="1" x14ac:dyDescent="0.35">
      <c r="T260" s="85" t="s">
        <v>43</v>
      </c>
    </row>
    <row r="261" spans="20:20" ht="20.149999999999999" customHeight="1" x14ac:dyDescent="0.35">
      <c r="T261" s="85" t="s">
        <v>43</v>
      </c>
    </row>
    <row r="262" spans="20:20" ht="20.149999999999999" customHeight="1" x14ac:dyDescent="0.35">
      <c r="T262" s="85" t="s">
        <v>46</v>
      </c>
    </row>
    <row r="263" spans="20:20" ht="20.149999999999999" customHeight="1" x14ac:dyDescent="0.35">
      <c r="T263" s="85" t="s">
        <v>43</v>
      </c>
    </row>
    <row r="264" spans="20:20" ht="20.149999999999999" customHeight="1" x14ac:dyDescent="0.35">
      <c r="T264" s="85" t="s">
        <v>43</v>
      </c>
    </row>
    <row r="265" spans="20:20" ht="20.149999999999999" customHeight="1" x14ac:dyDescent="0.35">
      <c r="T265" s="85" t="s">
        <v>43</v>
      </c>
    </row>
    <row r="266" spans="20:20" ht="20.149999999999999" customHeight="1" x14ac:dyDescent="0.35">
      <c r="T266" s="85" t="s">
        <v>43</v>
      </c>
    </row>
    <row r="267" spans="20:20" ht="20.149999999999999" customHeight="1" x14ac:dyDescent="0.35">
      <c r="T267" s="85" t="s">
        <v>43</v>
      </c>
    </row>
    <row r="268" spans="20:20" ht="20.149999999999999" customHeight="1" x14ac:dyDescent="0.35">
      <c r="T268" s="85" t="s">
        <v>43</v>
      </c>
    </row>
    <row r="269" spans="20:20" ht="20.149999999999999" customHeight="1" x14ac:dyDescent="0.35">
      <c r="T269" s="85" t="s">
        <v>43</v>
      </c>
    </row>
    <row r="270" spans="20:20" ht="20.149999999999999" customHeight="1" x14ac:dyDescent="0.35">
      <c r="T270" s="85" t="s">
        <v>43</v>
      </c>
    </row>
    <row r="271" spans="20:20" ht="20.149999999999999" customHeight="1" x14ac:dyDescent="0.35">
      <c r="T271" s="85" t="s">
        <v>43</v>
      </c>
    </row>
    <row r="272" spans="20:20" ht="20.149999999999999" customHeight="1" x14ac:dyDescent="0.35">
      <c r="T272" s="85" t="s">
        <v>43</v>
      </c>
    </row>
    <row r="273" spans="20:20" ht="20.149999999999999" customHeight="1" x14ac:dyDescent="0.35">
      <c r="T273" s="85" t="s">
        <v>46</v>
      </c>
    </row>
    <row r="274" spans="20:20" ht="20.149999999999999" customHeight="1" x14ac:dyDescent="0.35">
      <c r="T274" s="85" t="s">
        <v>46</v>
      </c>
    </row>
    <row r="275" spans="20:20" ht="20.149999999999999" customHeight="1" x14ac:dyDescent="0.35">
      <c r="T275" s="85" t="s">
        <v>43</v>
      </c>
    </row>
    <row r="276" spans="20:20" ht="20.149999999999999" customHeight="1" x14ac:dyDescent="0.35">
      <c r="T276" s="85" t="s">
        <v>43</v>
      </c>
    </row>
    <row r="277" spans="20:20" ht="20.149999999999999" customHeight="1" x14ac:dyDescent="0.35">
      <c r="T277" s="85" t="s">
        <v>43</v>
      </c>
    </row>
    <row r="278" spans="20:20" ht="20.149999999999999" customHeight="1" x14ac:dyDescent="0.35">
      <c r="T278" s="85" t="s">
        <v>46</v>
      </c>
    </row>
    <row r="279" spans="20:20" ht="20.149999999999999" customHeight="1" x14ac:dyDescent="0.35">
      <c r="T279" s="85" t="s">
        <v>46</v>
      </c>
    </row>
    <row r="280" spans="20:20" ht="20.149999999999999" customHeight="1" x14ac:dyDescent="0.35">
      <c r="T280" s="85" t="s">
        <v>46</v>
      </c>
    </row>
    <row r="281" spans="20:20" ht="20.149999999999999" customHeight="1" x14ac:dyDescent="0.35">
      <c r="T281" s="85" t="s">
        <v>46</v>
      </c>
    </row>
    <row r="282" spans="20:20" ht="20.149999999999999" customHeight="1" x14ac:dyDescent="0.35">
      <c r="T282" s="85" t="s">
        <v>46</v>
      </c>
    </row>
    <row r="283" spans="20:20" ht="20.149999999999999" customHeight="1" x14ac:dyDescent="0.35">
      <c r="T283" s="85" t="s">
        <v>46</v>
      </c>
    </row>
    <row r="284" spans="20:20" ht="20.149999999999999" customHeight="1" x14ac:dyDescent="0.35">
      <c r="T284" s="85" t="s">
        <v>46</v>
      </c>
    </row>
    <row r="285" spans="20:20" ht="20.149999999999999" customHeight="1" x14ac:dyDescent="0.35">
      <c r="T285" s="85" t="s">
        <v>43</v>
      </c>
    </row>
    <row r="286" spans="20:20" ht="20.149999999999999" customHeight="1" x14ac:dyDescent="0.35">
      <c r="T286" s="85" t="s">
        <v>51</v>
      </c>
    </row>
    <row r="287" spans="20:20" ht="20.149999999999999" customHeight="1" x14ac:dyDescent="0.35">
      <c r="T287" s="85" t="s">
        <v>43</v>
      </c>
    </row>
    <row r="288" spans="20:20" ht="20.149999999999999" customHeight="1" x14ac:dyDescent="0.35">
      <c r="T288" s="85" t="s">
        <v>43</v>
      </c>
    </row>
    <row r="289" spans="20:20" ht="20.149999999999999" customHeight="1" x14ac:dyDescent="0.35">
      <c r="T289" s="85" t="s">
        <v>46</v>
      </c>
    </row>
    <row r="290" spans="20:20" ht="20.149999999999999" customHeight="1" x14ac:dyDescent="0.35">
      <c r="T290" s="85" t="s">
        <v>46</v>
      </c>
    </row>
    <row r="291" spans="20:20" ht="20.149999999999999" customHeight="1" x14ac:dyDescent="0.35">
      <c r="T291" s="85" t="s">
        <v>46</v>
      </c>
    </row>
    <row r="292" spans="20:20" ht="20.149999999999999" customHeight="1" x14ac:dyDescent="0.35">
      <c r="T292" s="85" t="s">
        <v>43</v>
      </c>
    </row>
    <row r="293" spans="20:20" ht="20.149999999999999" customHeight="1" x14ac:dyDescent="0.35">
      <c r="T293" s="85" t="s">
        <v>51</v>
      </c>
    </row>
    <row r="294" spans="20:20" ht="20.149999999999999" customHeight="1" x14ac:dyDescent="0.35">
      <c r="T294" s="85" t="s">
        <v>46</v>
      </c>
    </row>
    <row r="295" spans="20:20" ht="20.149999999999999" customHeight="1" x14ac:dyDescent="0.35">
      <c r="T295" s="85" t="s">
        <v>46</v>
      </c>
    </row>
    <row r="296" spans="20:20" ht="20.149999999999999" customHeight="1" x14ac:dyDescent="0.35">
      <c r="T296" s="85" t="s">
        <v>46</v>
      </c>
    </row>
    <row r="297" spans="20:20" ht="20.149999999999999" customHeight="1" x14ac:dyDescent="0.35">
      <c r="T297" s="85" t="s">
        <v>46</v>
      </c>
    </row>
    <row r="298" spans="20:20" ht="20.149999999999999" customHeight="1" x14ac:dyDescent="0.35">
      <c r="T298" s="85" t="s">
        <v>46</v>
      </c>
    </row>
    <row r="299" spans="20:20" ht="20.149999999999999" customHeight="1" x14ac:dyDescent="0.35">
      <c r="T299" s="85" t="s">
        <v>46</v>
      </c>
    </row>
    <row r="300" spans="20:20" ht="20.149999999999999" customHeight="1" x14ac:dyDescent="0.35">
      <c r="T300" s="85" t="s">
        <v>43</v>
      </c>
    </row>
    <row r="301" spans="20:20" ht="20.149999999999999" customHeight="1" x14ac:dyDescent="0.35">
      <c r="T301" s="85" t="s">
        <v>43</v>
      </c>
    </row>
    <row r="302" spans="20:20" ht="20.149999999999999" customHeight="1" x14ac:dyDescent="0.35">
      <c r="T302" s="85" t="s">
        <v>43</v>
      </c>
    </row>
    <row r="303" spans="20:20" ht="20.149999999999999" customHeight="1" x14ac:dyDescent="0.35">
      <c r="T303" s="85" t="s">
        <v>51</v>
      </c>
    </row>
    <row r="304" spans="20:20" ht="20.149999999999999" customHeight="1" x14ac:dyDescent="0.35">
      <c r="T304" s="85" t="s">
        <v>46</v>
      </c>
    </row>
    <row r="305" spans="20:20" ht="20.149999999999999" customHeight="1" x14ac:dyDescent="0.35">
      <c r="T305" s="85" t="s">
        <v>46</v>
      </c>
    </row>
    <row r="306" spans="20:20" ht="20.149999999999999" customHeight="1" x14ac:dyDescent="0.35">
      <c r="T306" s="85" t="s">
        <v>46</v>
      </c>
    </row>
    <row r="307" spans="20:20" ht="20.149999999999999" customHeight="1" x14ac:dyDescent="0.35">
      <c r="T307" s="85" t="s">
        <v>46</v>
      </c>
    </row>
    <row r="308" spans="20:20" ht="20.149999999999999" customHeight="1" x14ac:dyDescent="0.35">
      <c r="T308" s="85" t="s">
        <v>46</v>
      </c>
    </row>
    <row r="309" spans="20:20" ht="20.149999999999999" customHeight="1" x14ac:dyDescent="0.35">
      <c r="T309" s="85" t="s">
        <v>43</v>
      </c>
    </row>
    <row r="310" spans="20:20" ht="20.149999999999999" customHeight="1" x14ac:dyDescent="0.35">
      <c r="T310" s="85" t="s">
        <v>46</v>
      </c>
    </row>
    <row r="311" spans="20:20" ht="20.149999999999999" customHeight="1" x14ac:dyDescent="0.35">
      <c r="T311" s="85" t="s">
        <v>46</v>
      </c>
    </row>
    <row r="312" spans="20:20" ht="20.149999999999999" customHeight="1" x14ac:dyDescent="0.35">
      <c r="T312" s="85" t="s">
        <v>46</v>
      </c>
    </row>
    <row r="313" spans="20:20" ht="20.149999999999999" customHeight="1" x14ac:dyDescent="0.35">
      <c r="T313" s="85" t="s">
        <v>46</v>
      </c>
    </row>
    <row r="314" spans="20:20" ht="20.149999999999999" customHeight="1" x14ac:dyDescent="0.35">
      <c r="T314" s="85" t="s">
        <v>46</v>
      </c>
    </row>
    <row r="315" spans="20:20" ht="20.149999999999999" customHeight="1" x14ac:dyDescent="0.35">
      <c r="T315" s="85" t="s">
        <v>43</v>
      </c>
    </row>
    <row r="316" spans="20:20" ht="20.149999999999999" customHeight="1" x14ac:dyDescent="0.35">
      <c r="T316" s="85" t="s">
        <v>46</v>
      </c>
    </row>
    <row r="317" spans="20:20" ht="20.149999999999999" customHeight="1" x14ac:dyDescent="0.35">
      <c r="T317" s="85" t="s">
        <v>46</v>
      </c>
    </row>
    <row r="318" spans="20:20" ht="20.149999999999999" customHeight="1" x14ac:dyDescent="0.35">
      <c r="T318" s="85" t="s">
        <v>46</v>
      </c>
    </row>
    <row r="319" spans="20:20" ht="20.149999999999999" customHeight="1" x14ac:dyDescent="0.35">
      <c r="T319" s="85" t="s">
        <v>46</v>
      </c>
    </row>
    <row r="320" spans="20:20" ht="20.149999999999999" customHeight="1" x14ac:dyDescent="0.35">
      <c r="T320" s="85" t="s">
        <v>43</v>
      </c>
    </row>
    <row r="321" spans="20:20" ht="20.149999999999999" customHeight="1" x14ac:dyDescent="0.35">
      <c r="T321" s="85" t="s">
        <v>51</v>
      </c>
    </row>
    <row r="322" spans="20:20" ht="20.149999999999999" customHeight="1" x14ac:dyDescent="0.35">
      <c r="T322" s="85" t="s">
        <v>43</v>
      </c>
    </row>
    <row r="323" spans="20:20" ht="20.149999999999999" customHeight="1" x14ac:dyDescent="0.35">
      <c r="T323" s="85" t="s">
        <v>46</v>
      </c>
    </row>
    <row r="324" spans="20:20" ht="20.149999999999999" customHeight="1" x14ac:dyDescent="0.35">
      <c r="T324" s="85" t="s">
        <v>46</v>
      </c>
    </row>
    <row r="325" spans="20:20" ht="20.149999999999999" customHeight="1" x14ac:dyDescent="0.35">
      <c r="T325" s="85" t="s">
        <v>43</v>
      </c>
    </row>
    <row r="326" spans="20:20" ht="20.149999999999999" customHeight="1" x14ac:dyDescent="0.35">
      <c r="T326" s="85" t="s">
        <v>51</v>
      </c>
    </row>
    <row r="327" spans="20:20" ht="20.149999999999999" customHeight="1" x14ac:dyDescent="0.35">
      <c r="T327" s="85" t="s">
        <v>51</v>
      </c>
    </row>
    <row r="328" spans="20:20" ht="20.149999999999999" customHeight="1" x14ac:dyDescent="0.35">
      <c r="T328" s="85" t="s">
        <v>43</v>
      </c>
    </row>
    <row r="329" spans="20:20" ht="20.149999999999999" customHeight="1" x14ac:dyDescent="0.35">
      <c r="T329" s="85" t="s">
        <v>46</v>
      </c>
    </row>
    <row r="330" spans="20:20" ht="20.149999999999999" customHeight="1" x14ac:dyDescent="0.35">
      <c r="T330" s="85" t="s">
        <v>46</v>
      </c>
    </row>
    <row r="331" spans="20:20" ht="20.149999999999999" customHeight="1" x14ac:dyDescent="0.35">
      <c r="T331" s="85" t="s">
        <v>46</v>
      </c>
    </row>
    <row r="332" spans="20:20" ht="20.149999999999999" customHeight="1" x14ac:dyDescent="0.35">
      <c r="T332" s="85" t="s">
        <v>46</v>
      </c>
    </row>
    <row r="333" spans="20:20" ht="20.149999999999999" customHeight="1" x14ac:dyDescent="0.35">
      <c r="T333" s="85" t="s">
        <v>46</v>
      </c>
    </row>
    <row r="334" spans="20:20" ht="20.149999999999999" customHeight="1" x14ac:dyDescent="0.35">
      <c r="T334" s="85" t="s">
        <v>43</v>
      </c>
    </row>
    <row r="335" spans="20:20" ht="20.149999999999999" customHeight="1" x14ac:dyDescent="0.35">
      <c r="T335" s="85" t="s">
        <v>46</v>
      </c>
    </row>
    <row r="336" spans="20:20" ht="20.149999999999999" customHeight="1" x14ac:dyDescent="0.35">
      <c r="T336" s="85" t="s">
        <v>46</v>
      </c>
    </row>
    <row r="337" spans="20:20" ht="20.149999999999999" customHeight="1" x14ac:dyDescent="0.35">
      <c r="T337" s="85" t="s">
        <v>46</v>
      </c>
    </row>
    <row r="338" spans="20:20" ht="20.149999999999999" customHeight="1" x14ac:dyDescent="0.35">
      <c r="T338" s="85" t="s">
        <v>46</v>
      </c>
    </row>
    <row r="339" spans="20:20" ht="20.149999999999999" customHeight="1" x14ac:dyDescent="0.35">
      <c r="T339" s="85" t="s">
        <v>46</v>
      </c>
    </row>
    <row r="340" spans="20:20" ht="20.149999999999999" customHeight="1" x14ac:dyDescent="0.35">
      <c r="T340" s="85" t="s">
        <v>43</v>
      </c>
    </row>
    <row r="341" spans="20:20" ht="20.149999999999999" customHeight="1" x14ac:dyDescent="0.35">
      <c r="T341" s="85" t="s">
        <v>51</v>
      </c>
    </row>
    <row r="342" spans="20:20" ht="20.149999999999999" customHeight="1" x14ac:dyDescent="0.35">
      <c r="T342" s="85" t="s">
        <v>51</v>
      </c>
    </row>
    <row r="343" spans="20:20" ht="20.149999999999999" customHeight="1" x14ac:dyDescent="0.35">
      <c r="T343" s="85" t="s">
        <v>46</v>
      </c>
    </row>
    <row r="344" spans="20:20" ht="20.149999999999999" customHeight="1" x14ac:dyDescent="0.35">
      <c r="T344" s="85" t="s">
        <v>46</v>
      </c>
    </row>
    <row r="345" spans="20:20" ht="20.149999999999999" customHeight="1" x14ac:dyDescent="0.35">
      <c r="T345" s="85" t="s">
        <v>46</v>
      </c>
    </row>
    <row r="346" spans="20:20" ht="20.149999999999999" customHeight="1" x14ac:dyDescent="0.35">
      <c r="T346" s="85" t="s">
        <v>46</v>
      </c>
    </row>
    <row r="347" spans="20:20" ht="20.149999999999999" customHeight="1" x14ac:dyDescent="0.35">
      <c r="T347" s="85" t="s">
        <v>46</v>
      </c>
    </row>
    <row r="348" spans="20:20" ht="20.149999999999999" customHeight="1" x14ac:dyDescent="0.35">
      <c r="T348" s="85" t="s">
        <v>46</v>
      </c>
    </row>
    <row r="349" spans="20:20" ht="20.149999999999999" customHeight="1" x14ac:dyDescent="0.35">
      <c r="T349" s="85" t="s">
        <v>43</v>
      </c>
    </row>
    <row r="350" spans="20:20" ht="20.149999999999999" customHeight="1" x14ac:dyDescent="0.35">
      <c r="T350" s="85" t="s">
        <v>43</v>
      </c>
    </row>
    <row r="351" spans="20:20" ht="20.149999999999999" customHeight="1" x14ac:dyDescent="0.35">
      <c r="T351" s="85" t="s">
        <v>43</v>
      </c>
    </row>
    <row r="352" spans="20:20" ht="20.149999999999999" customHeight="1" x14ac:dyDescent="0.35">
      <c r="T352" s="85" t="s">
        <v>43</v>
      </c>
    </row>
    <row r="353" spans="20:20" ht="20.149999999999999" customHeight="1" x14ac:dyDescent="0.35">
      <c r="T353" s="85" t="s">
        <v>46</v>
      </c>
    </row>
    <row r="354" spans="20:20" ht="20.149999999999999" customHeight="1" x14ac:dyDescent="0.35">
      <c r="T354" s="85" t="s">
        <v>46</v>
      </c>
    </row>
    <row r="355" spans="20:20" ht="20.149999999999999" customHeight="1" x14ac:dyDescent="0.35">
      <c r="T355" s="85" t="s">
        <v>43</v>
      </c>
    </row>
    <row r="356" spans="20:20" ht="20.149999999999999" customHeight="1" x14ac:dyDescent="0.35">
      <c r="T356" s="85" t="s">
        <v>43</v>
      </c>
    </row>
    <row r="357" spans="20:20" ht="20.149999999999999" customHeight="1" x14ac:dyDescent="0.35">
      <c r="T357" s="85" t="s">
        <v>43</v>
      </c>
    </row>
    <row r="358" spans="20:20" ht="20.149999999999999" customHeight="1" x14ac:dyDescent="0.35">
      <c r="T358" s="85" t="s">
        <v>46</v>
      </c>
    </row>
    <row r="359" spans="20:20" ht="20.149999999999999" customHeight="1" x14ac:dyDescent="0.35">
      <c r="T359" s="85" t="s">
        <v>46</v>
      </c>
    </row>
    <row r="360" spans="20:20" ht="20.149999999999999" customHeight="1" x14ac:dyDescent="0.35">
      <c r="T360" s="85" t="s">
        <v>46</v>
      </c>
    </row>
    <row r="361" spans="20:20" ht="20.149999999999999" customHeight="1" x14ac:dyDescent="0.35">
      <c r="T361" s="85" t="s">
        <v>46</v>
      </c>
    </row>
    <row r="362" spans="20:20" ht="20.149999999999999" customHeight="1" x14ac:dyDescent="0.35">
      <c r="T362" s="85" t="s">
        <v>43</v>
      </c>
    </row>
    <row r="363" spans="20:20" ht="20.149999999999999" customHeight="1" x14ac:dyDescent="0.35">
      <c r="T363" s="85" t="s">
        <v>46</v>
      </c>
    </row>
    <row r="364" spans="20:20" ht="20.149999999999999" customHeight="1" x14ac:dyDescent="0.35">
      <c r="T364" s="85" t="s">
        <v>46</v>
      </c>
    </row>
    <row r="365" spans="20:20" ht="20.149999999999999" customHeight="1" x14ac:dyDescent="0.35">
      <c r="T365" s="85" t="s">
        <v>46</v>
      </c>
    </row>
    <row r="366" spans="20:20" ht="20.149999999999999" customHeight="1" x14ac:dyDescent="0.35">
      <c r="T366" s="85" t="s">
        <v>46</v>
      </c>
    </row>
  </sheetData>
  <printOptions horizontalCentered="1"/>
  <pageMargins left="0.11811023622047245" right="0.11811023622047245" top="0.15748031496062992" bottom="0.15748031496062992" header="0.31496062992125984" footer="0.31496062992125984"/>
  <pageSetup paperSize="9" scale="67" fitToHeight="11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512E-4B09-4C7B-BB90-E6E682EC66FB}">
  <sheetPr>
    <pageSetUpPr fitToPage="1"/>
  </sheetPr>
  <dimension ref="A1:T366"/>
  <sheetViews>
    <sheetView topLeftCell="B2" zoomScale="68" zoomScaleNormal="55" workbookViewId="0">
      <selection activeCell="H35" sqref="H35"/>
    </sheetView>
  </sheetViews>
  <sheetFormatPr defaultColWidth="14.36328125" defaultRowHeight="14.5" x14ac:dyDescent="0.35"/>
  <cols>
    <col min="1" max="2" width="6.36328125" style="24" customWidth="1"/>
    <col min="3" max="3" width="14.36328125" style="4"/>
    <col min="4" max="4" width="14.36328125" style="24"/>
    <col min="5" max="5" width="14.36328125" style="4"/>
    <col min="6" max="6" width="16.81640625" style="4" bestFit="1" customWidth="1"/>
    <col min="7" max="7" width="16.54296875" style="4" bestFit="1" customWidth="1"/>
    <col min="8" max="16384" width="14.36328125" style="4"/>
  </cols>
  <sheetData>
    <row r="1" spans="1:20" ht="20.149999999999999" customHeight="1" thickBot="1" x14ac:dyDescent="0.4">
      <c r="A1" s="3" t="s">
        <v>3</v>
      </c>
      <c r="B1" s="3"/>
      <c r="D1" s="5" t="s">
        <v>4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 t="s">
        <v>65</v>
      </c>
      <c r="T1" s="4" t="s">
        <v>64</v>
      </c>
    </row>
    <row r="2" spans="1:20" ht="20.149999999999999" customHeight="1" x14ac:dyDescent="0.35">
      <c r="A2" s="8"/>
      <c r="B2" s="9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2"/>
      <c r="T2" s="4">
        <v>93</v>
      </c>
    </row>
    <row r="3" spans="1:20" ht="20.149999999999999" customHeight="1" x14ac:dyDescent="0.35">
      <c r="A3" s="8"/>
      <c r="B3" s="13"/>
      <c r="C3" s="3" t="s">
        <v>64</v>
      </c>
      <c r="D3" s="4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15"/>
      <c r="T3" s="4">
        <v>121</v>
      </c>
    </row>
    <row r="4" spans="1:20" ht="20.149999999999999" customHeight="1" x14ac:dyDescent="0.35">
      <c r="A4" s="8"/>
      <c r="B4" s="13"/>
      <c r="C4" s="14"/>
      <c r="D4" s="1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15"/>
      <c r="T4" s="4">
        <v>94</v>
      </c>
    </row>
    <row r="5" spans="1:20" ht="20.149999999999999" customHeight="1" x14ac:dyDescent="0.35">
      <c r="A5" s="8"/>
      <c r="B5" s="13"/>
      <c r="C5" s="30" t="s">
        <v>8</v>
      </c>
      <c r="D5" s="16" t="s">
        <v>188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5"/>
      <c r="T5" s="4">
        <v>93</v>
      </c>
    </row>
    <row r="6" spans="1:20" ht="20.149999999999999" customHeight="1" x14ac:dyDescent="0.35">
      <c r="A6" s="8"/>
      <c r="B6" s="13"/>
      <c r="C6" s="31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5"/>
      <c r="T6" s="4">
        <v>92</v>
      </c>
    </row>
    <row r="7" spans="1:20" ht="20.149999999999999" customHeight="1" x14ac:dyDescent="0.35">
      <c r="A7" s="8"/>
      <c r="B7" s="13"/>
      <c r="C7" s="30" t="s">
        <v>9</v>
      </c>
      <c r="D7" s="16" t="s">
        <v>186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5"/>
      <c r="T7" s="4">
        <v>81</v>
      </c>
    </row>
    <row r="8" spans="1:20" ht="20.149999999999999" customHeight="1" x14ac:dyDescent="0.35">
      <c r="A8" s="8"/>
      <c r="B8" s="13"/>
      <c r="C8" s="31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5"/>
      <c r="T8" s="4">
        <v>107</v>
      </c>
    </row>
    <row r="9" spans="1:20" ht="20.149999999999999" customHeight="1" x14ac:dyDescent="0.35">
      <c r="A9" s="8"/>
      <c r="B9" s="13"/>
      <c r="C9" s="30" t="s">
        <v>10</v>
      </c>
      <c r="D9" s="16" t="s">
        <v>187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5"/>
      <c r="T9" s="4">
        <v>98</v>
      </c>
    </row>
    <row r="10" spans="1:20" ht="20.149999999999999" customHeight="1" x14ac:dyDescent="0.35">
      <c r="A10" s="8"/>
      <c r="B10" s="13"/>
      <c r="C10" s="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5"/>
      <c r="T10" s="4">
        <v>81</v>
      </c>
    </row>
    <row r="11" spans="1:20" ht="20.149999999999999" customHeight="1" thickBot="1" x14ac:dyDescent="0.4">
      <c r="A11" s="8"/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20"/>
      <c r="T11" s="4">
        <v>85</v>
      </c>
    </row>
    <row r="12" spans="1:20" ht="20.149999999999999" customHeight="1" x14ac:dyDescent="0.35">
      <c r="A12" s="8"/>
      <c r="B12" s="8"/>
      <c r="C12" s="6"/>
      <c r="D12" s="8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T12" s="4">
        <v>87</v>
      </c>
    </row>
    <row r="13" spans="1:20" ht="20.149999999999999" customHeight="1" thickBot="1" x14ac:dyDescent="0.4">
      <c r="A13" s="3" t="s">
        <v>5</v>
      </c>
      <c r="B13" s="3"/>
      <c r="C13" s="21"/>
      <c r="D13" s="5" t="s">
        <v>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 t="str">
        <f>R1</f>
        <v>Q.1.2 - Numerical Variable (BikeHired)</v>
      </c>
      <c r="T13" s="4">
        <v>102</v>
      </c>
    </row>
    <row r="14" spans="1:20" ht="20.149999999999999" customHeight="1" x14ac:dyDescent="0.35">
      <c r="A14" s="8"/>
      <c r="B14" s="9"/>
      <c r="C14" s="10"/>
      <c r="D14" s="11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2"/>
      <c r="T14" s="4">
        <v>110</v>
      </c>
    </row>
    <row r="15" spans="1:20" ht="20.149999999999999" customHeight="1" x14ac:dyDescent="0.35">
      <c r="A15" s="8"/>
      <c r="B15" s="13"/>
      <c r="C15" s="22"/>
      <c r="D15" s="23"/>
      <c r="E15" s="22"/>
      <c r="F15" s="22"/>
      <c r="G15" s="22"/>
      <c r="I15" s="6"/>
      <c r="K15" s="6"/>
      <c r="L15" s="6"/>
      <c r="M15" s="6"/>
      <c r="N15" s="6"/>
      <c r="O15" s="6"/>
      <c r="P15" s="6"/>
      <c r="Q15" s="6"/>
      <c r="R15" s="15"/>
      <c r="T15" s="4">
        <v>118</v>
      </c>
    </row>
    <row r="16" spans="1:20" ht="20.149999999999999" customHeight="1" x14ac:dyDescent="0.35">
      <c r="A16" s="8"/>
      <c r="B16" s="13"/>
      <c r="I16" s="6"/>
      <c r="K16" s="6"/>
      <c r="L16" s="6"/>
      <c r="M16" s="6"/>
      <c r="N16" s="6"/>
      <c r="O16" s="6"/>
      <c r="P16" s="6"/>
      <c r="Q16" s="6"/>
      <c r="R16" s="15"/>
      <c r="T16" s="4">
        <v>106</v>
      </c>
    </row>
    <row r="17" spans="6:20" ht="20.149999999999999" customHeight="1" x14ac:dyDescent="0.35">
      <c r="F17" s="26"/>
      <c r="G17" s="26"/>
      <c r="I17" s="6"/>
      <c r="K17" s="6"/>
      <c r="L17" s="6"/>
      <c r="M17" s="6"/>
      <c r="N17" s="6"/>
      <c r="O17" s="6"/>
      <c r="P17" s="6"/>
      <c r="Q17" s="6"/>
      <c r="R17" s="15"/>
      <c r="T17" s="4">
        <v>89</v>
      </c>
    </row>
    <row r="18" spans="6:20" ht="20.149999999999999" customHeight="1" x14ac:dyDescent="0.35">
      <c r="F18" s="26"/>
      <c r="G18" s="26"/>
      <c r="I18" s="6"/>
      <c r="K18" s="6"/>
      <c r="L18" s="6"/>
      <c r="M18" s="6"/>
      <c r="N18" s="6"/>
      <c r="O18" s="6"/>
      <c r="P18" s="6"/>
      <c r="Q18" s="6"/>
      <c r="R18" s="15"/>
      <c r="T18" s="4">
        <v>91</v>
      </c>
    </row>
    <row r="19" spans="6:20" ht="20.149999999999999" customHeight="1" x14ac:dyDescent="0.35">
      <c r="F19" s="138" t="s">
        <v>64</v>
      </c>
      <c r="G19" s="138"/>
      <c r="I19" s="6"/>
      <c r="K19" s="6"/>
      <c r="L19" s="6"/>
      <c r="M19" s="6"/>
      <c r="N19" s="6"/>
      <c r="O19" s="6"/>
      <c r="P19" s="6"/>
      <c r="Q19" s="6"/>
      <c r="R19" s="15"/>
      <c r="T19" s="4">
        <v>87</v>
      </c>
    </row>
    <row r="20" spans="6:20" ht="20.149999999999999" customHeight="1" x14ac:dyDescent="0.35">
      <c r="F20" s="139"/>
      <c r="G20" s="139"/>
      <c r="I20" s="6"/>
      <c r="K20" s="6"/>
      <c r="L20" s="6"/>
      <c r="M20" s="6"/>
      <c r="N20" s="6"/>
      <c r="O20" s="6"/>
      <c r="P20" s="6"/>
      <c r="Q20" s="6"/>
      <c r="R20" s="15"/>
      <c r="T20" s="4">
        <v>76</v>
      </c>
    </row>
    <row r="21" spans="6:20" ht="20.149999999999999" customHeight="1" x14ac:dyDescent="0.35">
      <c r="F21" s="139" t="s">
        <v>101</v>
      </c>
      <c r="G21" s="159">
        <v>68.104109589041101</v>
      </c>
      <c r="I21" s="6"/>
      <c r="K21" s="6"/>
      <c r="L21" s="6"/>
      <c r="M21" s="6"/>
      <c r="N21" s="6"/>
      <c r="O21" s="6"/>
      <c r="P21" s="6"/>
      <c r="Q21" s="6"/>
      <c r="R21" s="15"/>
      <c r="T21" s="4">
        <v>68</v>
      </c>
    </row>
    <row r="22" spans="6:20" ht="20.149999999999999" customHeight="1" x14ac:dyDescent="0.35">
      <c r="F22" s="139" t="s">
        <v>102</v>
      </c>
      <c r="G22" s="159">
        <v>1.4446120023694451</v>
      </c>
      <c r="I22" s="6"/>
      <c r="K22" s="6"/>
      <c r="L22" s="6"/>
      <c r="M22" s="6"/>
      <c r="N22" s="6"/>
      <c r="O22" s="6"/>
      <c r="P22" s="6"/>
      <c r="Q22" s="6"/>
      <c r="R22" s="15"/>
      <c r="T22" s="4">
        <v>66</v>
      </c>
    </row>
    <row r="23" spans="6:20" ht="20.149999999999999" customHeight="1" x14ac:dyDescent="0.35">
      <c r="F23" s="139" t="s">
        <v>103</v>
      </c>
      <c r="G23" s="159">
        <v>75</v>
      </c>
      <c r="I23" s="6"/>
      <c r="K23" s="6"/>
      <c r="L23" s="6"/>
      <c r="M23" s="6"/>
      <c r="N23" s="6"/>
      <c r="O23" s="6"/>
      <c r="P23" s="6"/>
      <c r="Q23" s="6"/>
      <c r="R23" s="15"/>
      <c r="T23" s="4">
        <v>72</v>
      </c>
    </row>
    <row r="24" spans="6:20" ht="20.149999999999999" customHeight="1" x14ac:dyDescent="0.35">
      <c r="F24" s="139" t="s">
        <v>104</v>
      </c>
      <c r="G24" s="159">
        <v>96</v>
      </c>
      <c r="I24" s="6"/>
      <c r="K24" s="6"/>
      <c r="L24" s="6"/>
      <c r="M24" s="6"/>
      <c r="N24" s="6"/>
      <c r="O24" s="6"/>
      <c r="P24" s="6"/>
      <c r="Q24" s="6"/>
      <c r="R24" s="15"/>
      <c r="T24" s="4">
        <v>76</v>
      </c>
    </row>
    <row r="25" spans="6:20" ht="20.149999999999999" customHeight="1" x14ac:dyDescent="0.35">
      <c r="F25" s="139" t="s">
        <v>105</v>
      </c>
      <c r="G25" s="159">
        <v>27.599273552890807</v>
      </c>
      <c r="I25" s="6"/>
      <c r="K25" s="6"/>
      <c r="L25" s="6"/>
      <c r="M25" s="6"/>
      <c r="N25" s="6"/>
      <c r="O25" s="6"/>
      <c r="P25" s="6"/>
      <c r="Q25" s="6"/>
      <c r="R25" s="15"/>
      <c r="T25" s="4">
        <v>92</v>
      </c>
    </row>
    <row r="26" spans="6:20" ht="20.149999999999999" customHeight="1" x14ac:dyDescent="0.35">
      <c r="F26" s="139" t="s">
        <v>106</v>
      </c>
      <c r="G26" s="159">
        <v>761.71990064729789</v>
      </c>
      <c r="I26" s="6"/>
      <c r="K26" s="6"/>
      <c r="L26" s="6"/>
      <c r="M26" s="6"/>
      <c r="N26" s="6"/>
      <c r="O26" s="6"/>
      <c r="P26" s="6"/>
      <c r="Q26" s="6"/>
      <c r="R26" s="15"/>
      <c r="T26" s="4">
        <v>93</v>
      </c>
    </row>
    <row r="27" spans="6:20" ht="20.149999999999999" customHeight="1" x14ac:dyDescent="0.35">
      <c r="F27" s="139" t="s">
        <v>107</v>
      </c>
      <c r="G27" s="159">
        <v>-1.0830316996600871</v>
      </c>
      <c r="I27" s="6"/>
      <c r="K27" s="6"/>
      <c r="L27" s="6"/>
      <c r="M27" s="6"/>
      <c r="N27" s="6"/>
      <c r="O27" s="6"/>
      <c r="P27" s="6"/>
      <c r="Q27" s="6"/>
      <c r="R27" s="15"/>
      <c r="T27" s="4">
        <v>88</v>
      </c>
    </row>
    <row r="28" spans="6:20" ht="20.149999999999999" customHeight="1" x14ac:dyDescent="0.35">
      <c r="F28" s="139" t="s">
        <v>108</v>
      </c>
      <c r="G28" s="159">
        <v>-0.36188671845723069</v>
      </c>
      <c r="I28" s="6"/>
      <c r="K28" s="6"/>
      <c r="L28" s="6"/>
      <c r="M28" s="6"/>
      <c r="N28" s="6"/>
      <c r="O28" s="6"/>
      <c r="P28" s="6"/>
      <c r="Q28" s="6"/>
      <c r="R28" s="15"/>
      <c r="T28" s="4">
        <v>77</v>
      </c>
    </row>
    <row r="29" spans="6:20" ht="20.149999999999999" customHeight="1" x14ac:dyDescent="0.35">
      <c r="F29" s="139" t="s">
        <v>109</v>
      </c>
      <c r="G29" s="159">
        <v>113</v>
      </c>
      <c r="I29" s="6"/>
      <c r="K29" s="6"/>
      <c r="L29" s="6"/>
      <c r="M29" s="6"/>
      <c r="N29" s="6"/>
      <c r="O29" s="6"/>
      <c r="P29" s="6"/>
      <c r="Q29" s="6"/>
      <c r="R29" s="15"/>
      <c r="T29" s="4">
        <v>89</v>
      </c>
    </row>
    <row r="30" spans="6:20" ht="20.149999999999999" customHeight="1" x14ac:dyDescent="0.35">
      <c r="F30" s="139" t="s">
        <v>110</v>
      </c>
      <c r="G30" s="159">
        <v>8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15"/>
      <c r="T30" s="4">
        <v>86</v>
      </c>
    </row>
    <row r="31" spans="6:20" ht="20.149999999999999" customHeight="1" x14ac:dyDescent="0.35">
      <c r="F31" s="139" t="s">
        <v>111</v>
      </c>
      <c r="G31" s="159">
        <v>121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15"/>
      <c r="T31" s="4">
        <v>86</v>
      </c>
    </row>
    <row r="32" spans="6:20" ht="20.149999999999999" customHeight="1" x14ac:dyDescent="0.35">
      <c r="F32" s="139" t="s">
        <v>112</v>
      </c>
      <c r="G32" s="159">
        <v>24858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15"/>
      <c r="T32" s="4">
        <v>97</v>
      </c>
    </row>
    <row r="33" spans="6:20" ht="20.149999999999999" customHeight="1" x14ac:dyDescent="0.35">
      <c r="F33" s="139" t="s">
        <v>113</v>
      </c>
      <c r="G33" s="159">
        <v>365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15"/>
      <c r="T33" s="4">
        <v>71</v>
      </c>
    </row>
    <row r="34" spans="6:20" ht="20.149999999999999" customHeight="1" x14ac:dyDescent="0.35">
      <c r="F34" s="140"/>
      <c r="G34" s="288"/>
      <c r="H34" s="6"/>
      <c r="I34" s="6"/>
      <c r="J34" s="6"/>
      <c r="K34" s="6"/>
      <c r="L34" s="6"/>
      <c r="M34" s="6"/>
      <c r="N34" s="6"/>
      <c r="O34" s="6"/>
      <c r="P34" s="6"/>
      <c r="Q34" s="6"/>
      <c r="R34" s="15"/>
      <c r="T34" s="4">
        <v>92</v>
      </c>
    </row>
    <row r="35" spans="6:20" ht="20.149999999999999" customHeight="1" x14ac:dyDescent="0.35">
      <c r="F35" s="283" t="s">
        <v>114</v>
      </c>
      <c r="G35" s="289">
        <f>_xlfn.QUARTILE.INC(T2:T366,1)</f>
        <v>42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15"/>
      <c r="T35" s="4">
        <v>97</v>
      </c>
    </row>
    <row r="36" spans="6:20" ht="20.149999999999999" customHeight="1" x14ac:dyDescent="0.35">
      <c r="F36" s="284" t="s">
        <v>115</v>
      </c>
      <c r="G36" s="290">
        <f>_xlfn.QUARTILE.INC(T2:T366,3)</f>
        <v>92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15"/>
      <c r="T36" s="4">
        <v>85</v>
      </c>
    </row>
    <row r="37" spans="6:20" ht="20.149999999999999" customHeight="1" x14ac:dyDescent="0.35">
      <c r="F37" s="285" t="s">
        <v>116</v>
      </c>
      <c r="G37" s="291">
        <f>G36-G35</f>
        <v>50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15"/>
      <c r="T37" s="4">
        <v>76</v>
      </c>
    </row>
    <row r="38" spans="6:20" ht="20.149999999999999" customHeight="1" x14ac:dyDescent="0.35">
      <c r="F38" s="140"/>
      <c r="G38" s="288"/>
      <c r="H38" s="6"/>
      <c r="I38" s="6"/>
      <c r="J38" s="6"/>
      <c r="K38" s="6"/>
      <c r="L38" s="6"/>
      <c r="M38" s="6"/>
      <c r="N38" s="6"/>
      <c r="O38" s="6"/>
      <c r="P38" s="6"/>
      <c r="Q38" s="6"/>
      <c r="R38" s="15"/>
      <c r="T38" s="4">
        <v>87</v>
      </c>
    </row>
    <row r="39" spans="6:20" ht="20.149999999999999" customHeight="1" x14ac:dyDescent="0.35">
      <c r="F39" s="140" t="s">
        <v>136</v>
      </c>
      <c r="G39" s="288"/>
      <c r="H39" s="6"/>
      <c r="I39" s="6"/>
      <c r="J39" s="6"/>
      <c r="K39" s="6"/>
      <c r="L39" s="6"/>
      <c r="M39" s="6"/>
      <c r="N39" s="6"/>
      <c r="O39" s="6"/>
      <c r="P39" s="6"/>
      <c r="Q39" s="6"/>
      <c r="R39" s="15"/>
      <c r="T39" s="4">
        <v>92</v>
      </c>
    </row>
    <row r="40" spans="6:20" ht="20.149999999999999" customHeight="1" x14ac:dyDescent="0.35">
      <c r="F40" s="286" t="s">
        <v>117</v>
      </c>
      <c r="G40" s="292">
        <f>G35-1.5*G37</f>
        <v>-33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15"/>
      <c r="T40" s="4">
        <v>96</v>
      </c>
    </row>
    <row r="41" spans="6:20" ht="20.149999999999999" customHeight="1" x14ac:dyDescent="0.35">
      <c r="F41" s="287" t="s">
        <v>118</v>
      </c>
      <c r="G41" s="293">
        <f>G36+1.5*G37</f>
        <v>167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15"/>
      <c r="T41" s="4">
        <v>96</v>
      </c>
    </row>
    <row r="42" spans="6:20" ht="20.149999999999999" customHeight="1" x14ac:dyDescent="0.35">
      <c r="F42" s="141"/>
      <c r="G42" s="288"/>
      <c r="H42" s="28"/>
      <c r="I42" s="6"/>
      <c r="J42" s="6"/>
      <c r="K42" s="6"/>
      <c r="L42" s="29"/>
      <c r="M42" s="28"/>
      <c r="N42" s="29"/>
      <c r="O42" s="6"/>
      <c r="P42" s="6"/>
      <c r="Q42" s="6"/>
      <c r="R42" s="15"/>
      <c r="T42" s="4">
        <v>98</v>
      </c>
    </row>
    <row r="43" spans="6:20" ht="20.149999999999999" customHeight="1" x14ac:dyDescent="0.35">
      <c r="F43" s="6"/>
      <c r="G43" s="6"/>
      <c r="H43" s="28"/>
      <c r="I43" s="6"/>
      <c r="J43" s="6"/>
      <c r="K43" s="6"/>
      <c r="L43" s="29"/>
      <c r="M43" s="28"/>
      <c r="N43" s="29"/>
      <c r="O43" s="6"/>
      <c r="P43" s="6"/>
      <c r="Q43" s="6"/>
      <c r="R43" s="15"/>
      <c r="T43" s="4">
        <v>83</v>
      </c>
    </row>
    <row r="44" spans="6:20" ht="20.149999999999999" customHeight="1" x14ac:dyDescent="0.35">
      <c r="F44" s="6"/>
      <c r="G44" s="6"/>
      <c r="H44" s="28"/>
      <c r="I44" s="6"/>
      <c r="J44" s="6"/>
      <c r="K44" s="6"/>
      <c r="L44" s="29"/>
      <c r="M44" s="28"/>
      <c r="N44" s="29"/>
      <c r="O44" s="6"/>
      <c r="P44" s="6"/>
      <c r="Q44" s="6"/>
      <c r="R44" s="15"/>
      <c r="T44" s="4">
        <v>77</v>
      </c>
    </row>
    <row r="45" spans="6:20" ht="20.149999999999999" customHeight="1" x14ac:dyDescent="0.35">
      <c r="F45" s="6"/>
      <c r="G45" s="6"/>
      <c r="H45" s="28"/>
      <c r="I45" s="6"/>
      <c r="J45" s="6"/>
      <c r="K45" s="6"/>
      <c r="L45" s="29"/>
      <c r="M45" s="28"/>
      <c r="N45" s="29"/>
      <c r="O45" s="6"/>
      <c r="P45" s="6"/>
      <c r="Q45" s="6"/>
      <c r="R45" s="15"/>
      <c r="T45" s="4">
        <v>87</v>
      </c>
    </row>
    <row r="46" spans="6:20" ht="20.149999999999999" customHeight="1" x14ac:dyDescent="0.35">
      <c r="F46" s="6"/>
      <c r="G46" s="28"/>
      <c r="H46" s="28"/>
      <c r="I46" s="6"/>
      <c r="J46" s="6"/>
      <c r="K46" s="6"/>
      <c r="L46" s="29"/>
      <c r="M46" s="28"/>
      <c r="N46" s="29"/>
      <c r="O46" s="6"/>
      <c r="P46" s="6"/>
      <c r="Q46" s="6"/>
      <c r="R46" s="15"/>
      <c r="T46" s="4">
        <v>94</v>
      </c>
    </row>
    <row r="47" spans="6:20" ht="20.149999999999999" customHeight="1" thickBot="1" x14ac:dyDescent="0.4"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20"/>
      <c r="T47" s="4">
        <v>94</v>
      </c>
    </row>
    <row r="48" spans="6:20" ht="20.149999999999999" customHeight="1" x14ac:dyDescent="0.35"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T48" s="4">
        <v>76</v>
      </c>
    </row>
    <row r="49" spans="1:20" ht="20.149999999999999" customHeight="1" x14ac:dyDescent="0.35">
      <c r="A49" s="3" t="s">
        <v>6</v>
      </c>
      <c r="B49" s="3"/>
      <c r="C49" s="6"/>
      <c r="D49" s="5" t="s">
        <v>7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7"/>
      <c r="T49" s="4">
        <v>83</v>
      </c>
    </row>
    <row r="50" spans="1:20" ht="20.149999999999999" customHeight="1" x14ac:dyDescent="0.35">
      <c r="C50" s="6"/>
      <c r="D50" s="8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>
        <v>104</v>
      </c>
    </row>
    <row r="51" spans="1:20" ht="20.149999999999999" customHeight="1" x14ac:dyDescent="0.35">
      <c r="C51" s="6"/>
      <c r="D51" s="8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>
        <v>77</v>
      </c>
    </row>
    <row r="52" spans="1:20" ht="20.149999999999999" customHeight="1" x14ac:dyDescent="0.35">
      <c r="C52" s="6"/>
      <c r="D52" s="8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>
        <v>96</v>
      </c>
    </row>
    <row r="53" spans="1:20" ht="20.149999999999999" customHeight="1" x14ac:dyDescent="0.35">
      <c r="C53" s="6"/>
      <c r="D53" s="8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>
        <v>118</v>
      </c>
    </row>
    <row r="54" spans="1:20" ht="20.149999999999999" customHeight="1" x14ac:dyDescent="0.35">
      <c r="C54" s="6"/>
      <c r="D54" s="8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>
        <v>103</v>
      </c>
    </row>
    <row r="55" spans="1:20" ht="20.149999999999999" customHeight="1" x14ac:dyDescent="0.35">
      <c r="C55" s="6"/>
      <c r="D55" s="8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>
        <v>71</v>
      </c>
    </row>
    <row r="56" spans="1:20" ht="20.149999999999999" customHeight="1" x14ac:dyDescent="0.35">
      <c r="C56" s="6"/>
      <c r="D56" s="8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93</v>
      </c>
    </row>
    <row r="57" spans="1:20" ht="20.149999999999999" customHeight="1" x14ac:dyDescent="0.35">
      <c r="C57" s="6"/>
      <c r="D57" s="8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>
        <v>23</v>
      </c>
    </row>
    <row r="58" spans="1:20" ht="20.149999999999999" customHeight="1" x14ac:dyDescent="0.35">
      <c r="C58" s="6"/>
      <c r="D58" s="8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>
        <v>86</v>
      </c>
    </row>
    <row r="59" spans="1:20" ht="20.149999999999999" customHeight="1" x14ac:dyDescent="0.35">
      <c r="C59" s="6"/>
      <c r="D59" s="8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93</v>
      </c>
    </row>
    <row r="60" spans="1:20" ht="20.149999999999999" customHeight="1" x14ac:dyDescent="0.35">
      <c r="C60" s="6"/>
      <c r="D60" s="8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>
        <v>105</v>
      </c>
    </row>
    <row r="61" spans="1:20" ht="20.149999999999999" customHeight="1" x14ac:dyDescent="0.35">
      <c r="C61" s="6"/>
      <c r="D61" s="8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>
        <v>101</v>
      </c>
    </row>
    <row r="62" spans="1:20" ht="20.149999999999999" customHeight="1" x14ac:dyDescent="0.35">
      <c r="C62" s="6"/>
      <c r="D62" s="8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103</v>
      </c>
    </row>
    <row r="63" spans="1:20" ht="20.149999999999999" customHeight="1" x14ac:dyDescent="0.35">
      <c r="C63" s="6"/>
      <c r="D63" s="8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95</v>
      </c>
    </row>
    <row r="64" spans="1:20" ht="20.149999999999999" customHeight="1" x14ac:dyDescent="0.35">
      <c r="C64" s="6"/>
      <c r="D64" s="8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90</v>
      </c>
    </row>
    <row r="65" spans="20:20" ht="20.149999999999999" customHeight="1" x14ac:dyDescent="0.35">
      <c r="T65" s="6">
        <v>98</v>
      </c>
    </row>
    <row r="66" spans="20:20" ht="20.149999999999999" customHeight="1" x14ac:dyDescent="0.35">
      <c r="T66" s="6">
        <v>67</v>
      </c>
    </row>
    <row r="67" spans="20:20" ht="20.149999999999999" customHeight="1" x14ac:dyDescent="0.35">
      <c r="T67" s="6">
        <v>54</v>
      </c>
    </row>
    <row r="68" spans="20:20" ht="20.149999999999999" customHeight="1" x14ac:dyDescent="0.35">
      <c r="T68" s="6">
        <v>40</v>
      </c>
    </row>
    <row r="69" spans="20:20" ht="20.149999999999999" customHeight="1" x14ac:dyDescent="0.35">
      <c r="T69" s="6">
        <v>37</v>
      </c>
    </row>
    <row r="70" spans="20:20" ht="20.149999999999999" customHeight="1" x14ac:dyDescent="0.35">
      <c r="T70" s="6">
        <v>71</v>
      </c>
    </row>
    <row r="71" spans="20:20" ht="20.149999999999999" customHeight="1" x14ac:dyDescent="0.35">
      <c r="T71" s="6">
        <v>107</v>
      </c>
    </row>
    <row r="72" spans="20:20" ht="20.149999999999999" customHeight="1" x14ac:dyDescent="0.35">
      <c r="T72" s="6">
        <v>101</v>
      </c>
    </row>
    <row r="73" spans="20:20" ht="20.149999999999999" customHeight="1" x14ac:dyDescent="0.35">
      <c r="T73" s="6">
        <v>94</v>
      </c>
    </row>
    <row r="74" spans="20:20" ht="20.149999999999999" customHeight="1" x14ac:dyDescent="0.35">
      <c r="T74" s="6">
        <v>95</v>
      </c>
    </row>
    <row r="75" spans="20:20" ht="20.149999999999999" customHeight="1" x14ac:dyDescent="0.35">
      <c r="T75" s="6">
        <v>96</v>
      </c>
    </row>
    <row r="76" spans="20:20" ht="20.149999999999999" customHeight="1" x14ac:dyDescent="0.35">
      <c r="T76" s="6">
        <v>74</v>
      </c>
    </row>
    <row r="77" spans="20:20" ht="20.149999999999999" customHeight="1" x14ac:dyDescent="0.35">
      <c r="T77" s="6">
        <v>95</v>
      </c>
    </row>
    <row r="78" spans="20:20" ht="20.149999999999999" customHeight="1" x14ac:dyDescent="0.35">
      <c r="T78" s="6">
        <v>91</v>
      </c>
    </row>
    <row r="79" spans="20:20" ht="20.149999999999999" customHeight="1" x14ac:dyDescent="0.35">
      <c r="T79" s="6">
        <v>85</v>
      </c>
    </row>
    <row r="80" spans="20:20" ht="20.149999999999999" customHeight="1" x14ac:dyDescent="0.35">
      <c r="T80" s="6">
        <v>91</v>
      </c>
    </row>
    <row r="81" spans="20:20" ht="20.149999999999999" customHeight="1" x14ac:dyDescent="0.35">
      <c r="T81" s="6">
        <v>73</v>
      </c>
    </row>
    <row r="82" spans="20:20" ht="20.149999999999999" customHeight="1" x14ac:dyDescent="0.35">
      <c r="T82" s="6">
        <v>87</v>
      </c>
    </row>
    <row r="83" spans="20:20" ht="20.149999999999999" customHeight="1" x14ac:dyDescent="0.35">
      <c r="T83" s="6">
        <v>96</v>
      </c>
    </row>
    <row r="84" spans="20:20" ht="20.149999999999999" customHeight="1" x14ac:dyDescent="0.35">
      <c r="T84" s="6">
        <v>48</v>
      </c>
    </row>
    <row r="85" spans="20:20" ht="20.149999999999999" customHeight="1" x14ac:dyDescent="0.35">
      <c r="T85" s="6">
        <v>109</v>
      </c>
    </row>
    <row r="86" spans="20:20" ht="20.149999999999999" customHeight="1" x14ac:dyDescent="0.35">
      <c r="T86" s="6">
        <v>100</v>
      </c>
    </row>
    <row r="87" spans="20:20" ht="20.149999999999999" customHeight="1" x14ac:dyDescent="0.35">
      <c r="T87" s="6">
        <v>93</v>
      </c>
    </row>
    <row r="88" spans="20:20" ht="20.149999999999999" customHeight="1" x14ac:dyDescent="0.35">
      <c r="T88" s="6">
        <v>83</v>
      </c>
    </row>
    <row r="89" spans="20:20" ht="20.149999999999999" customHeight="1" x14ac:dyDescent="0.35">
      <c r="T89" s="6">
        <v>79</v>
      </c>
    </row>
    <row r="90" spans="20:20" ht="20.149999999999999" customHeight="1" x14ac:dyDescent="0.35">
      <c r="T90" s="6">
        <v>97</v>
      </c>
    </row>
    <row r="91" spans="20:20" ht="20.149999999999999" customHeight="1" x14ac:dyDescent="0.35">
      <c r="T91" s="6">
        <v>104</v>
      </c>
    </row>
    <row r="92" spans="20:20" ht="20.149999999999999" customHeight="1" x14ac:dyDescent="0.35">
      <c r="T92" s="6">
        <v>49</v>
      </c>
    </row>
    <row r="93" spans="20:20" ht="20.149999999999999" customHeight="1" x14ac:dyDescent="0.35">
      <c r="T93" s="6">
        <v>58</v>
      </c>
    </row>
    <row r="94" spans="20:20" ht="20.149999999999999" customHeight="1" x14ac:dyDescent="0.35">
      <c r="T94" s="6">
        <v>72</v>
      </c>
    </row>
    <row r="95" spans="20:20" ht="20.149999999999999" customHeight="1" x14ac:dyDescent="0.35">
      <c r="T95" s="6">
        <v>89</v>
      </c>
    </row>
    <row r="96" spans="20:20" ht="20.149999999999999" customHeight="1" x14ac:dyDescent="0.35">
      <c r="T96" s="6">
        <v>96</v>
      </c>
    </row>
    <row r="97" spans="20:20" ht="20.149999999999999" customHeight="1" x14ac:dyDescent="0.35">
      <c r="T97" s="6">
        <v>96</v>
      </c>
    </row>
    <row r="98" spans="20:20" ht="20.149999999999999" customHeight="1" x14ac:dyDescent="0.35">
      <c r="T98" s="6">
        <v>100</v>
      </c>
    </row>
    <row r="99" spans="20:20" ht="20.149999999999999" customHeight="1" x14ac:dyDescent="0.35">
      <c r="T99" s="6">
        <v>108</v>
      </c>
    </row>
    <row r="100" spans="20:20" ht="20.149999999999999" customHeight="1" x14ac:dyDescent="0.35">
      <c r="T100" s="6">
        <v>110</v>
      </c>
    </row>
    <row r="101" spans="20:20" ht="20.149999999999999" customHeight="1" x14ac:dyDescent="0.35">
      <c r="T101" s="6">
        <v>102</v>
      </c>
    </row>
    <row r="102" spans="20:20" ht="20.149999999999999" customHeight="1" x14ac:dyDescent="0.35">
      <c r="T102" s="6">
        <v>91</v>
      </c>
    </row>
    <row r="103" spans="20:20" ht="20.149999999999999" customHeight="1" x14ac:dyDescent="0.35">
      <c r="T103" s="6">
        <v>48</v>
      </c>
    </row>
    <row r="104" spans="20:20" ht="20.149999999999999" customHeight="1" x14ac:dyDescent="0.35">
      <c r="T104" s="6">
        <v>58</v>
      </c>
    </row>
    <row r="105" spans="20:20" ht="20.149999999999999" customHeight="1" x14ac:dyDescent="0.35">
      <c r="T105" s="6">
        <v>73</v>
      </c>
    </row>
    <row r="106" spans="20:20" ht="20.149999999999999" customHeight="1" x14ac:dyDescent="0.35">
      <c r="T106" s="6">
        <v>104</v>
      </c>
    </row>
    <row r="107" spans="20:20" ht="20.149999999999999" customHeight="1" x14ac:dyDescent="0.35">
      <c r="T107" s="6">
        <v>101</v>
      </c>
    </row>
    <row r="108" spans="20:20" ht="20.149999999999999" customHeight="1" x14ac:dyDescent="0.35">
      <c r="T108" s="6">
        <v>91</v>
      </c>
    </row>
    <row r="109" spans="20:20" ht="20.149999999999999" customHeight="1" x14ac:dyDescent="0.35">
      <c r="T109" s="6">
        <v>95</v>
      </c>
    </row>
    <row r="110" spans="20:20" ht="20.149999999999999" customHeight="1" x14ac:dyDescent="0.35">
      <c r="T110" s="6">
        <v>48</v>
      </c>
    </row>
    <row r="111" spans="20:20" ht="20.149999999999999" customHeight="1" x14ac:dyDescent="0.35">
      <c r="T111" s="6">
        <v>83</v>
      </c>
    </row>
    <row r="112" spans="20:20" ht="20.149999999999999" customHeight="1" x14ac:dyDescent="0.35">
      <c r="T112" s="6">
        <v>87</v>
      </c>
    </row>
    <row r="113" spans="20:20" ht="20.149999999999999" customHeight="1" x14ac:dyDescent="0.35">
      <c r="T113" s="6">
        <v>86</v>
      </c>
    </row>
    <row r="114" spans="20:20" ht="20.149999999999999" customHeight="1" x14ac:dyDescent="0.35">
      <c r="T114" s="6">
        <v>87</v>
      </c>
    </row>
    <row r="115" spans="20:20" ht="20.149999999999999" customHeight="1" x14ac:dyDescent="0.35">
      <c r="T115" s="6">
        <v>84</v>
      </c>
    </row>
    <row r="116" spans="20:20" ht="20.149999999999999" customHeight="1" x14ac:dyDescent="0.35">
      <c r="T116" s="6">
        <v>94</v>
      </c>
    </row>
    <row r="117" spans="20:20" ht="20.149999999999999" customHeight="1" x14ac:dyDescent="0.35">
      <c r="T117" s="6">
        <v>78</v>
      </c>
    </row>
    <row r="118" spans="20:20" ht="20.149999999999999" customHeight="1" x14ac:dyDescent="0.35">
      <c r="T118" s="6">
        <v>53</v>
      </c>
    </row>
    <row r="119" spans="20:20" ht="20.149999999999999" customHeight="1" x14ac:dyDescent="0.35">
      <c r="T119" s="6">
        <v>75</v>
      </c>
    </row>
    <row r="120" spans="20:20" ht="20.149999999999999" customHeight="1" x14ac:dyDescent="0.35">
      <c r="T120" s="6">
        <v>12</v>
      </c>
    </row>
    <row r="121" spans="20:20" ht="20.149999999999999" customHeight="1" x14ac:dyDescent="0.35">
      <c r="T121" s="6">
        <v>67</v>
      </c>
    </row>
    <row r="122" spans="20:20" ht="20.149999999999999" customHeight="1" x14ac:dyDescent="0.35">
      <c r="T122" s="6">
        <v>73</v>
      </c>
    </row>
    <row r="123" spans="20:20" ht="20.149999999999999" customHeight="1" x14ac:dyDescent="0.35">
      <c r="T123" s="6">
        <v>81</v>
      </c>
    </row>
    <row r="124" spans="20:20" ht="20.149999999999999" customHeight="1" x14ac:dyDescent="0.35">
      <c r="T124" s="6">
        <v>83</v>
      </c>
    </row>
    <row r="125" spans="20:20" ht="20.149999999999999" customHeight="1" x14ac:dyDescent="0.35">
      <c r="T125" s="6">
        <v>79</v>
      </c>
    </row>
    <row r="126" spans="20:20" ht="20.149999999999999" customHeight="1" x14ac:dyDescent="0.35">
      <c r="T126" s="6">
        <v>81</v>
      </c>
    </row>
    <row r="127" spans="20:20" ht="20.149999999999999" customHeight="1" x14ac:dyDescent="0.35">
      <c r="T127" s="6">
        <v>78</v>
      </c>
    </row>
    <row r="128" spans="20:20" ht="20.149999999999999" customHeight="1" x14ac:dyDescent="0.35">
      <c r="T128" s="6">
        <v>73</v>
      </c>
    </row>
    <row r="129" spans="20:20" ht="20.149999999999999" customHeight="1" x14ac:dyDescent="0.35">
      <c r="T129" s="6">
        <v>80</v>
      </c>
    </row>
    <row r="130" spans="20:20" ht="20.149999999999999" customHeight="1" x14ac:dyDescent="0.35">
      <c r="T130" s="6">
        <v>85</v>
      </c>
    </row>
    <row r="131" spans="20:20" ht="20.149999999999999" customHeight="1" x14ac:dyDescent="0.35">
      <c r="T131" s="6">
        <v>82</v>
      </c>
    </row>
    <row r="132" spans="20:20" ht="20.149999999999999" customHeight="1" x14ac:dyDescent="0.35">
      <c r="T132" s="6">
        <v>59</v>
      </c>
    </row>
    <row r="133" spans="20:20" ht="20.149999999999999" customHeight="1" x14ac:dyDescent="0.35">
      <c r="T133" s="6">
        <v>68</v>
      </c>
    </row>
    <row r="134" spans="20:20" ht="20.149999999999999" customHeight="1" x14ac:dyDescent="0.35">
      <c r="T134" s="6">
        <v>82</v>
      </c>
    </row>
    <row r="135" spans="20:20" ht="20.149999999999999" customHeight="1" x14ac:dyDescent="0.35">
      <c r="T135" s="6">
        <v>74</v>
      </c>
    </row>
    <row r="136" spans="20:20" ht="20.149999999999999" customHeight="1" x14ac:dyDescent="0.35">
      <c r="T136" s="6">
        <v>90</v>
      </c>
    </row>
    <row r="137" spans="20:20" ht="20.149999999999999" customHeight="1" x14ac:dyDescent="0.35">
      <c r="T137" s="6">
        <v>84</v>
      </c>
    </row>
    <row r="138" spans="20:20" ht="20.149999999999999" customHeight="1" x14ac:dyDescent="0.35">
      <c r="T138" s="6">
        <v>36</v>
      </c>
    </row>
    <row r="139" spans="20:20" ht="20.149999999999999" customHeight="1" x14ac:dyDescent="0.35">
      <c r="T139" s="6">
        <v>61</v>
      </c>
    </row>
    <row r="140" spans="20:20" ht="20.149999999999999" customHeight="1" x14ac:dyDescent="0.35">
      <c r="T140" s="6">
        <v>68</v>
      </c>
    </row>
    <row r="141" spans="20:20" ht="20.149999999999999" customHeight="1" x14ac:dyDescent="0.35">
      <c r="T141" s="6">
        <v>73</v>
      </c>
    </row>
    <row r="142" spans="20:20" ht="20.149999999999999" customHeight="1" x14ac:dyDescent="0.35">
      <c r="T142" s="6">
        <v>71</v>
      </c>
    </row>
    <row r="143" spans="20:20" ht="20.149999999999999" customHeight="1" x14ac:dyDescent="0.35">
      <c r="T143" s="6">
        <v>55</v>
      </c>
    </row>
    <row r="144" spans="20:20" ht="20.149999999999999" customHeight="1" x14ac:dyDescent="0.35">
      <c r="T144" s="6">
        <v>32</v>
      </c>
    </row>
    <row r="145" spans="20:20" ht="20.149999999999999" customHeight="1" x14ac:dyDescent="0.35">
      <c r="T145" s="6">
        <v>51</v>
      </c>
    </row>
    <row r="146" spans="20:20" ht="20.149999999999999" customHeight="1" x14ac:dyDescent="0.35">
      <c r="T146" s="6">
        <v>30</v>
      </c>
    </row>
    <row r="147" spans="20:20" ht="20.149999999999999" customHeight="1" x14ac:dyDescent="0.35">
      <c r="T147" s="6">
        <v>56</v>
      </c>
    </row>
    <row r="148" spans="20:20" ht="20.149999999999999" customHeight="1" x14ac:dyDescent="0.35">
      <c r="T148" s="6">
        <v>61</v>
      </c>
    </row>
    <row r="149" spans="20:20" ht="20.149999999999999" customHeight="1" x14ac:dyDescent="0.35">
      <c r="T149" s="6">
        <v>61</v>
      </c>
    </row>
    <row r="150" spans="20:20" ht="20.149999999999999" customHeight="1" x14ac:dyDescent="0.35">
      <c r="T150" s="6">
        <v>77</v>
      </c>
    </row>
    <row r="151" spans="20:20" ht="20.149999999999999" customHeight="1" x14ac:dyDescent="0.35">
      <c r="T151" s="6">
        <v>58</v>
      </c>
    </row>
    <row r="152" spans="20:20" ht="20.149999999999999" customHeight="1" x14ac:dyDescent="0.35">
      <c r="T152" s="6">
        <v>73</v>
      </c>
    </row>
    <row r="153" spans="20:20" ht="20.149999999999999" customHeight="1" x14ac:dyDescent="0.35">
      <c r="T153" s="6">
        <v>75</v>
      </c>
    </row>
    <row r="154" spans="20:20" ht="20.149999999999999" customHeight="1" x14ac:dyDescent="0.35">
      <c r="T154" s="6">
        <v>78</v>
      </c>
    </row>
    <row r="155" spans="20:20" ht="20.149999999999999" customHeight="1" x14ac:dyDescent="0.35">
      <c r="T155" s="6">
        <v>72</v>
      </c>
    </row>
    <row r="156" spans="20:20" ht="20.149999999999999" customHeight="1" x14ac:dyDescent="0.35">
      <c r="T156" s="6">
        <v>70</v>
      </c>
    </row>
    <row r="157" spans="20:20" ht="20.149999999999999" customHeight="1" x14ac:dyDescent="0.35">
      <c r="T157" s="6">
        <v>77</v>
      </c>
    </row>
    <row r="158" spans="20:20" ht="20.149999999999999" customHeight="1" x14ac:dyDescent="0.35">
      <c r="T158" s="6">
        <v>52</v>
      </c>
    </row>
    <row r="159" spans="20:20" ht="20.149999999999999" customHeight="1" x14ac:dyDescent="0.35">
      <c r="T159" s="6">
        <v>14</v>
      </c>
    </row>
    <row r="160" spans="20:20" ht="20.149999999999999" customHeight="1" x14ac:dyDescent="0.35">
      <c r="T160" s="6">
        <v>66</v>
      </c>
    </row>
    <row r="161" spans="20:20" ht="20.149999999999999" customHeight="1" x14ac:dyDescent="0.35">
      <c r="T161" s="6">
        <v>72</v>
      </c>
    </row>
    <row r="162" spans="20:20" ht="20.149999999999999" customHeight="1" x14ac:dyDescent="0.35">
      <c r="T162" s="6">
        <v>64</v>
      </c>
    </row>
    <row r="163" spans="20:20" ht="20.149999999999999" customHeight="1" x14ac:dyDescent="0.35">
      <c r="T163" s="6">
        <v>55</v>
      </c>
    </row>
    <row r="164" spans="20:20" ht="20.149999999999999" customHeight="1" x14ac:dyDescent="0.35">
      <c r="T164" s="6">
        <v>66</v>
      </c>
    </row>
    <row r="165" spans="20:20" ht="20.149999999999999" customHeight="1" x14ac:dyDescent="0.35">
      <c r="T165" s="6">
        <v>70</v>
      </c>
    </row>
    <row r="166" spans="20:20" ht="20.149999999999999" customHeight="1" x14ac:dyDescent="0.35">
      <c r="T166" s="6">
        <v>75</v>
      </c>
    </row>
    <row r="167" spans="20:20" ht="20.149999999999999" customHeight="1" x14ac:dyDescent="0.35">
      <c r="T167" s="6">
        <v>75</v>
      </c>
    </row>
    <row r="168" spans="20:20" ht="20.149999999999999" customHeight="1" x14ac:dyDescent="0.35">
      <c r="T168" s="6">
        <v>72</v>
      </c>
    </row>
    <row r="169" spans="20:20" ht="20.149999999999999" customHeight="1" x14ac:dyDescent="0.35">
      <c r="T169" s="6">
        <v>55</v>
      </c>
    </row>
    <row r="170" spans="20:20" ht="20.149999999999999" customHeight="1" x14ac:dyDescent="0.35">
      <c r="T170" s="6">
        <v>48</v>
      </c>
    </row>
    <row r="171" spans="20:20" ht="20.149999999999999" customHeight="1" x14ac:dyDescent="0.35">
      <c r="T171" s="6">
        <v>68</v>
      </c>
    </row>
    <row r="172" spans="20:20" ht="20.149999999999999" customHeight="1" x14ac:dyDescent="0.35">
      <c r="T172" s="6">
        <v>75</v>
      </c>
    </row>
    <row r="173" spans="20:20" ht="20.149999999999999" customHeight="1" x14ac:dyDescent="0.35">
      <c r="T173" s="6">
        <v>53</v>
      </c>
    </row>
    <row r="174" spans="20:20" ht="20.149999999999999" customHeight="1" x14ac:dyDescent="0.35">
      <c r="T174" s="6">
        <v>62</v>
      </c>
    </row>
    <row r="175" spans="20:20" ht="20.149999999999999" customHeight="1" x14ac:dyDescent="0.35">
      <c r="T175" s="6">
        <v>44</v>
      </c>
    </row>
    <row r="176" spans="20:20" ht="20.149999999999999" customHeight="1" x14ac:dyDescent="0.35">
      <c r="T176" s="6">
        <v>20</v>
      </c>
    </row>
    <row r="177" spans="20:20" ht="20.149999999999999" customHeight="1" x14ac:dyDescent="0.35">
      <c r="T177" s="6">
        <v>15</v>
      </c>
    </row>
    <row r="178" spans="20:20" ht="20.149999999999999" customHeight="1" x14ac:dyDescent="0.35">
      <c r="T178" s="6">
        <v>27</v>
      </c>
    </row>
    <row r="179" spans="20:20" ht="20.149999999999999" customHeight="1" x14ac:dyDescent="0.35">
      <c r="T179" s="6">
        <v>23</v>
      </c>
    </row>
    <row r="180" spans="20:20" ht="20.149999999999999" customHeight="1" x14ac:dyDescent="0.35">
      <c r="T180" s="6">
        <v>46</v>
      </c>
    </row>
    <row r="181" spans="20:20" ht="20.149999999999999" customHeight="1" x14ac:dyDescent="0.35">
      <c r="T181" s="6">
        <v>48</v>
      </c>
    </row>
    <row r="182" spans="20:20" ht="20.149999999999999" customHeight="1" x14ac:dyDescent="0.35">
      <c r="T182" s="6">
        <v>60</v>
      </c>
    </row>
    <row r="183" spans="20:20" ht="20.149999999999999" customHeight="1" x14ac:dyDescent="0.35">
      <c r="T183" s="6">
        <v>49</v>
      </c>
    </row>
    <row r="184" spans="20:20" ht="20.149999999999999" customHeight="1" x14ac:dyDescent="0.35">
      <c r="T184" s="6">
        <v>20</v>
      </c>
    </row>
    <row r="185" spans="20:20" ht="20.149999999999999" customHeight="1" x14ac:dyDescent="0.35">
      <c r="T185" s="6">
        <v>16</v>
      </c>
    </row>
    <row r="186" spans="20:20" ht="20.149999999999999" customHeight="1" x14ac:dyDescent="0.35">
      <c r="T186" s="6">
        <v>27</v>
      </c>
    </row>
    <row r="187" spans="20:20" ht="20.149999999999999" customHeight="1" x14ac:dyDescent="0.35">
      <c r="T187" s="6">
        <v>31</v>
      </c>
    </row>
    <row r="188" spans="20:20" ht="20.149999999999999" customHeight="1" x14ac:dyDescent="0.35">
      <c r="T188" s="6">
        <v>32</v>
      </c>
    </row>
    <row r="189" spans="20:20" ht="20.149999999999999" customHeight="1" x14ac:dyDescent="0.35">
      <c r="T189" s="6">
        <v>32</v>
      </c>
    </row>
    <row r="190" spans="20:20" ht="20.149999999999999" customHeight="1" x14ac:dyDescent="0.35">
      <c r="T190" s="6">
        <v>30</v>
      </c>
    </row>
    <row r="191" spans="20:20" ht="20.149999999999999" customHeight="1" x14ac:dyDescent="0.35">
      <c r="T191" s="6">
        <v>19</v>
      </c>
    </row>
    <row r="192" spans="20:20" ht="20.149999999999999" customHeight="1" x14ac:dyDescent="0.35">
      <c r="T192" s="6">
        <v>16</v>
      </c>
    </row>
    <row r="193" spans="20:20" ht="20.149999999999999" customHeight="1" x14ac:dyDescent="0.35">
      <c r="T193" s="6">
        <v>27</v>
      </c>
    </row>
    <row r="194" spans="20:20" ht="20.149999999999999" customHeight="1" x14ac:dyDescent="0.35">
      <c r="T194" s="6">
        <v>25</v>
      </c>
    </row>
    <row r="195" spans="20:20" ht="20.149999999999999" customHeight="1" x14ac:dyDescent="0.35">
      <c r="T195" s="6">
        <v>24</v>
      </c>
    </row>
    <row r="196" spans="20:20" ht="20.149999999999999" customHeight="1" x14ac:dyDescent="0.35">
      <c r="T196" s="6">
        <v>28</v>
      </c>
    </row>
    <row r="197" spans="20:20" ht="20.149999999999999" customHeight="1" x14ac:dyDescent="0.35">
      <c r="T197" s="6">
        <v>28</v>
      </c>
    </row>
    <row r="198" spans="20:20" ht="20.149999999999999" customHeight="1" x14ac:dyDescent="0.35">
      <c r="T198" s="6">
        <v>25</v>
      </c>
    </row>
    <row r="199" spans="20:20" ht="20.149999999999999" customHeight="1" x14ac:dyDescent="0.35">
      <c r="T199" s="6">
        <v>24</v>
      </c>
    </row>
    <row r="200" spans="20:20" ht="20.149999999999999" customHeight="1" x14ac:dyDescent="0.35">
      <c r="T200" s="6">
        <v>20</v>
      </c>
    </row>
    <row r="201" spans="20:20" ht="20.149999999999999" customHeight="1" x14ac:dyDescent="0.35">
      <c r="T201" s="6">
        <v>13</v>
      </c>
    </row>
    <row r="202" spans="20:20" ht="20.149999999999999" customHeight="1" x14ac:dyDescent="0.35">
      <c r="T202" s="6">
        <v>33</v>
      </c>
    </row>
    <row r="203" spans="20:20" ht="20.149999999999999" customHeight="1" x14ac:dyDescent="0.35">
      <c r="T203" s="6">
        <v>39</v>
      </c>
    </row>
    <row r="204" spans="20:20" ht="20.149999999999999" customHeight="1" x14ac:dyDescent="0.35">
      <c r="T204" s="6">
        <v>31</v>
      </c>
    </row>
    <row r="205" spans="20:20" ht="20.149999999999999" customHeight="1" x14ac:dyDescent="0.35">
      <c r="T205" s="6">
        <v>20</v>
      </c>
    </row>
    <row r="206" spans="20:20" ht="20.149999999999999" customHeight="1" x14ac:dyDescent="0.35">
      <c r="T206" s="6">
        <v>20</v>
      </c>
    </row>
    <row r="207" spans="20:20" ht="20.149999999999999" customHeight="1" x14ac:dyDescent="0.35">
      <c r="T207" s="6">
        <v>29</v>
      </c>
    </row>
    <row r="208" spans="20:20" ht="20.149999999999999" customHeight="1" x14ac:dyDescent="0.35">
      <c r="T208" s="6">
        <v>40</v>
      </c>
    </row>
    <row r="209" spans="20:20" ht="20.149999999999999" customHeight="1" x14ac:dyDescent="0.35">
      <c r="T209" s="6">
        <v>10</v>
      </c>
    </row>
    <row r="210" spans="20:20" ht="20.149999999999999" customHeight="1" x14ac:dyDescent="0.35">
      <c r="T210" s="6">
        <v>8</v>
      </c>
    </row>
    <row r="211" spans="20:20" ht="20.149999999999999" customHeight="1" x14ac:dyDescent="0.35">
      <c r="T211" s="6">
        <v>24</v>
      </c>
    </row>
    <row r="212" spans="20:20" ht="20.149999999999999" customHeight="1" x14ac:dyDescent="0.35">
      <c r="T212" s="6">
        <v>22</v>
      </c>
    </row>
    <row r="213" spans="20:20" ht="20.149999999999999" customHeight="1" x14ac:dyDescent="0.35">
      <c r="T213" s="6">
        <v>22</v>
      </c>
    </row>
    <row r="214" spans="20:20" ht="20.149999999999999" customHeight="1" x14ac:dyDescent="0.35">
      <c r="T214" s="6">
        <v>30</v>
      </c>
    </row>
    <row r="215" spans="20:20" ht="20.149999999999999" customHeight="1" x14ac:dyDescent="0.35">
      <c r="T215" s="6">
        <v>27</v>
      </c>
    </row>
    <row r="216" spans="20:20" ht="20.149999999999999" customHeight="1" x14ac:dyDescent="0.35">
      <c r="T216" s="6">
        <v>30</v>
      </c>
    </row>
    <row r="217" spans="20:20" ht="20.149999999999999" customHeight="1" x14ac:dyDescent="0.35">
      <c r="T217" s="6">
        <v>31</v>
      </c>
    </row>
    <row r="218" spans="20:20" ht="20.149999999999999" customHeight="1" x14ac:dyDescent="0.35">
      <c r="T218" s="6">
        <v>34</v>
      </c>
    </row>
    <row r="219" spans="20:20" ht="20.149999999999999" customHeight="1" x14ac:dyDescent="0.35">
      <c r="T219" s="6">
        <v>20</v>
      </c>
    </row>
    <row r="220" spans="20:20" ht="20.149999999999999" customHeight="1" x14ac:dyDescent="0.35">
      <c r="T220" s="6">
        <v>32</v>
      </c>
    </row>
    <row r="221" spans="20:20" ht="20.149999999999999" customHeight="1" x14ac:dyDescent="0.35">
      <c r="T221" s="6">
        <v>34</v>
      </c>
    </row>
    <row r="222" spans="20:20" ht="20.149999999999999" customHeight="1" x14ac:dyDescent="0.35">
      <c r="T222" s="6">
        <v>30</v>
      </c>
    </row>
    <row r="223" spans="20:20" ht="20.149999999999999" customHeight="1" x14ac:dyDescent="0.35">
      <c r="T223" s="6">
        <v>32</v>
      </c>
    </row>
    <row r="224" spans="20:20" ht="20.149999999999999" customHeight="1" x14ac:dyDescent="0.35">
      <c r="T224" s="6">
        <v>31</v>
      </c>
    </row>
    <row r="225" spans="20:20" ht="20.149999999999999" customHeight="1" x14ac:dyDescent="0.35">
      <c r="T225" s="6">
        <v>35</v>
      </c>
    </row>
    <row r="226" spans="20:20" ht="20.149999999999999" customHeight="1" x14ac:dyDescent="0.35">
      <c r="T226" s="6">
        <v>30</v>
      </c>
    </row>
    <row r="227" spans="20:20" ht="20.149999999999999" customHeight="1" x14ac:dyDescent="0.35">
      <c r="T227" s="6">
        <v>32</v>
      </c>
    </row>
    <row r="228" spans="20:20" ht="20.149999999999999" customHeight="1" x14ac:dyDescent="0.35">
      <c r="T228" s="6">
        <v>38</v>
      </c>
    </row>
    <row r="229" spans="20:20" ht="20.149999999999999" customHeight="1" x14ac:dyDescent="0.35">
      <c r="T229" s="6">
        <v>37</v>
      </c>
    </row>
    <row r="230" spans="20:20" ht="20.149999999999999" customHeight="1" x14ac:dyDescent="0.35">
      <c r="T230" s="6">
        <v>42</v>
      </c>
    </row>
    <row r="231" spans="20:20" ht="20.149999999999999" customHeight="1" x14ac:dyDescent="0.35">
      <c r="T231" s="6">
        <v>49</v>
      </c>
    </row>
    <row r="232" spans="20:20" ht="20.149999999999999" customHeight="1" x14ac:dyDescent="0.35">
      <c r="T232" s="6">
        <v>59</v>
      </c>
    </row>
    <row r="233" spans="20:20" ht="20.149999999999999" customHeight="1" x14ac:dyDescent="0.35">
      <c r="T233" s="6">
        <v>33</v>
      </c>
    </row>
    <row r="234" spans="20:20" ht="20.149999999999999" customHeight="1" x14ac:dyDescent="0.35">
      <c r="T234" s="6">
        <v>36</v>
      </c>
    </row>
    <row r="235" spans="20:20" ht="20.149999999999999" customHeight="1" x14ac:dyDescent="0.35">
      <c r="T235" s="6">
        <v>22</v>
      </c>
    </row>
    <row r="236" spans="20:20" ht="20.149999999999999" customHeight="1" x14ac:dyDescent="0.35">
      <c r="T236" s="6">
        <v>29</v>
      </c>
    </row>
    <row r="237" spans="20:20" ht="20.149999999999999" customHeight="1" x14ac:dyDescent="0.35">
      <c r="T237" s="6">
        <v>39</v>
      </c>
    </row>
    <row r="238" spans="20:20" ht="20.149999999999999" customHeight="1" x14ac:dyDescent="0.35">
      <c r="T238" s="6">
        <v>36</v>
      </c>
    </row>
    <row r="239" spans="20:20" ht="20.149999999999999" customHeight="1" x14ac:dyDescent="0.35">
      <c r="T239" s="6">
        <v>29</v>
      </c>
    </row>
    <row r="240" spans="20:20" ht="20.149999999999999" customHeight="1" x14ac:dyDescent="0.35">
      <c r="T240" s="6">
        <v>39</v>
      </c>
    </row>
    <row r="241" spans="20:20" ht="20.149999999999999" customHeight="1" x14ac:dyDescent="0.35">
      <c r="T241" s="6">
        <v>48</v>
      </c>
    </row>
    <row r="242" spans="20:20" ht="20.149999999999999" customHeight="1" x14ac:dyDescent="0.35">
      <c r="T242" s="6">
        <v>29</v>
      </c>
    </row>
    <row r="243" spans="20:20" ht="20.149999999999999" customHeight="1" x14ac:dyDescent="0.35">
      <c r="T243" s="6">
        <v>37</v>
      </c>
    </row>
    <row r="244" spans="20:20" ht="20.149999999999999" customHeight="1" x14ac:dyDescent="0.35">
      <c r="T244" s="6">
        <v>43</v>
      </c>
    </row>
    <row r="245" spans="20:20" ht="20.149999999999999" customHeight="1" x14ac:dyDescent="0.35">
      <c r="T245" s="6">
        <v>33</v>
      </c>
    </row>
    <row r="246" spans="20:20" ht="20.149999999999999" customHeight="1" x14ac:dyDescent="0.35">
      <c r="T246" s="6">
        <v>39</v>
      </c>
    </row>
    <row r="247" spans="20:20" ht="20.149999999999999" customHeight="1" x14ac:dyDescent="0.35">
      <c r="T247" s="6">
        <v>42</v>
      </c>
    </row>
    <row r="248" spans="20:20" ht="20.149999999999999" customHeight="1" x14ac:dyDescent="0.35">
      <c r="T248" s="6">
        <v>12</v>
      </c>
    </row>
    <row r="249" spans="20:20" ht="20.149999999999999" customHeight="1" x14ac:dyDescent="0.35">
      <c r="T249" s="6">
        <v>38</v>
      </c>
    </row>
    <row r="250" spans="20:20" ht="20.149999999999999" customHeight="1" x14ac:dyDescent="0.35">
      <c r="T250" s="6">
        <v>42</v>
      </c>
    </row>
    <row r="251" spans="20:20" ht="20.149999999999999" customHeight="1" x14ac:dyDescent="0.35">
      <c r="T251" s="6">
        <v>38</v>
      </c>
    </row>
    <row r="252" spans="20:20" ht="20.149999999999999" customHeight="1" x14ac:dyDescent="0.35">
      <c r="T252" s="6">
        <v>13</v>
      </c>
    </row>
    <row r="253" spans="20:20" ht="20.149999999999999" customHeight="1" x14ac:dyDescent="0.35">
      <c r="T253" s="6">
        <v>40</v>
      </c>
    </row>
    <row r="254" spans="20:20" ht="20.149999999999999" customHeight="1" x14ac:dyDescent="0.35">
      <c r="T254" s="6">
        <v>42</v>
      </c>
    </row>
    <row r="255" spans="20:20" ht="20.149999999999999" customHeight="1" x14ac:dyDescent="0.35">
      <c r="T255" s="6">
        <v>49</v>
      </c>
    </row>
    <row r="256" spans="20:20" ht="20.149999999999999" customHeight="1" x14ac:dyDescent="0.35">
      <c r="T256" s="6">
        <v>41</v>
      </c>
    </row>
    <row r="257" spans="20:20" ht="20.149999999999999" customHeight="1" x14ac:dyDescent="0.35">
      <c r="T257" s="6">
        <v>41</v>
      </c>
    </row>
    <row r="258" spans="20:20" ht="20.149999999999999" customHeight="1" x14ac:dyDescent="0.35">
      <c r="T258" s="6">
        <v>43</v>
      </c>
    </row>
    <row r="259" spans="20:20" ht="20.149999999999999" customHeight="1" x14ac:dyDescent="0.35">
      <c r="T259" s="6">
        <v>54</v>
      </c>
    </row>
    <row r="260" spans="20:20" ht="20.149999999999999" customHeight="1" x14ac:dyDescent="0.35">
      <c r="T260" s="6">
        <v>65</v>
      </c>
    </row>
    <row r="261" spans="20:20" ht="20.149999999999999" customHeight="1" x14ac:dyDescent="0.35">
      <c r="T261" s="6">
        <v>62</v>
      </c>
    </row>
    <row r="262" spans="20:20" ht="20.149999999999999" customHeight="1" x14ac:dyDescent="0.35">
      <c r="T262" s="6">
        <v>49</v>
      </c>
    </row>
    <row r="263" spans="20:20" ht="20.149999999999999" customHeight="1" x14ac:dyDescent="0.35">
      <c r="T263" s="6">
        <v>42</v>
      </c>
    </row>
    <row r="264" spans="20:20" ht="20.149999999999999" customHeight="1" x14ac:dyDescent="0.35">
      <c r="T264" s="6">
        <v>54</v>
      </c>
    </row>
    <row r="265" spans="20:20" ht="20.149999999999999" customHeight="1" x14ac:dyDescent="0.35">
      <c r="T265" s="6">
        <v>42</v>
      </c>
    </row>
    <row r="266" spans="20:20" x14ac:dyDescent="0.35">
      <c r="T266" s="4">
        <v>37</v>
      </c>
    </row>
    <row r="267" spans="20:20" x14ac:dyDescent="0.35">
      <c r="T267" s="4">
        <v>44</v>
      </c>
    </row>
    <row r="268" spans="20:20" x14ac:dyDescent="0.35">
      <c r="T268" s="4">
        <v>50</v>
      </c>
    </row>
    <row r="269" spans="20:20" x14ac:dyDescent="0.35">
      <c r="T269" s="4">
        <v>33</v>
      </c>
    </row>
    <row r="270" spans="20:20" x14ac:dyDescent="0.35">
      <c r="T270" s="4">
        <v>40</v>
      </c>
    </row>
    <row r="271" spans="20:20" x14ac:dyDescent="0.35">
      <c r="T271" s="4">
        <v>48</v>
      </c>
    </row>
    <row r="272" spans="20:20" x14ac:dyDescent="0.35">
      <c r="T272" s="4">
        <v>30</v>
      </c>
    </row>
    <row r="273" spans="20:20" x14ac:dyDescent="0.35">
      <c r="T273" s="4">
        <v>34</v>
      </c>
    </row>
    <row r="274" spans="20:20" x14ac:dyDescent="0.35">
      <c r="T274" s="4">
        <v>44</v>
      </c>
    </row>
    <row r="275" spans="20:20" x14ac:dyDescent="0.35">
      <c r="T275" s="4">
        <v>45</v>
      </c>
    </row>
    <row r="276" spans="20:20" x14ac:dyDescent="0.35">
      <c r="T276" s="4">
        <v>65</v>
      </c>
    </row>
    <row r="277" spans="20:20" x14ac:dyDescent="0.35">
      <c r="T277" s="4">
        <v>63</v>
      </c>
    </row>
    <row r="278" spans="20:20" x14ac:dyDescent="0.35">
      <c r="T278" s="4">
        <v>36</v>
      </c>
    </row>
    <row r="279" spans="20:20" x14ac:dyDescent="0.35">
      <c r="T279" s="4">
        <v>56</v>
      </c>
    </row>
    <row r="280" spans="20:20" x14ac:dyDescent="0.35">
      <c r="T280" s="4">
        <v>62</v>
      </c>
    </row>
    <row r="281" spans="20:20" x14ac:dyDescent="0.35">
      <c r="T281" s="4">
        <v>29</v>
      </c>
    </row>
    <row r="282" spans="20:20" x14ac:dyDescent="0.35">
      <c r="T282" s="4">
        <v>50</v>
      </c>
    </row>
    <row r="283" spans="20:20" x14ac:dyDescent="0.35">
      <c r="T283" s="4">
        <v>58</v>
      </c>
    </row>
    <row r="284" spans="20:20" x14ac:dyDescent="0.35">
      <c r="T284" s="4">
        <v>67</v>
      </c>
    </row>
    <row r="285" spans="20:20" x14ac:dyDescent="0.35">
      <c r="T285" s="4">
        <v>41</v>
      </c>
    </row>
    <row r="286" spans="20:20" x14ac:dyDescent="0.35">
      <c r="T286" s="4">
        <v>43</v>
      </c>
    </row>
    <row r="287" spans="20:20" x14ac:dyDescent="0.35">
      <c r="T287" s="4">
        <v>66</v>
      </c>
    </row>
    <row r="288" spans="20:20" x14ac:dyDescent="0.35">
      <c r="T288" s="4">
        <v>63</v>
      </c>
    </row>
    <row r="289" spans="20:20" x14ac:dyDescent="0.35">
      <c r="T289" s="4">
        <v>15</v>
      </c>
    </row>
    <row r="290" spans="20:20" x14ac:dyDescent="0.35">
      <c r="T290" s="4">
        <v>75</v>
      </c>
    </row>
    <row r="291" spans="20:20" x14ac:dyDescent="0.35">
      <c r="T291" s="4">
        <v>68</v>
      </c>
    </row>
    <row r="292" spans="20:20" x14ac:dyDescent="0.35">
      <c r="T292" s="4">
        <v>64</v>
      </c>
    </row>
    <row r="293" spans="20:20" x14ac:dyDescent="0.35">
      <c r="T293" s="4">
        <v>79</v>
      </c>
    </row>
    <row r="294" spans="20:20" x14ac:dyDescent="0.35">
      <c r="T294" s="4">
        <v>84</v>
      </c>
    </row>
    <row r="295" spans="20:20" x14ac:dyDescent="0.35">
      <c r="T295" s="4">
        <v>34</v>
      </c>
    </row>
    <row r="296" spans="20:20" x14ac:dyDescent="0.35">
      <c r="T296" s="4">
        <v>80</v>
      </c>
    </row>
    <row r="297" spans="20:20" x14ac:dyDescent="0.35">
      <c r="T297" s="4">
        <v>84</v>
      </c>
    </row>
    <row r="298" spans="20:20" x14ac:dyDescent="0.35">
      <c r="T298" s="4">
        <v>81</v>
      </c>
    </row>
    <row r="299" spans="20:20" x14ac:dyDescent="0.35">
      <c r="T299" s="4">
        <v>88</v>
      </c>
    </row>
    <row r="300" spans="20:20" x14ac:dyDescent="0.35">
      <c r="T300" s="4">
        <v>78</v>
      </c>
    </row>
    <row r="301" spans="20:20" x14ac:dyDescent="0.35">
      <c r="T301" s="4">
        <v>81</v>
      </c>
    </row>
    <row r="302" spans="20:20" x14ac:dyDescent="0.35">
      <c r="T302" s="4">
        <v>92</v>
      </c>
    </row>
    <row r="303" spans="20:20" x14ac:dyDescent="0.35">
      <c r="T303" s="4">
        <v>106</v>
      </c>
    </row>
    <row r="304" spans="20:20" x14ac:dyDescent="0.35">
      <c r="T304" s="4">
        <v>67</v>
      </c>
    </row>
    <row r="305" spans="20:20" x14ac:dyDescent="0.35">
      <c r="T305" s="4">
        <v>88</v>
      </c>
    </row>
    <row r="306" spans="20:20" x14ac:dyDescent="0.35">
      <c r="T306" s="4">
        <v>89</v>
      </c>
    </row>
    <row r="307" spans="20:20" x14ac:dyDescent="0.35">
      <c r="T307" s="4">
        <v>53</v>
      </c>
    </row>
    <row r="308" spans="20:20" x14ac:dyDescent="0.35">
      <c r="T308" s="4">
        <v>88</v>
      </c>
    </row>
    <row r="309" spans="20:20" x14ac:dyDescent="0.35">
      <c r="T309" s="4">
        <v>92</v>
      </c>
    </row>
    <row r="310" spans="20:20" x14ac:dyDescent="0.35">
      <c r="T310" s="4">
        <v>94</v>
      </c>
    </row>
    <row r="311" spans="20:20" x14ac:dyDescent="0.35">
      <c r="T311" s="4">
        <v>87</v>
      </c>
    </row>
    <row r="312" spans="20:20" x14ac:dyDescent="0.35">
      <c r="T312" s="4">
        <v>87</v>
      </c>
    </row>
    <row r="313" spans="20:20" x14ac:dyDescent="0.35">
      <c r="T313" s="4">
        <v>96</v>
      </c>
    </row>
    <row r="314" spans="20:20" x14ac:dyDescent="0.35">
      <c r="T314" s="4">
        <v>84</v>
      </c>
    </row>
    <row r="315" spans="20:20" x14ac:dyDescent="0.35">
      <c r="T315" s="4">
        <v>97</v>
      </c>
    </row>
    <row r="316" spans="20:20" x14ac:dyDescent="0.35">
      <c r="T316" s="4">
        <v>82</v>
      </c>
    </row>
    <row r="317" spans="20:20" x14ac:dyDescent="0.35">
      <c r="T317" s="4">
        <v>68</v>
      </c>
    </row>
    <row r="318" spans="20:20" x14ac:dyDescent="0.35">
      <c r="T318" s="4">
        <v>91</v>
      </c>
    </row>
    <row r="319" spans="20:20" x14ac:dyDescent="0.35">
      <c r="T319" s="4">
        <v>79</v>
      </c>
    </row>
    <row r="320" spans="20:20" x14ac:dyDescent="0.35">
      <c r="T320" s="4">
        <v>83</v>
      </c>
    </row>
    <row r="321" spans="20:20" x14ac:dyDescent="0.35">
      <c r="T321" s="4">
        <v>77</v>
      </c>
    </row>
    <row r="322" spans="20:20" x14ac:dyDescent="0.35">
      <c r="T322" s="4">
        <v>92</v>
      </c>
    </row>
    <row r="323" spans="20:20" x14ac:dyDescent="0.35">
      <c r="T323" s="4">
        <v>98</v>
      </c>
    </row>
    <row r="324" spans="20:20" x14ac:dyDescent="0.35">
      <c r="T324" s="4">
        <v>116</v>
      </c>
    </row>
    <row r="325" spans="20:20" x14ac:dyDescent="0.35">
      <c r="T325" s="4">
        <v>94</v>
      </c>
    </row>
    <row r="326" spans="20:20" x14ac:dyDescent="0.35">
      <c r="T326" s="4">
        <v>86</v>
      </c>
    </row>
    <row r="327" spans="20:20" x14ac:dyDescent="0.35">
      <c r="T327" s="4">
        <v>90</v>
      </c>
    </row>
    <row r="328" spans="20:20" x14ac:dyDescent="0.35">
      <c r="T328" s="4">
        <v>100</v>
      </c>
    </row>
    <row r="329" spans="20:20" x14ac:dyDescent="0.35">
      <c r="T329" s="4">
        <v>93</v>
      </c>
    </row>
    <row r="330" spans="20:20" x14ac:dyDescent="0.35">
      <c r="T330" s="4">
        <v>93</v>
      </c>
    </row>
    <row r="331" spans="20:20" x14ac:dyDescent="0.35">
      <c r="T331" s="4">
        <v>95</v>
      </c>
    </row>
    <row r="332" spans="20:20" x14ac:dyDescent="0.35">
      <c r="T332" s="4">
        <v>96</v>
      </c>
    </row>
    <row r="333" spans="20:20" x14ac:dyDescent="0.35">
      <c r="T333" s="4">
        <v>82</v>
      </c>
    </row>
    <row r="334" spans="20:20" x14ac:dyDescent="0.35">
      <c r="T334" s="4">
        <v>79</v>
      </c>
    </row>
    <row r="335" spans="20:20" x14ac:dyDescent="0.35">
      <c r="T335" s="4">
        <v>79</v>
      </c>
    </row>
    <row r="336" spans="20:20" x14ac:dyDescent="0.35">
      <c r="T336" s="4">
        <v>100</v>
      </c>
    </row>
    <row r="337" spans="20:20" x14ac:dyDescent="0.35">
      <c r="T337" s="4">
        <v>106</v>
      </c>
    </row>
    <row r="338" spans="20:20" x14ac:dyDescent="0.35">
      <c r="T338" s="4">
        <v>106</v>
      </c>
    </row>
    <row r="339" spans="20:20" x14ac:dyDescent="0.35">
      <c r="T339" s="4">
        <v>98</v>
      </c>
    </row>
    <row r="340" spans="20:20" x14ac:dyDescent="0.35">
      <c r="T340" s="4">
        <v>91</v>
      </c>
    </row>
    <row r="341" spans="20:20" x14ac:dyDescent="0.35">
      <c r="T341" s="4">
        <v>96</v>
      </c>
    </row>
    <row r="342" spans="20:20" x14ac:dyDescent="0.35">
      <c r="T342" s="4">
        <v>89</v>
      </c>
    </row>
    <row r="343" spans="20:20" x14ac:dyDescent="0.35">
      <c r="T343" s="4">
        <v>78</v>
      </c>
    </row>
    <row r="344" spans="20:20" x14ac:dyDescent="0.35">
      <c r="T344" s="4">
        <v>91</v>
      </c>
    </row>
    <row r="345" spans="20:20" x14ac:dyDescent="0.35">
      <c r="T345" s="4">
        <v>100</v>
      </c>
    </row>
    <row r="346" spans="20:20" x14ac:dyDescent="0.35">
      <c r="T346" s="4">
        <v>89</v>
      </c>
    </row>
    <row r="347" spans="20:20" x14ac:dyDescent="0.35">
      <c r="T347" s="4">
        <v>100</v>
      </c>
    </row>
    <row r="348" spans="20:20" x14ac:dyDescent="0.35">
      <c r="T348" s="4">
        <v>98</v>
      </c>
    </row>
    <row r="349" spans="20:20" x14ac:dyDescent="0.35">
      <c r="T349" s="4">
        <v>103</v>
      </c>
    </row>
    <row r="350" spans="20:20" x14ac:dyDescent="0.35">
      <c r="T350" s="4">
        <v>75</v>
      </c>
    </row>
    <row r="351" spans="20:20" x14ac:dyDescent="0.35">
      <c r="T351" s="4">
        <v>97</v>
      </c>
    </row>
    <row r="352" spans="20:20" x14ac:dyDescent="0.35">
      <c r="T352" s="4">
        <v>102</v>
      </c>
    </row>
    <row r="353" spans="20:20" x14ac:dyDescent="0.35">
      <c r="T353" s="4">
        <v>95</v>
      </c>
    </row>
    <row r="354" spans="20:20" x14ac:dyDescent="0.35">
      <c r="T354" s="4">
        <v>80</v>
      </c>
    </row>
    <row r="355" spans="20:20" x14ac:dyDescent="0.35">
      <c r="T355" s="4">
        <v>96</v>
      </c>
    </row>
    <row r="356" spans="20:20" x14ac:dyDescent="0.35">
      <c r="T356" s="4">
        <v>90</v>
      </c>
    </row>
    <row r="357" spans="20:20" x14ac:dyDescent="0.35">
      <c r="T357" s="4">
        <v>96</v>
      </c>
    </row>
    <row r="358" spans="20:20" x14ac:dyDescent="0.35">
      <c r="T358" s="4">
        <v>99</v>
      </c>
    </row>
    <row r="359" spans="20:20" x14ac:dyDescent="0.35">
      <c r="T359" s="4">
        <v>104</v>
      </c>
    </row>
    <row r="360" spans="20:20" x14ac:dyDescent="0.35">
      <c r="T360" s="4">
        <v>106</v>
      </c>
    </row>
    <row r="361" spans="20:20" x14ac:dyDescent="0.35">
      <c r="T361" s="4">
        <v>94</v>
      </c>
    </row>
    <row r="362" spans="20:20" x14ac:dyDescent="0.35">
      <c r="T362" s="4">
        <v>93</v>
      </c>
    </row>
    <row r="363" spans="20:20" x14ac:dyDescent="0.35">
      <c r="T363" s="4">
        <v>105</v>
      </c>
    </row>
    <row r="364" spans="20:20" x14ac:dyDescent="0.35">
      <c r="T364" s="4">
        <v>111</v>
      </c>
    </row>
    <row r="365" spans="20:20" x14ac:dyDescent="0.35">
      <c r="T365" s="4">
        <v>107</v>
      </c>
    </row>
    <row r="366" spans="20:20" x14ac:dyDescent="0.35">
      <c r="T366" s="4">
        <v>102</v>
      </c>
    </row>
  </sheetData>
  <printOptions horizontalCentered="1"/>
  <pageMargins left="0.11811023622047245" right="0.11811023622047245" top="0.15748031496062992" bottom="0.15748031496062992" header="0.31496062992125984" footer="0.31496062992125984"/>
  <pageSetup paperSize="9" scale="67" fitToHeight="1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B1F09-D75E-44C6-858C-CCEB51734923}">
  <sheetPr>
    <pageSetUpPr fitToPage="1"/>
  </sheetPr>
  <dimension ref="A1:V366"/>
  <sheetViews>
    <sheetView zoomScale="60" zoomScaleNormal="90" workbookViewId="0">
      <selection activeCell="I21" sqref="I21"/>
    </sheetView>
  </sheetViews>
  <sheetFormatPr defaultColWidth="14.36328125" defaultRowHeight="14.5" x14ac:dyDescent="0.35"/>
  <cols>
    <col min="1" max="2" width="6.36328125" style="24" customWidth="1"/>
    <col min="3" max="3" width="14.36328125" style="4"/>
    <col min="4" max="4" width="35.54296875" style="24" customWidth="1"/>
    <col min="5" max="5" width="29.453125" style="4" bestFit="1" customWidth="1"/>
    <col min="6" max="6" width="14.36328125" style="4"/>
    <col min="7" max="7" width="14.26953125" style="4" bestFit="1" customWidth="1"/>
    <col min="8" max="8" width="13.453125" style="4" bestFit="1" customWidth="1"/>
    <col min="9" max="9" width="21.36328125" style="4" bestFit="1" customWidth="1"/>
    <col min="10" max="11" width="13.6328125" style="4" bestFit="1" customWidth="1"/>
    <col min="12" max="12" width="21.36328125" style="4" bestFit="1" customWidth="1"/>
    <col min="13" max="19" width="14.36328125" style="4"/>
    <col min="20" max="20" width="12.7265625" style="85"/>
    <col min="21" max="16384" width="14.36328125" style="4"/>
  </cols>
  <sheetData>
    <row r="1" spans="1:22" ht="20.149999999999999" customHeight="1" thickBot="1" x14ac:dyDescent="0.4">
      <c r="A1" s="3" t="s">
        <v>3</v>
      </c>
      <c r="B1" s="3"/>
      <c r="D1" s="5" t="s">
        <v>4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 t="s">
        <v>63</v>
      </c>
      <c r="T1" s="84" t="s">
        <v>28</v>
      </c>
      <c r="U1" s="4" t="s">
        <v>58</v>
      </c>
    </row>
    <row r="2" spans="1:22" ht="20.149999999999999" customHeight="1" x14ac:dyDescent="0.35">
      <c r="A2" s="8"/>
      <c r="B2" s="9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2"/>
      <c r="T2" s="85" t="s">
        <v>43</v>
      </c>
      <c r="U2" s="4" t="s">
        <v>120</v>
      </c>
    </row>
    <row r="3" spans="1:22" ht="20.149999999999999" customHeight="1" x14ac:dyDescent="0.35">
      <c r="A3" s="8"/>
      <c r="B3" s="13"/>
      <c r="C3" s="32" t="s">
        <v>11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6"/>
      <c r="R3" s="15"/>
      <c r="T3" s="85" t="s">
        <v>43</v>
      </c>
      <c r="U3" s="4" t="s">
        <v>121</v>
      </c>
    </row>
    <row r="4" spans="1:22" ht="20.149999999999999" customHeight="1" x14ac:dyDescent="0.35">
      <c r="A4" s="8"/>
      <c r="B4" s="13"/>
      <c r="C4" s="33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6"/>
      <c r="R4" s="15"/>
      <c r="T4" s="85" t="s">
        <v>46</v>
      </c>
      <c r="U4" s="4" t="s">
        <v>120</v>
      </c>
    </row>
    <row r="5" spans="1:22" ht="20.149999999999999" customHeight="1" x14ac:dyDescent="0.35">
      <c r="A5" s="8"/>
      <c r="B5" s="13"/>
      <c r="C5" s="30" t="s">
        <v>8</v>
      </c>
      <c r="D5" s="16" t="s">
        <v>137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6"/>
      <c r="R5" s="15"/>
      <c r="T5" s="85" t="s">
        <v>46</v>
      </c>
      <c r="U5" s="4" t="s">
        <v>120</v>
      </c>
    </row>
    <row r="6" spans="1:22" ht="20.149999999999999" customHeight="1" x14ac:dyDescent="0.35">
      <c r="A6" s="8"/>
      <c r="B6" s="13"/>
      <c r="C6" s="30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6"/>
      <c r="R6" s="15"/>
      <c r="T6" s="85" t="s">
        <v>46</v>
      </c>
      <c r="U6" s="4" t="s">
        <v>120</v>
      </c>
    </row>
    <row r="7" spans="1:22" ht="20.149999999999999" customHeight="1" x14ac:dyDescent="0.35">
      <c r="A7" s="8"/>
      <c r="B7" s="13"/>
      <c r="C7" s="30" t="s">
        <v>9</v>
      </c>
      <c r="D7" s="16" t="s">
        <v>190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6"/>
      <c r="R7" s="15"/>
      <c r="T7" s="85" t="s">
        <v>46</v>
      </c>
      <c r="U7" s="4" t="s">
        <v>120</v>
      </c>
    </row>
    <row r="8" spans="1:22" ht="20.149999999999999" customHeight="1" x14ac:dyDescent="0.35">
      <c r="A8" s="8"/>
      <c r="B8" s="13"/>
      <c r="C8" s="30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6"/>
      <c r="R8" s="15"/>
      <c r="T8" s="85" t="s">
        <v>43</v>
      </c>
      <c r="U8" s="4" t="s">
        <v>121</v>
      </c>
    </row>
    <row r="9" spans="1:22" ht="20.149999999999999" customHeight="1" x14ac:dyDescent="0.35">
      <c r="A9" s="8"/>
      <c r="B9" s="13"/>
      <c r="C9" s="30" t="s">
        <v>10</v>
      </c>
      <c r="D9" s="16" t="s">
        <v>189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6"/>
      <c r="R9" s="15"/>
      <c r="T9" s="85" t="s">
        <v>43</v>
      </c>
      <c r="U9" s="4" t="s">
        <v>120</v>
      </c>
    </row>
    <row r="10" spans="1:22" ht="20.149999999999999" customHeight="1" x14ac:dyDescent="0.35">
      <c r="A10" s="8"/>
      <c r="B10" s="13"/>
      <c r="D10" s="25"/>
      <c r="E10" s="26"/>
      <c r="F10" s="26"/>
      <c r="G10" s="26"/>
      <c r="I10" s="6"/>
      <c r="K10" s="6"/>
      <c r="L10" s="6"/>
      <c r="M10" s="6"/>
      <c r="N10" s="6"/>
      <c r="O10" s="6"/>
      <c r="P10" s="6"/>
      <c r="Q10" s="6"/>
      <c r="R10" s="15"/>
      <c r="T10" s="85" t="s">
        <v>46</v>
      </c>
      <c r="U10" s="4" t="s">
        <v>120</v>
      </c>
    </row>
    <row r="11" spans="1:22" s="38" customFormat="1" ht="20.149999999999999" customHeight="1" thickBot="1" x14ac:dyDescent="0.4">
      <c r="A11" s="34"/>
      <c r="B11" s="35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7"/>
      <c r="S11" s="4"/>
      <c r="T11" s="85" t="s">
        <v>46</v>
      </c>
      <c r="U11" s="4" t="s">
        <v>120</v>
      </c>
      <c r="V11" s="4"/>
    </row>
    <row r="12" spans="1:22" ht="20.149999999999999" customHeight="1" x14ac:dyDescent="0.35">
      <c r="A12" s="8"/>
      <c r="B12" s="8"/>
      <c r="C12" s="6"/>
      <c r="D12" s="8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T12" s="85" t="s">
        <v>43</v>
      </c>
      <c r="U12" s="4" t="s">
        <v>120</v>
      </c>
    </row>
    <row r="13" spans="1:22" ht="20.149999999999999" customHeight="1" thickBot="1" x14ac:dyDescent="0.4">
      <c r="A13" s="3" t="s">
        <v>5</v>
      </c>
      <c r="B13" s="3"/>
      <c r="C13" s="21"/>
      <c r="D13" s="5" t="s">
        <v>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 t="str">
        <f>R1</f>
        <v>Q.2.1 - Bivariate Analysis (Weather : HireDay)</v>
      </c>
      <c r="T13" s="85" t="s">
        <v>46</v>
      </c>
      <c r="U13" s="4" t="s">
        <v>121</v>
      </c>
    </row>
    <row r="14" spans="1:22" ht="15.5" x14ac:dyDescent="0.35">
      <c r="A14" s="8"/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2"/>
      <c r="T14" s="85" t="s">
        <v>46</v>
      </c>
      <c r="U14" s="4" t="s">
        <v>121</v>
      </c>
    </row>
    <row r="15" spans="1:22" ht="20.149999999999999" customHeight="1" x14ac:dyDescent="0.35">
      <c r="A15" s="8"/>
      <c r="B15" s="13"/>
      <c r="D15" s="25"/>
      <c r="E15" s="26"/>
      <c r="F15" s="26"/>
      <c r="G15" s="26"/>
      <c r="I15" s="6"/>
      <c r="K15" s="6"/>
      <c r="L15" s="6"/>
      <c r="M15" s="6"/>
      <c r="N15" s="6"/>
      <c r="O15" s="6"/>
      <c r="P15" s="6"/>
      <c r="Q15" s="6"/>
      <c r="R15" s="15"/>
      <c r="T15" s="85" t="s">
        <v>46</v>
      </c>
      <c r="U15" s="4" t="s">
        <v>121</v>
      </c>
    </row>
    <row r="16" spans="1:22" ht="20.149999999999999" customHeight="1" x14ac:dyDescent="0.35">
      <c r="A16" s="8"/>
      <c r="B16" s="13"/>
      <c r="D16" s="25"/>
      <c r="E16" s="26"/>
      <c r="F16" s="26"/>
      <c r="G16" s="26"/>
      <c r="I16" s="6"/>
      <c r="K16" s="6"/>
      <c r="L16" s="6"/>
      <c r="M16" s="6"/>
      <c r="N16" s="6"/>
      <c r="O16" s="6"/>
      <c r="P16" s="6"/>
      <c r="Q16" s="6"/>
      <c r="R16" s="15"/>
      <c r="T16" s="85" t="s">
        <v>43</v>
      </c>
      <c r="U16" s="4" t="s">
        <v>121</v>
      </c>
    </row>
    <row r="17" spans="4:21" ht="20.149999999999999" customHeight="1" x14ac:dyDescent="0.35">
      <c r="G17" s="27"/>
      <c r="I17" s="6"/>
      <c r="K17" s="6"/>
      <c r="L17" s="6"/>
      <c r="M17" s="6"/>
      <c r="N17" s="6"/>
      <c r="O17" s="6"/>
      <c r="P17" s="6"/>
      <c r="Q17" s="6"/>
      <c r="R17" s="15"/>
      <c r="T17" s="85" t="s">
        <v>46</v>
      </c>
      <c r="U17" s="4" t="s">
        <v>120</v>
      </c>
    </row>
    <row r="18" spans="4:21" ht="20.149999999999999" customHeight="1" x14ac:dyDescent="0.35">
      <c r="M18" s="6"/>
      <c r="N18" s="6"/>
      <c r="O18" s="6"/>
      <c r="P18" s="6"/>
      <c r="Q18" s="6"/>
      <c r="R18" s="15"/>
      <c r="T18" s="85" t="s">
        <v>43</v>
      </c>
      <c r="U18" s="4" t="s">
        <v>120</v>
      </c>
    </row>
    <row r="19" spans="4:21" ht="20.149999999999999" customHeight="1" x14ac:dyDescent="0.35">
      <c r="M19" s="6"/>
      <c r="N19" s="6"/>
      <c r="O19" s="6"/>
      <c r="P19" s="6"/>
      <c r="Q19" s="6"/>
      <c r="R19" s="15"/>
      <c r="T19" s="85" t="s">
        <v>43</v>
      </c>
      <c r="U19" s="4" t="s">
        <v>120</v>
      </c>
    </row>
    <row r="20" spans="4:21" ht="15.5" x14ac:dyDescent="0.35">
      <c r="M20" s="6"/>
      <c r="N20" s="6"/>
      <c r="O20" s="6"/>
      <c r="P20" s="6"/>
      <c r="Q20" s="6"/>
      <c r="R20" s="15"/>
      <c r="T20" s="85" t="s">
        <v>43</v>
      </c>
      <c r="U20" s="4" t="s">
        <v>120</v>
      </c>
    </row>
    <row r="21" spans="4:21" ht="15.5" x14ac:dyDescent="0.35">
      <c r="M21" s="6"/>
      <c r="N21" s="6"/>
      <c r="O21" s="6"/>
      <c r="P21" s="6"/>
      <c r="Q21" s="6"/>
      <c r="R21" s="15"/>
      <c r="T21" s="85" t="s">
        <v>43</v>
      </c>
      <c r="U21" s="4" t="s">
        <v>122</v>
      </c>
    </row>
    <row r="22" spans="4:21" ht="15.5" x14ac:dyDescent="0.35">
      <c r="M22" s="6"/>
      <c r="N22" s="6"/>
      <c r="O22" s="6"/>
      <c r="P22" s="6"/>
      <c r="Q22" s="6"/>
      <c r="R22" s="15"/>
      <c r="T22" s="85" t="s">
        <v>46</v>
      </c>
      <c r="U22" s="4" t="s">
        <v>122</v>
      </c>
    </row>
    <row r="23" spans="4:21" ht="15.5" x14ac:dyDescent="0.35">
      <c r="M23" s="6"/>
      <c r="N23" s="6"/>
      <c r="O23" s="6"/>
      <c r="P23" s="6"/>
      <c r="Q23" s="6"/>
      <c r="R23" s="15"/>
      <c r="T23" s="85" t="s">
        <v>46</v>
      </c>
      <c r="U23" s="4" t="s">
        <v>120</v>
      </c>
    </row>
    <row r="24" spans="4:21" ht="28.5" x14ac:dyDescent="0.65">
      <c r="D24" s="142" t="s">
        <v>124</v>
      </c>
      <c r="E24" s="142" t="s">
        <v>119</v>
      </c>
      <c r="F24" s="143"/>
      <c r="G24" s="143"/>
      <c r="H24" s="143"/>
      <c r="I24" s="143"/>
      <c r="M24" s="6"/>
      <c r="N24" s="6"/>
      <c r="O24" s="6"/>
      <c r="P24" s="6"/>
      <c r="Q24" s="6"/>
      <c r="R24" s="15"/>
      <c r="T24" s="85" t="s">
        <v>46</v>
      </c>
      <c r="U24" s="4" t="s">
        <v>120</v>
      </c>
    </row>
    <row r="25" spans="4:21" ht="28.5" x14ac:dyDescent="0.65">
      <c r="D25" s="142" t="s">
        <v>98</v>
      </c>
      <c r="E25" s="143" t="s">
        <v>121</v>
      </c>
      <c r="F25" s="143" t="s">
        <v>120</v>
      </c>
      <c r="G25" s="143" t="s">
        <v>122</v>
      </c>
      <c r="H25" s="143" t="s">
        <v>135</v>
      </c>
      <c r="I25" s="143" t="s">
        <v>99</v>
      </c>
      <c r="M25" s="6"/>
      <c r="N25" s="6"/>
      <c r="O25" s="6"/>
      <c r="P25" s="6"/>
      <c r="Q25" s="6"/>
      <c r="R25" s="15"/>
      <c r="T25" s="85" t="s">
        <v>46</v>
      </c>
      <c r="U25" s="4" t="s">
        <v>120</v>
      </c>
    </row>
    <row r="26" spans="4:21" ht="28.5" x14ac:dyDescent="0.65">
      <c r="D26" s="144" t="s">
        <v>46</v>
      </c>
      <c r="E26" s="145">
        <v>6.575342465753424E-2</v>
      </c>
      <c r="F26" s="145">
        <v>0.27397260273972601</v>
      </c>
      <c r="G26" s="145">
        <v>0.12328767123287671</v>
      </c>
      <c r="H26" s="145">
        <v>0.15616438356164383</v>
      </c>
      <c r="I26" s="145">
        <v>0.61917808219178083</v>
      </c>
      <c r="J26" s="6"/>
      <c r="K26" s="6"/>
      <c r="L26" s="6"/>
      <c r="M26" s="6"/>
      <c r="N26" s="6"/>
      <c r="O26" s="6"/>
      <c r="P26" s="6"/>
      <c r="Q26" s="6"/>
      <c r="R26" s="15"/>
      <c r="T26" s="85" t="s">
        <v>43</v>
      </c>
      <c r="U26" s="4" t="s">
        <v>120</v>
      </c>
    </row>
    <row r="27" spans="4:21" ht="28.5" x14ac:dyDescent="0.65">
      <c r="D27" s="144" t="s">
        <v>43</v>
      </c>
      <c r="E27" s="145">
        <v>3.287671232876712E-2</v>
      </c>
      <c r="F27" s="145">
        <v>0.15616438356164383</v>
      </c>
      <c r="G27" s="145">
        <v>9.3150684931506855E-2</v>
      </c>
      <c r="H27" s="145">
        <v>5.7534246575342465E-2</v>
      </c>
      <c r="I27" s="145">
        <v>0.33972602739726027</v>
      </c>
      <c r="J27" s="6"/>
      <c r="K27" s="6"/>
      <c r="L27" s="6"/>
      <c r="M27" s="6"/>
      <c r="N27" s="6"/>
      <c r="O27" s="6"/>
      <c r="P27" s="6"/>
      <c r="Q27" s="6"/>
      <c r="R27" s="15"/>
      <c r="T27" s="85" t="s">
        <v>51</v>
      </c>
      <c r="U27" s="4" t="s">
        <v>120</v>
      </c>
    </row>
    <row r="28" spans="4:21" ht="28.5" x14ac:dyDescent="0.65">
      <c r="D28" s="144" t="s">
        <v>51</v>
      </c>
      <c r="E28" s="145">
        <v>8.21917808219178E-3</v>
      </c>
      <c r="F28" s="145">
        <v>2.1917808219178082E-2</v>
      </c>
      <c r="G28" s="145">
        <v>5.4794520547945206E-3</v>
      </c>
      <c r="H28" s="145">
        <v>5.4794520547945206E-3</v>
      </c>
      <c r="I28" s="145">
        <v>4.1095890410958902E-2</v>
      </c>
      <c r="J28" s="6"/>
      <c r="K28" s="6"/>
      <c r="L28" s="6"/>
      <c r="M28" s="6"/>
      <c r="N28" s="6"/>
      <c r="O28" s="6"/>
      <c r="P28" s="6"/>
      <c r="Q28" s="6"/>
      <c r="R28" s="15"/>
      <c r="T28" s="85" t="s">
        <v>46</v>
      </c>
      <c r="U28" s="4" t="s">
        <v>120</v>
      </c>
    </row>
    <row r="29" spans="4:21" ht="28.5" x14ac:dyDescent="0.65">
      <c r="D29" s="144" t="s">
        <v>99</v>
      </c>
      <c r="E29" s="145">
        <v>0.10684931506849316</v>
      </c>
      <c r="F29" s="145">
        <v>0.45205479452054792</v>
      </c>
      <c r="G29" s="145">
        <v>0.22191780821917809</v>
      </c>
      <c r="H29" s="145">
        <v>0.21917808219178081</v>
      </c>
      <c r="I29" s="145">
        <v>1</v>
      </c>
      <c r="J29" s="6"/>
      <c r="K29" s="6"/>
      <c r="L29" s="6"/>
      <c r="M29" s="6"/>
      <c r="N29" s="6"/>
      <c r="O29" s="6"/>
      <c r="P29" s="6"/>
      <c r="Q29" s="6"/>
      <c r="R29" s="15"/>
      <c r="T29" s="85" t="s">
        <v>43</v>
      </c>
      <c r="U29" s="4" t="s">
        <v>120</v>
      </c>
    </row>
    <row r="30" spans="4:21" ht="15.5" x14ac:dyDescent="0.35">
      <c r="G30"/>
      <c r="H30"/>
      <c r="I30"/>
      <c r="J30" s="6"/>
      <c r="K30" s="6"/>
      <c r="L30" s="6"/>
      <c r="M30" s="6"/>
      <c r="N30" s="6"/>
      <c r="O30" s="6"/>
      <c r="P30" s="6"/>
      <c r="Q30" s="6"/>
      <c r="R30" s="15"/>
      <c r="T30" s="85" t="s">
        <v>46</v>
      </c>
      <c r="U30" s="4" t="s">
        <v>120</v>
      </c>
    </row>
    <row r="31" spans="4:21" ht="20.149999999999999" customHeight="1" x14ac:dyDescent="0.35">
      <c r="G31"/>
      <c r="H31"/>
      <c r="I31"/>
      <c r="J31" s="6"/>
      <c r="K31" s="6"/>
      <c r="L31" s="6"/>
      <c r="M31" s="6"/>
      <c r="N31" s="6"/>
      <c r="O31" s="6"/>
      <c r="P31" s="6"/>
      <c r="Q31" s="6"/>
      <c r="R31" s="15"/>
      <c r="T31" s="85" t="s">
        <v>46</v>
      </c>
      <c r="U31" s="4" t="s">
        <v>120</v>
      </c>
    </row>
    <row r="32" spans="4:21" ht="20.149999999999999" customHeight="1" x14ac:dyDescent="0.35">
      <c r="G32"/>
      <c r="H32"/>
      <c r="I32"/>
      <c r="J32" s="6"/>
      <c r="K32" s="6"/>
      <c r="L32" s="6"/>
      <c r="M32" s="6"/>
      <c r="N32" s="6"/>
      <c r="O32" s="6"/>
      <c r="P32" s="6"/>
      <c r="Q32" s="6"/>
      <c r="R32" s="15"/>
      <c r="T32" s="85" t="s">
        <v>43</v>
      </c>
      <c r="U32" s="4" t="s">
        <v>120</v>
      </c>
    </row>
    <row r="33" spans="1:21" ht="20.149999999999999" customHeight="1" x14ac:dyDescent="0.35">
      <c r="A33" s="8"/>
      <c r="B33" s="13"/>
      <c r="C33" s="6"/>
      <c r="D33" s="8"/>
      <c r="E33" s="6"/>
      <c r="F33" s="6"/>
      <c r="G33"/>
      <c r="H33"/>
      <c r="I33"/>
      <c r="J33" s="6"/>
      <c r="K33" s="6"/>
      <c r="L33" s="6"/>
      <c r="M33" s="6"/>
      <c r="N33" s="6"/>
      <c r="O33" s="6"/>
      <c r="P33" s="6"/>
      <c r="Q33" s="6"/>
      <c r="R33" s="15"/>
      <c r="T33" s="85" t="s">
        <v>43</v>
      </c>
      <c r="U33" s="4" t="s">
        <v>120</v>
      </c>
    </row>
    <row r="34" spans="1:21" ht="20.149999999999999" customHeight="1" x14ac:dyDescent="0.35">
      <c r="A34" s="8"/>
      <c r="B34" s="13"/>
      <c r="C34" s="6"/>
      <c r="D34" s="8"/>
      <c r="E34" s="6"/>
      <c r="F34" s="6"/>
      <c r="G34"/>
      <c r="H34"/>
      <c r="I34"/>
      <c r="J34" s="6"/>
      <c r="K34" s="6"/>
      <c r="L34" s="29"/>
      <c r="M34" s="28"/>
      <c r="N34" s="29"/>
      <c r="O34" s="6"/>
      <c r="P34" s="6"/>
      <c r="Q34" s="6"/>
      <c r="R34" s="15"/>
      <c r="T34" s="85" t="s">
        <v>43</v>
      </c>
      <c r="U34" s="4" t="s">
        <v>120</v>
      </c>
    </row>
    <row r="35" spans="1:21" ht="20.149999999999999" customHeight="1" x14ac:dyDescent="0.35">
      <c r="A35" s="8"/>
      <c r="B35" s="13"/>
      <c r="C35" s="6"/>
      <c r="D35" s="8"/>
      <c r="E35" s="6"/>
      <c r="F35" s="6"/>
      <c r="G35"/>
      <c r="H35"/>
      <c r="I35"/>
      <c r="J35" s="6"/>
      <c r="K35" s="6"/>
      <c r="L35" s="29"/>
      <c r="M35" s="28"/>
      <c r="N35" s="29"/>
      <c r="O35" s="6"/>
      <c r="P35" s="6"/>
      <c r="Q35" s="6"/>
      <c r="R35" s="15"/>
      <c r="T35" s="85" t="s">
        <v>46</v>
      </c>
      <c r="U35" s="4" t="s">
        <v>120</v>
      </c>
    </row>
    <row r="36" spans="1:21" ht="20.149999999999999" customHeight="1" x14ac:dyDescent="0.35">
      <c r="A36" s="8"/>
      <c r="B36" s="13"/>
      <c r="C36" s="6"/>
      <c r="D36" s="8"/>
      <c r="E36" s="6"/>
      <c r="F36" s="6"/>
      <c r="G36" s="6"/>
      <c r="H36" s="28"/>
      <c r="I36" s="6"/>
      <c r="J36" s="6"/>
      <c r="K36" s="6"/>
      <c r="L36" s="29"/>
      <c r="M36" s="28"/>
      <c r="N36" s="29"/>
      <c r="O36" s="6"/>
      <c r="P36" s="6"/>
      <c r="Q36" s="6"/>
      <c r="R36" s="15"/>
      <c r="T36" s="85" t="s">
        <v>43</v>
      </c>
      <c r="U36" s="4" t="s">
        <v>120</v>
      </c>
    </row>
    <row r="37" spans="1:21" ht="20.149999999999999" customHeight="1" x14ac:dyDescent="0.35">
      <c r="A37" s="8"/>
      <c r="B37" s="13"/>
      <c r="C37" s="6"/>
      <c r="D37" s="8"/>
      <c r="E37" s="6"/>
      <c r="F37" s="6"/>
      <c r="G37" s="6"/>
      <c r="H37" s="28"/>
      <c r="I37" s="6"/>
      <c r="J37" s="6"/>
      <c r="K37" s="6"/>
      <c r="L37" s="29"/>
      <c r="M37" s="28"/>
      <c r="N37" s="29"/>
      <c r="O37" s="6"/>
      <c r="P37" s="6"/>
      <c r="Q37" s="6"/>
      <c r="R37" s="15"/>
      <c r="T37" s="85" t="s">
        <v>43</v>
      </c>
      <c r="U37" s="4" t="s">
        <v>120</v>
      </c>
    </row>
    <row r="38" spans="1:21" ht="20.149999999999999" customHeight="1" x14ac:dyDescent="0.35">
      <c r="A38" s="8"/>
      <c r="B38" s="13"/>
      <c r="C38" s="6"/>
      <c r="D38" s="8"/>
      <c r="E38" s="6"/>
      <c r="F38" s="6"/>
      <c r="G38" s="28"/>
      <c r="H38" s="28"/>
      <c r="I38" s="6"/>
      <c r="J38" s="6"/>
      <c r="K38" s="6"/>
      <c r="L38" s="29"/>
      <c r="M38" s="28"/>
      <c r="N38" s="29"/>
      <c r="O38" s="6"/>
      <c r="P38" s="6"/>
      <c r="Q38" s="6"/>
      <c r="R38" s="15"/>
      <c r="T38" s="85" t="s">
        <v>46</v>
      </c>
      <c r="U38" s="4" t="s">
        <v>120</v>
      </c>
    </row>
    <row r="39" spans="1:21" ht="20.149999999999999" customHeight="1" thickBot="1" x14ac:dyDescent="0.4">
      <c r="A39" s="8"/>
      <c r="B39" s="17"/>
      <c r="C39" s="18"/>
      <c r="D39" s="19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20"/>
      <c r="T39" s="85" t="s">
        <v>46</v>
      </c>
      <c r="U39" s="4" t="s">
        <v>120</v>
      </c>
    </row>
    <row r="40" spans="1:21" ht="20.149999999999999" customHeight="1" x14ac:dyDescent="0.35">
      <c r="A40" s="8"/>
      <c r="B40" s="8"/>
      <c r="C40" s="6"/>
      <c r="D40" s="8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T40" s="85" t="s">
        <v>46</v>
      </c>
      <c r="U40" s="4" t="s">
        <v>120</v>
      </c>
    </row>
    <row r="41" spans="1:21" ht="20.149999999999999" customHeight="1" x14ac:dyDescent="0.35">
      <c r="A41" s="3" t="s">
        <v>6</v>
      </c>
      <c r="B41" s="3"/>
      <c r="C41" s="6"/>
      <c r="D41" s="5" t="s">
        <v>7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7"/>
      <c r="T41" s="85" t="s">
        <v>43</v>
      </c>
      <c r="U41" s="4" t="s">
        <v>120</v>
      </c>
    </row>
    <row r="42" spans="1:21" ht="20.149999999999999" customHeight="1" x14ac:dyDescent="0.35">
      <c r="C42" s="6"/>
      <c r="D42" s="8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85" t="s">
        <v>46</v>
      </c>
      <c r="U42" s="6" t="s">
        <v>120</v>
      </c>
    </row>
    <row r="43" spans="1:21" ht="20.149999999999999" customHeight="1" x14ac:dyDescent="0.35">
      <c r="C43" s="6"/>
      <c r="D43" s="8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85" t="s">
        <v>46</v>
      </c>
      <c r="U43" s="6" t="s">
        <v>120</v>
      </c>
    </row>
    <row r="44" spans="1:21" ht="20.149999999999999" customHeight="1" x14ac:dyDescent="0.35">
      <c r="C44" s="6"/>
      <c r="D44" s="8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85" t="s">
        <v>46</v>
      </c>
      <c r="U44" s="6" t="s">
        <v>120</v>
      </c>
    </row>
    <row r="45" spans="1:21" ht="20.149999999999999" customHeight="1" x14ac:dyDescent="0.35">
      <c r="C45" s="6"/>
      <c r="D45" s="8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85" t="s">
        <v>46</v>
      </c>
      <c r="U45" s="6" t="s">
        <v>120</v>
      </c>
    </row>
    <row r="46" spans="1:21" ht="20.149999999999999" customHeight="1" x14ac:dyDescent="0.35">
      <c r="C46" s="6"/>
      <c r="D46" s="8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85" t="s">
        <v>46</v>
      </c>
      <c r="U46" s="6" t="s">
        <v>120</v>
      </c>
    </row>
    <row r="47" spans="1:21" ht="20.149999999999999" customHeight="1" x14ac:dyDescent="0.35">
      <c r="C47" s="6"/>
      <c r="D47" s="8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85" t="s">
        <v>46</v>
      </c>
      <c r="U47" s="6" t="s">
        <v>120</v>
      </c>
    </row>
    <row r="48" spans="1:21" ht="20.149999999999999" customHeight="1" x14ac:dyDescent="0.35">
      <c r="C48" s="6"/>
      <c r="D48" s="8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85" t="s">
        <v>46</v>
      </c>
      <c r="U48" s="6" t="s">
        <v>120</v>
      </c>
    </row>
    <row r="49" spans="20:21" ht="20.149999999999999" customHeight="1" x14ac:dyDescent="0.35">
      <c r="T49" s="85" t="s">
        <v>46</v>
      </c>
      <c r="U49" s="6" t="s">
        <v>120</v>
      </c>
    </row>
    <row r="50" spans="20:21" ht="20.149999999999999" customHeight="1" x14ac:dyDescent="0.35">
      <c r="T50" s="85" t="s">
        <v>46</v>
      </c>
      <c r="U50" s="6" t="s">
        <v>121</v>
      </c>
    </row>
    <row r="51" spans="20:21" ht="20.149999999999999" customHeight="1" x14ac:dyDescent="0.35">
      <c r="T51" s="85" t="s">
        <v>46</v>
      </c>
      <c r="U51" s="6" t="s">
        <v>120</v>
      </c>
    </row>
    <row r="52" spans="20:21" ht="20.149999999999999" customHeight="1" x14ac:dyDescent="0.35">
      <c r="T52" s="85" t="s">
        <v>46</v>
      </c>
      <c r="U52" s="6" t="s">
        <v>120</v>
      </c>
    </row>
    <row r="53" spans="20:21" ht="20.149999999999999" customHeight="1" x14ac:dyDescent="0.35">
      <c r="T53" s="85" t="s">
        <v>43</v>
      </c>
      <c r="U53" s="6" t="s">
        <v>121</v>
      </c>
    </row>
    <row r="54" spans="20:21" ht="20.149999999999999" customHeight="1" x14ac:dyDescent="0.35">
      <c r="T54" s="85" t="s">
        <v>46</v>
      </c>
      <c r="U54" s="6" t="s">
        <v>121</v>
      </c>
    </row>
    <row r="55" spans="20:21" ht="20.149999999999999" customHeight="1" x14ac:dyDescent="0.35">
      <c r="T55" s="85" t="s">
        <v>46</v>
      </c>
      <c r="U55" s="6" t="s">
        <v>120</v>
      </c>
    </row>
    <row r="56" spans="20:21" ht="20.149999999999999" customHeight="1" x14ac:dyDescent="0.35">
      <c r="T56" s="85" t="s">
        <v>43</v>
      </c>
      <c r="U56" s="6" t="s">
        <v>120</v>
      </c>
    </row>
    <row r="57" spans="20:21" ht="20.149999999999999" customHeight="1" x14ac:dyDescent="0.35">
      <c r="T57" s="85" t="s">
        <v>43</v>
      </c>
      <c r="U57" s="6" t="s">
        <v>123</v>
      </c>
    </row>
    <row r="58" spans="20:21" ht="20.149999999999999" customHeight="1" x14ac:dyDescent="0.35">
      <c r="T58" s="85" t="s">
        <v>46</v>
      </c>
      <c r="U58" s="6" t="s">
        <v>120</v>
      </c>
    </row>
    <row r="59" spans="20:21" ht="20.149999999999999" customHeight="1" x14ac:dyDescent="0.35">
      <c r="T59" s="85" t="s">
        <v>46</v>
      </c>
      <c r="U59" s="6" t="s">
        <v>120</v>
      </c>
    </row>
    <row r="60" spans="20:21" ht="20.149999999999999" customHeight="1" x14ac:dyDescent="0.35">
      <c r="T60" s="85" t="s">
        <v>43</v>
      </c>
      <c r="U60" s="6" t="s">
        <v>121</v>
      </c>
    </row>
    <row r="61" spans="20:21" ht="20.149999999999999" customHeight="1" x14ac:dyDescent="0.35">
      <c r="T61" s="85" t="s">
        <v>46</v>
      </c>
      <c r="U61" s="6" t="s">
        <v>121</v>
      </c>
    </row>
    <row r="62" spans="20:21" ht="20.149999999999999" customHeight="1" x14ac:dyDescent="0.35">
      <c r="T62" s="85" t="s">
        <v>46</v>
      </c>
      <c r="U62" s="6" t="s">
        <v>121</v>
      </c>
    </row>
    <row r="63" spans="20:21" ht="20.149999999999999" customHeight="1" x14ac:dyDescent="0.35">
      <c r="T63" s="85" t="s">
        <v>46</v>
      </c>
      <c r="U63" s="6" t="s">
        <v>120</v>
      </c>
    </row>
    <row r="64" spans="20:21" ht="20.149999999999999" customHeight="1" x14ac:dyDescent="0.35">
      <c r="T64" s="85" t="s">
        <v>43</v>
      </c>
      <c r="U64" s="6" t="s">
        <v>120</v>
      </c>
    </row>
    <row r="65" spans="20:21" ht="20.149999999999999" customHeight="1" x14ac:dyDescent="0.35">
      <c r="T65" s="85" t="s">
        <v>43</v>
      </c>
      <c r="U65" s="6" t="s">
        <v>120</v>
      </c>
    </row>
    <row r="66" spans="20:21" ht="20.149999999999999" customHeight="1" x14ac:dyDescent="0.35">
      <c r="T66" s="85" t="s">
        <v>43</v>
      </c>
      <c r="U66" s="6" t="s">
        <v>122</v>
      </c>
    </row>
    <row r="67" spans="20:21" ht="20.149999999999999" customHeight="1" x14ac:dyDescent="0.35">
      <c r="T67" s="85" t="s">
        <v>46</v>
      </c>
      <c r="U67" s="6" t="s">
        <v>122</v>
      </c>
    </row>
    <row r="68" spans="20:21" ht="20.149999999999999" customHeight="1" x14ac:dyDescent="0.35">
      <c r="T68" s="85" t="s">
        <v>46</v>
      </c>
      <c r="U68" s="6" t="s">
        <v>122</v>
      </c>
    </row>
    <row r="69" spans="20:21" ht="20.149999999999999" customHeight="1" x14ac:dyDescent="0.35">
      <c r="T69" s="85" t="s">
        <v>43</v>
      </c>
      <c r="U69" s="6" t="s">
        <v>123</v>
      </c>
    </row>
    <row r="70" spans="20:21" ht="20.149999999999999" customHeight="1" x14ac:dyDescent="0.35">
      <c r="T70" s="85" t="s">
        <v>51</v>
      </c>
      <c r="U70" s="6" t="s">
        <v>120</v>
      </c>
    </row>
    <row r="71" spans="20:21" ht="20.149999999999999" customHeight="1" x14ac:dyDescent="0.35">
      <c r="T71" s="85" t="s">
        <v>43</v>
      </c>
      <c r="U71" s="6" t="s">
        <v>121</v>
      </c>
    </row>
    <row r="72" spans="20:21" ht="20.149999999999999" customHeight="1" x14ac:dyDescent="0.35">
      <c r="T72" s="85" t="s">
        <v>46</v>
      </c>
      <c r="U72" s="6" t="s">
        <v>121</v>
      </c>
    </row>
    <row r="73" spans="20:21" ht="20.149999999999999" customHeight="1" x14ac:dyDescent="0.35">
      <c r="T73" s="85" t="s">
        <v>46</v>
      </c>
      <c r="U73" s="6" t="s">
        <v>120</v>
      </c>
    </row>
    <row r="74" spans="20:21" ht="20.149999999999999" customHeight="1" x14ac:dyDescent="0.35">
      <c r="T74" s="85" t="s">
        <v>46</v>
      </c>
      <c r="U74" s="6" t="s">
        <v>120</v>
      </c>
    </row>
    <row r="75" spans="20:21" ht="20.149999999999999" customHeight="1" x14ac:dyDescent="0.35">
      <c r="T75" s="85" t="s">
        <v>43</v>
      </c>
      <c r="U75" s="6" t="s">
        <v>120</v>
      </c>
    </row>
    <row r="76" spans="20:21" ht="20.149999999999999" customHeight="1" x14ac:dyDescent="0.35">
      <c r="T76" s="85" t="s">
        <v>43</v>
      </c>
      <c r="U76" s="6" t="s">
        <v>120</v>
      </c>
    </row>
    <row r="77" spans="20:21" ht="20.149999999999999" customHeight="1" x14ac:dyDescent="0.35">
      <c r="T77" s="85" t="s">
        <v>46</v>
      </c>
      <c r="U77" s="6" t="s">
        <v>120</v>
      </c>
    </row>
    <row r="78" spans="20:21" ht="20.149999999999999" customHeight="1" x14ac:dyDescent="0.35">
      <c r="T78" s="85" t="s">
        <v>46</v>
      </c>
      <c r="U78" s="6" t="s">
        <v>120</v>
      </c>
    </row>
    <row r="79" spans="20:21" ht="20.149999999999999" customHeight="1" x14ac:dyDescent="0.35">
      <c r="T79" s="85" t="s">
        <v>46</v>
      </c>
      <c r="U79" s="6" t="s">
        <v>120</v>
      </c>
    </row>
    <row r="80" spans="20:21" ht="20.149999999999999" customHeight="1" x14ac:dyDescent="0.35">
      <c r="T80" s="85" t="s">
        <v>46</v>
      </c>
      <c r="U80" s="6" t="s">
        <v>120</v>
      </c>
    </row>
    <row r="81" spans="20:21" ht="20.149999999999999" customHeight="1" x14ac:dyDescent="0.35">
      <c r="T81" s="85" t="s">
        <v>43</v>
      </c>
      <c r="U81" s="6" t="s">
        <v>120</v>
      </c>
    </row>
    <row r="82" spans="20:21" ht="20.149999999999999" customHeight="1" x14ac:dyDescent="0.35">
      <c r="T82" s="85" t="s">
        <v>46</v>
      </c>
      <c r="U82" s="6" t="s">
        <v>120</v>
      </c>
    </row>
    <row r="83" spans="20:21" ht="20.149999999999999" customHeight="1" x14ac:dyDescent="0.35">
      <c r="T83" s="85" t="s">
        <v>43</v>
      </c>
      <c r="U83" s="6" t="s">
        <v>120</v>
      </c>
    </row>
    <row r="84" spans="20:21" ht="20.149999999999999" customHeight="1" x14ac:dyDescent="0.35">
      <c r="T84" s="85" t="s">
        <v>43</v>
      </c>
      <c r="U84" s="6" t="s">
        <v>122</v>
      </c>
    </row>
    <row r="85" spans="20:21" ht="20.149999999999999" customHeight="1" x14ac:dyDescent="0.35">
      <c r="T85" s="85" t="s">
        <v>46</v>
      </c>
      <c r="U85" s="6" t="s">
        <v>121</v>
      </c>
    </row>
    <row r="86" spans="20:21" ht="20.149999999999999" customHeight="1" x14ac:dyDescent="0.35">
      <c r="T86" s="85" t="s">
        <v>46</v>
      </c>
      <c r="U86" s="6" t="s">
        <v>121</v>
      </c>
    </row>
    <row r="87" spans="20:21" ht="20.149999999999999" customHeight="1" x14ac:dyDescent="0.35">
      <c r="T87" s="85" t="s">
        <v>43</v>
      </c>
      <c r="U87" s="6" t="s">
        <v>120</v>
      </c>
    </row>
    <row r="88" spans="20:21" ht="20.149999999999999" customHeight="1" x14ac:dyDescent="0.35">
      <c r="T88" s="85" t="s">
        <v>46</v>
      </c>
      <c r="U88" s="6" t="s">
        <v>120</v>
      </c>
    </row>
    <row r="89" spans="20:21" ht="20.149999999999999" customHeight="1" x14ac:dyDescent="0.35">
      <c r="T89" s="85" t="s">
        <v>46</v>
      </c>
      <c r="U89" s="6" t="s">
        <v>120</v>
      </c>
    </row>
    <row r="90" spans="20:21" ht="20.149999999999999" customHeight="1" x14ac:dyDescent="0.35">
      <c r="T90" s="85" t="s">
        <v>43</v>
      </c>
      <c r="U90" s="6" t="s">
        <v>120</v>
      </c>
    </row>
    <row r="91" spans="20:21" ht="20.149999999999999" customHeight="1" x14ac:dyDescent="0.35">
      <c r="T91" s="85" t="s">
        <v>51</v>
      </c>
      <c r="U91" s="6" t="s">
        <v>121</v>
      </c>
    </row>
    <row r="92" spans="20:21" ht="20.149999999999999" customHeight="1" x14ac:dyDescent="0.35">
      <c r="T92" s="85" t="s">
        <v>43</v>
      </c>
      <c r="U92" s="6" t="s">
        <v>122</v>
      </c>
    </row>
    <row r="93" spans="20:21" ht="20.149999999999999" customHeight="1" x14ac:dyDescent="0.35">
      <c r="T93" s="85" t="s">
        <v>43</v>
      </c>
      <c r="U93" s="6" t="s">
        <v>122</v>
      </c>
    </row>
    <row r="94" spans="20:21" ht="20.149999999999999" customHeight="1" x14ac:dyDescent="0.35">
      <c r="T94" s="85" t="s">
        <v>46</v>
      </c>
      <c r="U94" s="6" t="s">
        <v>120</v>
      </c>
    </row>
    <row r="95" spans="20:21" ht="20.149999999999999" customHeight="1" x14ac:dyDescent="0.35">
      <c r="T95" s="85" t="s">
        <v>46</v>
      </c>
      <c r="U95" s="6" t="s">
        <v>120</v>
      </c>
    </row>
    <row r="96" spans="20:21" ht="20.149999999999999" customHeight="1" x14ac:dyDescent="0.35">
      <c r="T96" s="85" t="s">
        <v>43</v>
      </c>
      <c r="U96" s="6" t="s">
        <v>120</v>
      </c>
    </row>
    <row r="97" spans="20:21" ht="20.149999999999999" customHeight="1" x14ac:dyDescent="0.35">
      <c r="T97" s="85" t="s">
        <v>46</v>
      </c>
      <c r="U97" s="6" t="s">
        <v>120</v>
      </c>
    </row>
    <row r="98" spans="20:21" ht="20.149999999999999" customHeight="1" x14ac:dyDescent="0.35">
      <c r="T98" s="85" t="s">
        <v>46</v>
      </c>
      <c r="U98" s="6" t="s">
        <v>121</v>
      </c>
    </row>
    <row r="99" spans="20:21" ht="20.149999999999999" customHeight="1" x14ac:dyDescent="0.35">
      <c r="T99" s="85" t="s">
        <v>43</v>
      </c>
      <c r="U99" s="6" t="s">
        <v>121</v>
      </c>
    </row>
    <row r="100" spans="20:21" ht="20.149999999999999" customHeight="1" x14ac:dyDescent="0.35">
      <c r="T100" s="85" t="s">
        <v>43</v>
      </c>
      <c r="U100" s="6" t="s">
        <v>121</v>
      </c>
    </row>
    <row r="101" spans="20:21" ht="20.149999999999999" customHeight="1" x14ac:dyDescent="0.35">
      <c r="T101" s="85" t="s">
        <v>43</v>
      </c>
      <c r="U101" s="6" t="s">
        <v>121</v>
      </c>
    </row>
    <row r="102" spans="20:21" ht="20.149999999999999" customHeight="1" x14ac:dyDescent="0.35">
      <c r="T102" s="85" t="s">
        <v>43</v>
      </c>
      <c r="U102" s="6" t="s">
        <v>120</v>
      </c>
    </row>
    <row r="103" spans="20:21" ht="20.149999999999999" customHeight="1" x14ac:dyDescent="0.35">
      <c r="T103" s="85" t="s">
        <v>43</v>
      </c>
      <c r="U103" s="6" t="s">
        <v>122</v>
      </c>
    </row>
    <row r="104" spans="20:21" ht="20.149999999999999" customHeight="1" x14ac:dyDescent="0.35">
      <c r="T104" s="85" t="s">
        <v>43</v>
      </c>
      <c r="U104" s="6" t="s">
        <v>122</v>
      </c>
    </row>
    <row r="105" spans="20:21" ht="20.149999999999999" customHeight="1" x14ac:dyDescent="0.35">
      <c r="T105" s="85" t="s">
        <v>46</v>
      </c>
      <c r="U105" s="6" t="s">
        <v>120</v>
      </c>
    </row>
    <row r="106" spans="20:21" ht="20.149999999999999" customHeight="1" x14ac:dyDescent="0.35">
      <c r="T106" s="85" t="s">
        <v>46</v>
      </c>
      <c r="U106" s="6" t="s">
        <v>121</v>
      </c>
    </row>
    <row r="107" spans="20:21" ht="20.149999999999999" customHeight="1" x14ac:dyDescent="0.35">
      <c r="T107" s="85" t="s">
        <v>51</v>
      </c>
      <c r="U107" s="6" t="s">
        <v>121</v>
      </c>
    </row>
    <row r="108" spans="20:21" ht="20.149999999999999" customHeight="1" x14ac:dyDescent="0.35">
      <c r="T108" s="85" t="s">
        <v>46</v>
      </c>
      <c r="U108" s="6" t="s">
        <v>120</v>
      </c>
    </row>
    <row r="109" spans="20:21" ht="20.149999999999999" customHeight="1" x14ac:dyDescent="0.35">
      <c r="T109" s="85" t="s">
        <v>46</v>
      </c>
      <c r="U109" s="6" t="s">
        <v>120</v>
      </c>
    </row>
    <row r="110" spans="20:21" ht="20.149999999999999" customHeight="1" x14ac:dyDescent="0.35">
      <c r="T110" s="85" t="s">
        <v>43</v>
      </c>
      <c r="U110" s="6" t="s">
        <v>122</v>
      </c>
    </row>
    <row r="111" spans="20:21" ht="20.149999999999999" customHeight="1" x14ac:dyDescent="0.35">
      <c r="T111" s="85" t="s">
        <v>46</v>
      </c>
      <c r="U111" s="6" t="s">
        <v>120</v>
      </c>
    </row>
    <row r="112" spans="20:21" ht="20.149999999999999" customHeight="1" x14ac:dyDescent="0.35">
      <c r="T112" s="85" t="s">
        <v>46</v>
      </c>
      <c r="U112" s="6" t="s">
        <v>120</v>
      </c>
    </row>
    <row r="113" spans="20:21" ht="20.149999999999999" customHeight="1" x14ac:dyDescent="0.35">
      <c r="T113" s="85" t="s">
        <v>43</v>
      </c>
      <c r="U113" s="6" t="s">
        <v>120</v>
      </c>
    </row>
    <row r="114" spans="20:21" ht="20.149999999999999" customHeight="1" x14ac:dyDescent="0.35">
      <c r="T114" s="85" t="s">
        <v>43</v>
      </c>
      <c r="U114" s="6" t="s">
        <v>120</v>
      </c>
    </row>
    <row r="115" spans="20:21" ht="20.149999999999999" customHeight="1" x14ac:dyDescent="0.35">
      <c r="T115" s="85" t="s">
        <v>43</v>
      </c>
      <c r="U115" s="6" t="s">
        <v>120</v>
      </c>
    </row>
    <row r="116" spans="20:21" ht="20.149999999999999" customHeight="1" x14ac:dyDescent="0.35">
      <c r="T116" s="85" t="s">
        <v>46</v>
      </c>
      <c r="U116" s="6" t="s">
        <v>120</v>
      </c>
    </row>
    <row r="117" spans="20:21" ht="20.149999999999999" customHeight="1" x14ac:dyDescent="0.35">
      <c r="T117" s="85" t="s">
        <v>46</v>
      </c>
      <c r="U117" s="6" t="s">
        <v>120</v>
      </c>
    </row>
    <row r="118" spans="20:21" ht="20.149999999999999" customHeight="1" x14ac:dyDescent="0.35">
      <c r="T118" s="85" t="s">
        <v>43</v>
      </c>
      <c r="U118" s="6" t="s">
        <v>122</v>
      </c>
    </row>
    <row r="119" spans="20:21" ht="20.149999999999999" customHeight="1" x14ac:dyDescent="0.35">
      <c r="T119" s="85" t="s">
        <v>43</v>
      </c>
      <c r="U119" s="6" t="s">
        <v>120</v>
      </c>
    </row>
    <row r="120" spans="20:21" ht="20.149999999999999" customHeight="1" x14ac:dyDescent="0.35">
      <c r="T120" s="85" t="s">
        <v>46</v>
      </c>
      <c r="U120" s="6" t="s">
        <v>123</v>
      </c>
    </row>
    <row r="121" spans="20:21" ht="20.149999999999999" customHeight="1" x14ac:dyDescent="0.35">
      <c r="T121" s="85" t="s">
        <v>46</v>
      </c>
      <c r="U121" s="6" t="s">
        <v>122</v>
      </c>
    </row>
    <row r="122" spans="20:21" ht="20.149999999999999" customHeight="1" x14ac:dyDescent="0.35">
      <c r="T122" s="85" t="s">
        <v>43</v>
      </c>
      <c r="U122" s="6" t="s">
        <v>120</v>
      </c>
    </row>
    <row r="123" spans="20:21" ht="20.149999999999999" customHeight="1" x14ac:dyDescent="0.35">
      <c r="T123" s="85" t="s">
        <v>43</v>
      </c>
      <c r="U123" s="6" t="s">
        <v>120</v>
      </c>
    </row>
    <row r="124" spans="20:21" ht="20.149999999999999" customHeight="1" x14ac:dyDescent="0.35">
      <c r="T124" s="85" t="s">
        <v>43</v>
      </c>
      <c r="U124" s="6" t="s">
        <v>120</v>
      </c>
    </row>
    <row r="125" spans="20:21" ht="20.149999999999999" customHeight="1" x14ac:dyDescent="0.35">
      <c r="T125" s="85" t="s">
        <v>43</v>
      </c>
      <c r="U125" s="6" t="s">
        <v>120</v>
      </c>
    </row>
    <row r="126" spans="20:21" ht="20.149999999999999" customHeight="1" x14ac:dyDescent="0.35">
      <c r="T126" s="85" t="s">
        <v>46</v>
      </c>
      <c r="U126" s="6" t="s">
        <v>120</v>
      </c>
    </row>
    <row r="127" spans="20:21" ht="20.149999999999999" customHeight="1" x14ac:dyDescent="0.35">
      <c r="T127" s="85" t="s">
        <v>46</v>
      </c>
      <c r="U127" s="6" t="s">
        <v>120</v>
      </c>
    </row>
    <row r="128" spans="20:21" ht="20.149999999999999" customHeight="1" x14ac:dyDescent="0.35">
      <c r="T128" s="85" t="s">
        <v>46</v>
      </c>
      <c r="U128" s="6" t="s">
        <v>120</v>
      </c>
    </row>
    <row r="129" spans="20:21" ht="20.149999999999999" customHeight="1" x14ac:dyDescent="0.35">
      <c r="T129" s="85" t="s">
        <v>46</v>
      </c>
      <c r="U129" s="6" t="s">
        <v>120</v>
      </c>
    </row>
    <row r="130" spans="20:21" ht="20.149999999999999" customHeight="1" x14ac:dyDescent="0.35">
      <c r="T130" s="85" t="s">
        <v>46</v>
      </c>
      <c r="U130" s="6" t="s">
        <v>120</v>
      </c>
    </row>
    <row r="131" spans="20:21" ht="20.149999999999999" customHeight="1" x14ac:dyDescent="0.35">
      <c r="T131" s="85" t="s">
        <v>46</v>
      </c>
      <c r="U131" s="6" t="s">
        <v>120</v>
      </c>
    </row>
    <row r="132" spans="20:21" ht="20.149999999999999" customHeight="1" x14ac:dyDescent="0.35">
      <c r="T132" s="85" t="s">
        <v>46</v>
      </c>
      <c r="U132" s="6" t="s">
        <v>122</v>
      </c>
    </row>
    <row r="133" spans="20:21" ht="20.149999999999999" customHeight="1" x14ac:dyDescent="0.35">
      <c r="T133" s="85" t="s">
        <v>46</v>
      </c>
      <c r="U133" s="6" t="s">
        <v>122</v>
      </c>
    </row>
    <row r="134" spans="20:21" ht="20.149999999999999" customHeight="1" x14ac:dyDescent="0.35">
      <c r="T134" s="85" t="s">
        <v>43</v>
      </c>
      <c r="U134" s="6" t="s">
        <v>120</v>
      </c>
    </row>
    <row r="135" spans="20:21" ht="20.149999999999999" customHeight="1" x14ac:dyDescent="0.35">
      <c r="T135" s="85" t="s">
        <v>43</v>
      </c>
      <c r="U135" s="6" t="s">
        <v>120</v>
      </c>
    </row>
    <row r="136" spans="20:21" ht="20.149999999999999" customHeight="1" x14ac:dyDescent="0.35">
      <c r="T136" s="85" t="s">
        <v>43</v>
      </c>
      <c r="U136" s="6" t="s">
        <v>120</v>
      </c>
    </row>
    <row r="137" spans="20:21" ht="20.149999999999999" customHeight="1" x14ac:dyDescent="0.35">
      <c r="T137" s="85" t="s">
        <v>46</v>
      </c>
      <c r="U137" s="6" t="s">
        <v>120</v>
      </c>
    </row>
    <row r="138" spans="20:21" ht="20.149999999999999" customHeight="1" x14ac:dyDescent="0.35">
      <c r="T138" s="85" t="s">
        <v>43</v>
      </c>
      <c r="U138" s="6" t="s">
        <v>123</v>
      </c>
    </row>
    <row r="139" spans="20:21" ht="20.149999999999999" customHeight="1" x14ac:dyDescent="0.35">
      <c r="T139" s="85" t="s">
        <v>43</v>
      </c>
      <c r="U139" s="6" t="s">
        <v>122</v>
      </c>
    </row>
    <row r="140" spans="20:21" ht="20.149999999999999" customHeight="1" x14ac:dyDescent="0.35">
      <c r="T140" s="85" t="s">
        <v>43</v>
      </c>
      <c r="U140" s="6" t="s">
        <v>122</v>
      </c>
    </row>
    <row r="141" spans="20:21" ht="20.149999999999999" customHeight="1" x14ac:dyDescent="0.35">
      <c r="T141" s="85" t="s">
        <v>46</v>
      </c>
      <c r="U141" s="6" t="s">
        <v>120</v>
      </c>
    </row>
    <row r="142" spans="20:21" ht="20.149999999999999" customHeight="1" x14ac:dyDescent="0.35">
      <c r="T142" s="85" t="s">
        <v>46</v>
      </c>
      <c r="U142" s="6" t="s">
        <v>120</v>
      </c>
    </row>
    <row r="143" spans="20:21" ht="20.149999999999999" customHeight="1" x14ac:dyDescent="0.35">
      <c r="T143" s="85" t="s">
        <v>46</v>
      </c>
      <c r="U143" s="6" t="s">
        <v>122</v>
      </c>
    </row>
    <row r="144" spans="20:21" ht="20.149999999999999" customHeight="1" x14ac:dyDescent="0.35">
      <c r="T144" s="85" t="s">
        <v>43</v>
      </c>
      <c r="U144" s="6" t="s">
        <v>123</v>
      </c>
    </row>
    <row r="145" spans="20:21" ht="20.149999999999999" customHeight="1" x14ac:dyDescent="0.35">
      <c r="T145" s="85" t="s">
        <v>43</v>
      </c>
      <c r="U145" s="6" t="s">
        <v>122</v>
      </c>
    </row>
    <row r="146" spans="20:21" ht="20.149999999999999" customHeight="1" x14ac:dyDescent="0.35">
      <c r="T146" s="85" t="s">
        <v>46</v>
      </c>
      <c r="U146" s="6" t="s">
        <v>123</v>
      </c>
    </row>
    <row r="147" spans="20:21" ht="20.149999999999999" customHeight="1" x14ac:dyDescent="0.35">
      <c r="T147" s="85" t="s">
        <v>46</v>
      </c>
      <c r="U147" s="6" t="s">
        <v>122</v>
      </c>
    </row>
    <row r="148" spans="20:21" ht="20.149999999999999" customHeight="1" x14ac:dyDescent="0.35">
      <c r="T148" s="85" t="s">
        <v>46</v>
      </c>
      <c r="U148" s="6" t="s">
        <v>122</v>
      </c>
    </row>
    <row r="149" spans="20:21" ht="20.149999999999999" customHeight="1" x14ac:dyDescent="0.35">
      <c r="T149" s="85" t="s">
        <v>46</v>
      </c>
      <c r="U149" s="6" t="s">
        <v>122</v>
      </c>
    </row>
    <row r="150" spans="20:21" ht="20.149999999999999" customHeight="1" x14ac:dyDescent="0.35">
      <c r="T150" s="85" t="s">
        <v>46</v>
      </c>
      <c r="U150" s="6" t="s">
        <v>120</v>
      </c>
    </row>
    <row r="151" spans="20:21" ht="20.149999999999999" customHeight="1" x14ac:dyDescent="0.35">
      <c r="T151" s="85" t="s">
        <v>46</v>
      </c>
      <c r="U151" s="6" t="s">
        <v>122</v>
      </c>
    </row>
    <row r="152" spans="20:21" ht="20.149999999999999" customHeight="1" x14ac:dyDescent="0.35">
      <c r="T152" s="85" t="s">
        <v>46</v>
      </c>
      <c r="U152" s="6" t="s">
        <v>120</v>
      </c>
    </row>
    <row r="153" spans="20:21" ht="20.149999999999999" customHeight="1" x14ac:dyDescent="0.35">
      <c r="T153" s="85" t="s">
        <v>43</v>
      </c>
      <c r="U153" s="6" t="s">
        <v>120</v>
      </c>
    </row>
    <row r="154" spans="20:21" ht="20.149999999999999" customHeight="1" x14ac:dyDescent="0.35">
      <c r="T154" s="85" t="s">
        <v>46</v>
      </c>
      <c r="U154" s="6" t="s">
        <v>120</v>
      </c>
    </row>
    <row r="155" spans="20:21" ht="20.149999999999999" customHeight="1" x14ac:dyDescent="0.35">
      <c r="T155" s="85" t="s">
        <v>46</v>
      </c>
      <c r="U155" s="6" t="s">
        <v>120</v>
      </c>
    </row>
    <row r="156" spans="20:21" ht="20.149999999999999" customHeight="1" x14ac:dyDescent="0.35">
      <c r="T156" s="85" t="s">
        <v>46</v>
      </c>
      <c r="U156" s="6" t="s">
        <v>120</v>
      </c>
    </row>
    <row r="157" spans="20:21" ht="20.149999999999999" customHeight="1" x14ac:dyDescent="0.35">
      <c r="T157" s="85" t="s">
        <v>43</v>
      </c>
      <c r="U157" s="6" t="s">
        <v>120</v>
      </c>
    </row>
    <row r="158" spans="20:21" ht="20.149999999999999" customHeight="1" x14ac:dyDescent="0.35">
      <c r="T158" s="85" t="s">
        <v>46</v>
      </c>
      <c r="U158" s="6" t="s">
        <v>122</v>
      </c>
    </row>
    <row r="159" spans="20:21" ht="20.149999999999999" customHeight="1" x14ac:dyDescent="0.35">
      <c r="T159" s="85" t="s">
        <v>46</v>
      </c>
      <c r="U159" s="6" t="s">
        <v>123</v>
      </c>
    </row>
    <row r="160" spans="20:21" ht="20.149999999999999" customHeight="1" x14ac:dyDescent="0.35">
      <c r="T160" s="85" t="s">
        <v>46</v>
      </c>
      <c r="U160" s="6" t="s">
        <v>122</v>
      </c>
    </row>
    <row r="161" spans="20:21" ht="20.149999999999999" customHeight="1" x14ac:dyDescent="0.35">
      <c r="T161" s="85" t="s">
        <v>43</v>
      </c>
      <c r="U161" s="6" t="s">
        <v>120</v>
      </c>
    </row>
    <row r="162" spans="20:21" ht="20.149999999999999" customHeight="1" x14ac:dyDescent="0.35">
      <c r="T162" s="85" t="s">
        <v>46</v>
      </c>
      <c r="U162" s="6" t="s">
        <v>122</v>
      </c>
    </row>
    <row r="163" spans="20:21" ht="20.149999999999999" customHeight="1" x14ac:dyDescent="0.35">
      <c r="T163" s="85" t="s">
        <v>46</v>
      </c>
      <c r="U163" s="6" t="s">
        <v>122</v>
      </c>
    </row>
    <row r="164" spans="20:21" ht="20.149999999999999" customHeight="1" x14ac:dyDescent="0.35">
      <c r="T164" s="85" t="s">
        <v>46</v>
      </c>
      <c r="U164" s="6" t="s">
        <v>122</v>
      </c>
    </row>
    <row r="165" spans="20:21" ht="20.149999999999999" customHeight="1" x14ac:dyDescent="0.35">
      <c r="T165" s="85" t="s">
        <v>46</v>
      </c>
      <c r="U165" s="6" t="s">
        <v>120</v>
      </c>
    </row>
    <row r="166" spans="20:21" ht="20.149999999999999" customHeight="1" x14ac:dyDescent="0.35">
      <c r="T166" s="85" t="s">
        <v>46</v>
      </c>
      <c r="U166" s="6" t="s">
        <v>120</v>
      </c>
    </row>
    <row r="167" spans="20:21" ht="20.149999999999999" customHeight="1" x14ac:dyDescent="0.35">
      <c r="T167" s="85" t="s">
        <v>46</v>
      </c>
      <c r="U167" s="6" t="s">
        <v>120</v>
      </c>
    </row>
    <row r="168" spans="20:21" ht="20.149999999999999" customHeight="1" x14ac:dyDescent="0.35">
      <c r="T168" s="85" t="s">
        <v>43</v>
      </c>
      <c r="U168" s="6" t="s">
        <v>120</v>
      </c>
    </row>
    <row r="169" spans="20:21" ht="20.149999999999999" customHeight="1" x14ac:dyDescent="0.35">
      <c r="T169" s="85" t="s">
        <v>46</v>
      </c>
      <c r="U169" s="6" t="s">
        <v>122</v>
      </c>
    </row>
    <row r="170" spans="20:21" ht="20.149999999999999" customHeight="1" x14ac:dyDescent="0.35">
      <c r="T170" s="85" t="s">
        <v>46</v>
      </c>
      <c r="U170" s="6" t="s">
        <v>122</v>
      </c>
    </row>
    <row r="171" spans="20:21" ht="20.149999999999999" customHeight="1" x14ac:dyDescent="0.35">
      <c r="T171" s="85" t="s">
        <v>43</v>
      </c>
      <c r="U171" s="6" t="s">
        <v>122</v>
      </c>
    </row>
    <row r="172" spans="20:21" ht="20.149999999999999" customHeight="1" x14ac:dyDescent="0.35">
      <c r="T172" s="85" t="s">
        <v>43</v>
      </c>
      <c r="U172" s="6" t="s">
        <v>120</v>
      </c>
    </row>
    <row r="173" spans="20:21" ht="20.149999999999999" customHeight="1" x14ac:dyDescent="0.35">
      <c r="T173" s="85" t="s">
        <v>43</v>
      </c>
      <c r="U173" s="6" t="s">
        <v>122</v>
      </c>
    </row>
    <row r="174" spans="20:21" ht="20.149999999999999" customHeight="1" x14ac:dyDescent="0.35">
      <c r="T174" s="85" t="s">
        <v>46</v>
      </c>
      <c r="U174" s="6" t="s">
        <v>122</v>
      </c>
    </row>
    <row r="175" spans="20:21" ht="20.149999999999999" customHeight="1" x14ac:dyDescent="0.35">
      <c r="T175" s="85" t="s">
        <v>43</v>
      </c>
      <c r="U175" s="6" t="s">
        <v>122</v>
      </c>
    </row>
    <row r="176" spans="20:21" ht="20.149999999999999" customHeight="1" x14ac:dyDescent="0.35">
      <c r="T176" s="85" t="s">
        <v>46</v>
      </c>
      <c r="U176" s="6" t="s">
        <v>123</v>
      </c>
    </row>
    <row r="177" spans="20:21" ht="20.149999999999999" customHeight="1" x14ac:dyDescent="0.35">
      <c r="T177" s="85" t="s">
        <v>46</v>
      </c>
      <c r="U177" s="6" t="s">
        <v>123</v>
      </c>
    </row>
    <row r="178" spans="20:21" ht="20.149999999999999" customHeight="1" x14ac:dyDescent="0.35">
      <c r="T178" s="85" t="s">
        <v>46</v>
      </c>
      <c r="U178" s="6" t="s">
        <v>123</v>
      </c>
    </row>
    <row r="179" spans="20:21" ht="20.149999999999999" customHeight="1" x14ac:dyDescent="0.35">
      <c r="T179" s="85" t="s">
        <v>43</v>
      </c>
      <c r="U179" s="6" t="s">
        <v>123</v>
      </c>
    </row>
    <row r="180" spans="20:21" ht="20.149999999999999" customHeight="1" x14ac:dyDescent="0.35">
      <c r="T180" s="85" t="s">
        <v>46</v>
      </c>
      <c r="U180" s="6" t="s">
        <v>122</v>
      </c>
    </row>
    <row r="181" spans="20:21" ht="20.149999999999999" customHeight="1" x14ac:dyDescent="0.35">
      <c r="T181" s="85" t="s">
        <v>46</v>
      </c>
      <c r="U181" s="6" t="s">
        <v>122</v>
      </c>
    </row>
    <row r="182" spans="20:21" ht="20.149999999999999" customHeight="1" x14ac:dyDescent="0.35">
      <c r="T182" s="85" t="s">
        <v>46</v>
      </c>
      <c r="U182" s="6" t="s">
        <v>122</v>
      </c>
    </row>
    <row r="183" spans="20:21" ht="20.149999999999999" customHeight="1" x14ac:dyDescent="0.35">
      <c r="T183" s="85" t="s">
        <v>46</v>
      </c>
      <c r="U183" s="6" t="s">
        <v>122</v>
      </c>
    </row>
    <row r="184" spans="20:21" ht="20.149999999999999" customHeight="1" x14ac:dyDescent="0.35">
      <c r="T184" s="85" t="s">
        <v>46</v>
      </c>
      <c r="U184" s="6" t="s">
        <v>123</v>
      </c>
    </row>
    <row r="185" spans="20:21" ht="20.149999999999999" customHeight="1" x14ac:dyDescent="0.35">
      <c r="T185" s="85" t="s">
        <v>43</v>
      </c>
      <c r="U185" s="6" t="s">
        <v>123</v>
      </c>
    </row>
    <row r="186" spans="20:21" ht="20.149999999999999" customHeight="1" x14ac:dyDescent="0.35">
      <c r="T186" s="85" t="s">
        <v>43</v>
      </c>
      <c r="U186" s="6" t="s">
        <v>123</v>
      </c>
    </row>
    <row r="187" spans="20:21" ht="20.149999999999999" customHeight="1" x14ac:dyDescent="0.35">
      <c r="T187" s="85" t="s">
        <v>46</v>
      </c>
      <c r="U187" s="6" t="s">
        <v>123</v>
      </c>
    </row>
    <row r="188" spans="20:21" ht="20.149999999999999" customHeight="1" x14ac:dyDescent="0.35">
      <c r="T188" s="85" t="s">
        <v>46</v>
      </c>
      <c r="U188" s="6" t="s">
        <v>123</v>
      </c>
    </row>
    <row r="189" spans="20:21" ht="20.149999999999999" customHeight="1" x14ac:dyDescent="0.35">
      <c r="T189" s="85" t="s">
        <v>46</v>
      </c>
      <c r="U189" s="6" t="s">
        <v>123</v>
      </c>
    </row>
    <row r="190" spans="20:21" ht="20.149999999999999" customHeight="1" x14ac:dyDescent="0.35">
      <c r="T190" s="85" t="s">
        <v>43</v>
      </c>
      <c r="U190" s="6" t="s">
        <v>123</v>
      </c>
    </row>
    <row r="191" spans="20:21" ht="20.149999999999999" customHeight="1" x14ac:dyDescent="0.35">
      <c r="T191" s="85" t="s">
        <v>46</v>
      </c>
      <c r="U191" s="6" t="s">
        <v>123</v>
      </c>
    </row>
    <row r="192" spans="20:21" ht="20.149999999999999" customHeight="1" x14ac:dyDescent="0.35">
      <c r="T192" s="85" t="s">
        <v>46</v>
      </c>
      <c r="U192" s="6" t="s">
        <v>123</v>
      </c>
    </row>
    <row r="193" spans="20:21" ht="20.149999999999999" customHeight="1" x14ac:dyDescent="0.35">
      <c r="T193" s="85" t="s">
        <v>46</v>
      </c>
      <c r="U193" s="6" t="s">
        <v>123</v>
      </c>
    </row>
    <row r="194" spans="20:21" ht="20.149999999999999" customHeight="1" x14ac:dyDescent="0.35">
      <c r="T194" s="85" t="s">
        <v>46</v>
      </c>
      <c r="U194" s="6" t="s">
        <v>123</v>
      </c>
    </row>
    <row r="195" spans="20:21" ht="20.149999999999999" customHeight="1" x14ac:dyDescent="0.35">
      <c r="T195" s="85" t="s">
        <v>46</v>
      </c>
      <c r="U195" s="6" t="s">
        <v>123</v>
      </c>
    </row>
    <row r="196" spans="20:21" ht="20.149999999999999" customHeight="1" x14ac:dyDescent="0.35">
      <c r="T196" s="85" t="s">
        <v>46</v>
      </c>
      <c r="U196" s="6" t="s">
        <v>123</v>
      </c>
    </row>
    <row r="197" spans="20:21" ht="20.149999999999999" customHeight="1" x14ac:dyDescent="0.35">
      <c r="T197" s="85" t="s">
        <v>46</v>
      </c>
      <c r="U197" s="6" t="s">
        <v>123</v>
      </c>
    </row>
    <row r="198" spans="20:21" ht="20.149999999999999" customHeight="1" x14ac:dyDescent="0.35">
      <c r="T198" s="85" t="s">
        <v>46</v>
      </c>
      <c r="U198" s="6" t="s">
        <v>123</v>
      </c>
    </row>
    <row r="199" spans="20:21" ht="20.149999999999999" customHeight="1" x14ac:dyDescent="0.35">
      <c r="T199" s="85" t="s">
        <v>46</v>
      </c>
      <c r="U199" s="6" t="s">
        <v>123</v>
      </c>
    </row>
    <row r="200" spans="20:21" ht="20.149999999999999" customHeight="1" x14ac:dyDescent="0.35">
      <c r="T200" s="85" t="s">
        <v>46</v>
      </c>
      <c r="U200" s="6" t="s">
        <v>123</v>
      </c>
    </row>
    <row r="201" spans="20:21" ht="20.149999999999999" customHeight="1" x14ac:dyDescent="0.35">
      <c r="T201" s="85" t="s">
        <v>46</v>
      </c>
      <c r="U201" s="6" t="s">
        <v>123</v>
      </c>
    </row>
    <row r="202" spans="20:21" ht="20.149999999999999" customHeight="1" x14ac:dyDescent="0.35">
      <c r="T202" s="85" t="s">
        <v>46</v>
      </c>
      <c r="U202" s="6" t="s">
        <v>123</v>
      </c>
    </row>
    <row r="203" spans="20:21" ht="20.149999999999999" customHeight="1" x14ac:dyDescent="0.35">
      <c r="T203" s="85" t="s">
        <v>43</v>
      </c>
      <c r="U203" s="6" t="s">
        <v>123</v>
      </c>
    </row>
    <row r="204" spans="20:21" ht="20.149999999999999" customHeight="1" x14ac:dyDescent="0.35">
      <c r="T204" s="85" t="s">
        <v>46</v>
      </c>
      <c r="U204" s="6" t="s">
        <v>123</v>
      </c>
    </row>
    <row r="205" spans="20:21" ht="20.149999999999999" customHeight="1" x14ac:dyDescent="0.35">
      <c r="T205" s="85" t="s">
        <v>46</v>
      </c>
      <c r="U205" s="6" t="s">
        <v>123</v>
      </c>
    </row>
    <row r="206" spans="20:21" ht="20.149999999999999" customHeight="1" x14ac:dyDescent="0.35">
      <c r="T206" s="85" t="s">
        <v>46</v>
      </c>
      <c r="U206" s="6" t="s">
        <v>123</v>
      </c>
    </row>
    <row r="207" spans="20:21" ht="20.149999999999999" customHeight="1" x14ac:dyDescent="0.35">
      <c r="T207" s="85" t="s">
        <v>46</v>
      </c>
      <c r="U207" s="6" t="s">
        <v>123</v>
      </c>
    </row>
    <row r="208" spans="20:21" ht="20.149999999999999" customHeight="1" x14ac:dyDescent="0.35">
      <c r="T208" s="85" t="s">
        <v>46</v>
      </c>
      <c r="U208" s="6" t="s">
        <v>122</v>
      </c>
    </row>
    <row r="209" spans="20:21" ht="20.149999999999999" customHeight="1" x14ac:dyDescent="0.35">
      <c r="T209" s="85" t="s">
        <v>46</v>
      </c>
      <c r="U209" s="6" t="s">
        <v>123</v>
      </c>
    </row>
    <row r="210" spans="20:21" ht="20.149999999999999" customHeight="1" x14ac:dyDescent="0.35">
      <c r="T210" s="85" t="s">
        <v>46</v>
      </c>
      <c r="U210" s="6" t="s">
        <v>123</v>
      </c>
    </row>
    <row r="211" spans="20:21" ht="20.149999999999999" customHeight="1" x14ac:dyDescent="0.35">
      <c r="T211" s="85" t="s">
        <v>46</v>
      </c>
      <c r="U211" s="6" t="s">
        <v>123</v>
      </c>
    </row>
    <row r="212" spans="20:21" ht="20.149999999999999" customHeight="1" x14ac:dyDescent="0.35">
      <c r="T212" s="85" t="s">
        <v>46</v>
      </c>
      <c r="U212" s="6" t="s">
        <v>123</v>
      </c>
    </row>
    <row r="213" spans="20:21" ht="20.149999999999999" customHeight="1" x14ac:dyDescent="0.35">
      <c r="T213" s="85" t="s">
        <v>46</v>
      </c>
      <c r="U213" s="6" t="s">
        <v>123</v>
      </c>
    </row>
    <row r="214" spans="20:21" ht="20.149999999999999" customHeight="1" x14ac:dyDescent="0.35">
      <c r="T214" s="85" t="s">
        <v>46</v>
      </c>
      <c r="U214" s="6" t="s">
        <v>123</v>
      </c>
    </row>
    <row r="215" spans="20:21" ht="20.149999999999999" customHeight="1" x14ac:dyDescent="0.35">
      <c r="T215" s="85" t="s">
        <v>46</v>
      </c>
      <c r="U215" s="6" t="s">
        <v>123</v>
      </c>
    </row>
    <row r="216" spans="20:21" ht="20.149999999999999" customHeight="1" x14ac:dyDescent="0.35">
      <c r="T216" s="85" t="s">
        <v>43</v>
      </c>
      <c r="U216" s="6" t="s">
        <v>123</v>
      </c>
    </row>
    <row r="217" spans="20:21" ht="20.149999999999999" customHeight="1" x14ac:dyDescent="0.35">
      <c r="T217" s="85" t="s">
        <v>43</v>
      </c>
      <c r="U217" s="6" t="s">
        <v>123</v>
      </c>
    </row>
    <row r="218" spans="20:21" ht="20.149999999999999" customHeight="1" x14ac:dyDescent="0.35">
      <c r="T218" s="85" t="s">
        <v>46</v>
      </c>
      <c r="U218" s="6" t="s">
        <v>123</v>
      </c>
    </row>
    <row r="219" spans="20:21" ht="20.149999999999999" customHeight="1" x14ac:dyDescent="0.35">
      <c r="T219" s="85" t="s">
        <v>43</v>
      </c>
      <c r="U219" s="6" t="s">
        <v>123</v>
      </c>
    </row>
    <row r="220" spans="20:21" ht="20.149999999999999" customHeight="1" x14ac:dyDescent="0.35">
      <c r="T220" s="85" t="s">
        <v>46</v>
      </c>
      <c r="U220" s="6" t="s">
        <v>123</v>
      </c>
    </row>
    <row r="221" spans="20:21" ht="20.149999999999999" customHeight="1" x14ac:dyDescent="0.35">
      <c r="T221" s="85" t="s">
        <v>46</v>
      </c>
      <c r="U221" s="6" t="s">
        <v>123</v>
      </c>
    </row>
    <row r="222" spans="20:21" ht="20.149999999999999" customHeight="1" x14ac:dyDescent="0.35">
      <c r="T222" s="85" t="s">
        <v>46</v>
      </c>
      <c r="U222" s="6" t="s">
        <v>123</v>
      </c>
    </row>
    <row r="223" spans="20:21" ht="20.149999999999999" customHeight="1" x14ac:dyDescent="0.35">
      <c r="T223" s="85" t="s">
        <v>46</v>
      </c>
      <c r="U223" s="6" t="s">
        <v>123</v>
      </c>
    </row>
    <row r="224" spans="20:21" ht="20.149999999999999" customHeight="1" x14ac:dyDescent="0.35">
      <c r="T224" s="85" t="s">
        <v>46</v>
      </c>
      <c r="U224" s="6" t="s">
        <v>123</v>
      </c>
    </row>
    <row r="225" spans="20:21" ht="20.149999999999999" customHeight="1" x14ac:dyDescent="0.35">
      <c r="T225" s="85" t="s">
        <v>46</v>
      </c>
      <c r="U225" s="6" t="s">
        <v>123</v>
      </c>
    </row>
    <row r="226" spans="20:21" ht="20.149999999999999" customHeight="1" x14ac:dyDescent="0.35">
      <c r="T226" s="85" t="s">
        <v>43</v>
      </c>
      <c r="U226" s="6" t="s">
        <v>123</v>
      </c>
    </row>
    <row r="227" spans="20:21" ht="20.149999999999999" customHeight="1" x14ac:dyDescent="0.35">
      <c r="T227" s="85" t="s">
        <v>43</v>
      </c>
      <c r="U227" s="6" t="s">
        <v>123</v>
      </c>
    </row>
    <row r="228" spans="20:21" ht="20.149999999999999" customHeight="1" x14ac:dyDescent="0.35">
      <c r="T228" s="85" t="s">
        <v>46</v>
      </c>
      <c r="U228" s="6" t="s">
        <v>123</v>
      </c>
    </row>
    <row r="229" spans="20:21" ht="20.149999999999999" customHeight="1" x14ac:dyDescent="0.35">
      <c r="T229" s="85" t="s">
        <v>46</v>
      </c>
      <c r="U229" s="6" t="s">
        <v>123</v>
      </c>
    </row>
    <row r="230" spans="20:21" ht="20.149999999999999" customHeight="1" x14ac:dyDescent="0.35">
      <c r="T230" s="85" t="s">
        <v>46</v>
      </c>
      <c r="U230" s="6" t="s">
        <v>122</v>
      </c>
    </row>
    <row r="231" spans="20:21" ht="20.149999999999999" customHeight="1" x14ac:dyDescent="0.35">
      <c r="T231" s="85" t="s">
        <v>46</v>
      </c>
      <c r="U231" s="6" t="s">
        <v>122</v>
      </c>
    </row>
    <row r="232" spans="20:21" ht="20.149999999999999" customHeight="1" x14ac:dyDescent="0.35">
      <c r="T232" s="85" t="s">
        <v>43</v>
      </c>
      <c r="U232" s="6" t="s">
        <v>122</v>
      </c>
    </row>
    <row r="233" spans="20:21" ht="20.149999999999999" customHeight="1" x14ac:dyDescent="0.35">
      <c r="T233" s="85" t="s">
        <v>46</v>
      </c>
      <c r="U233" s="6" t="s">
        <v>123</v>
      </c>
    </row>
    <row r="234" spans="20:21" ht="20.149999999999999" customHeight="1" x14ac:dyDescent="0.35">
      <c r="T234" s="85" t="s">
        <v>46</v>
      </c>
      <c r="U234" s="6" t="s">
        <v>123</v>
      </c>
    </row>
    <row r="235" spans="20:21" ht="20.149999999999999" customHeight="1" x14ac:dyDescent="0.35">
      <c r="T235" s="85" t="s">
        <v>46</v>
      </c>
      <c r="U235" s="6" t="s">
        <v>123</v>
      </c>
    </row>
    <row r="236" spans="20:21" ht="20.149999999999999" customHeight="1" x14ac:dyDescent="0.35">
      <c r="T236" s="85" t="s">
        <v>46</v>
      </c>
      <c r="U236" s="6" t="s">
        <v>123</v>
      </c>
    </row>
    <row r="237" spans="20:21" ht="20.149999999999999" customHeight="1" x14ac:dyDescent="0.35">
      <c r="T237" s="85" t="s">
        <v>46</v>
      </c>
      <c r="U237" s="6" t="s">
        <v>123</v>
      </c>
    </row>
    <row r="238" spans="20:21" ht="20.149999999999999" customHeight="1" x14ac:dyDescent="0.35">
      <c r="T238" s="85" t="s">
        <v>43</v>
      </c>
      <c r="U238" s="6" t="s">
        <v>123</v>
      </c>
    </row>
    <row r="239" spans="20:21" ht="20.149999999999999" customHeight="1" x14ac:dyDescent="0.35">
      <c r="T239" s="85" t="s">
        <v>46</v>
      </c>
      <c r="U239" s="6" t="s">
        <v>123</v>
      </c>
    </row>
    <row r="240" spans="20:21" ht="20.149999999999999" customHeight="1" x14ac:dyDescent="0.35">
      <c r="T240" s="85" t="s">
        <v>43</v>
      </c>
      <c r="U240" s="6" t="s">
        <v>123</v>
      </c>
    </row>
    <row r="241" spans="20:21" ht="20.149999999999999" customHeight="1" x14ac:dyDescent="0.35">
      <c r="T241" s="85" t="s">
        <v>46</v>
      </c>
      <c r="U241" s="6" t="s">
        <v>122</v>
      </c>
    </row>
    <row r="242" spans="20:21" ht="20.149999999999999" customHeight="1" x14ac:dyDescent="0.35">
      <c r="T242" s="85" t="s">
        <v>46</v>
      </c>
      <c r="U242" s="6" t="s">
        <v>123</v>
      </c>
    </row>
    <row r="243" spans="20:21" ht="20.149999999999999" customHeight="1" x14ac:dyDescent="0.35">
      <c r="T243" s="85" t="s">
        <v>46</v>
      </c>
      <c r="U243" s="6" t="s">
        <v>123</v>
      </c>
    </row>
    <row r="244" spans="20:21" ht="20.149999999999999" customHeight="1" x14ac:dyDescent="0.35">
      <c r="T244" s="85" t="s">
        <v>46</v>
      </c>
      <c r="U244" s="6" t="s">
        <v>122</v>
      </c>
    </row>
    <row r="245" spans="20:21" ht="20.149999999999999" customHeight="1" x14ac:dyDescent="0.35">
      <c r="T245" s="85" t="s">
        <v>46</v>
      </c>
      <c r="U245" s="6" t="s">
        <v>123</v>
      </c>
    </row>
    <row r="246" spans="20:21" ht="20.149999999999999" customHeight="1" x14ac:dyDescent="0.35">
      <c r="T246" s="85" t="s">
        <v>43</v>
      </c>
      <c r="U246" s="6" t="s">
        <v>123</v>
      </c>
    </row>
    <row r="247" spans="20:21" ht="20.149999999999999" customHeight="1" x14ac:dyDescent="0.35">
      <c r="T247" s="85" t="s">
        <v>46</v>
      </c>
      <c r="U247" s="6" t="s">
        <v>122</v>
      </c>
    </row>
    <row r="248" spans="20:21" ht="20.149999999999999" customHeight="1" x14ac:dyDescent="0.35">
      <c r="T248" s="85" t="s">
        <v>46</v>
      </c>
      <c r="U248" s="6" t="s">
        <v>123</v>
      </c>
    </row>
    <row r="249" spans="20:21" ht="20.149999999999999" customHeight="1" x14ac:dyDescent="0.35">
      <c r="T249" s="85" t="s">
        <v>43</v>
      </c>
      <c r="U249" s="6" t="s">
        <v>123</v>
      </c>
    </row>
    <row r="250" spans="20:21" ht="20.149999999999999" customHeight="1" x14ac:dyDescent="0.35">
      <c r="T250" s="85" t="s">
        <v>51</v>
      </c>
      <c r="U250" s="6" t="s">
        <v>122</v>
      </c>
    </row>
    <row r="251" spans="20:21" ht="20.149999999999999" customHeight="1" x14ac:dyDescent="0.35">
      <c r="T251" s="85" t="s">
        <v>51</v>
      </c>
      <c r="U251" s="6" t="s">
        <v>123</v>
      </c>
    </row>
    <row r="252" spans="20:21" ht="20.149999999999999" customHeight="1" x14ac:dyDescent="0.35">
      <c r="T252" s="85" t="s">
        <v>51</v>
      </c>
      <c r="U252" s="6" t="s">
        <v>123</v>
      </c>
    </row>
    <row r="253" spans="20:21" ht="20.149999999999999" customHeight="1" x14ac:dyDescent="0.35">
      <c r="T253" s="85" t="s">
        <v>43</v>
      </c>
      <c r="U253" s="6" t="s">
        <v>122</v>
      </c>
    </row>
    <row r="254" spans="20:21" ht="20.149999999999999" customHeight="1" x14ac:dyDescent="0.35">
      <c r="T254" s="85" t="s">
        <v>46</v>
      </c>
      <c r="U254" s="6" t="s">
        <v>122</v>
      </c>
    </row>
    <row r="255" spans="20:21" ht="20.149999999999999" customHeight="1" x14ac:dyDescent="0.35">
      <c r="T255" s="85" t="s">
        <v>46</v>
      </c>
      <c r="U255" s="6" t="s">
        <v>122</v>
      </c>
    </row>
    <row r="256" spans="20:21" ht="20.149999999999999" customHeight="1" x14ac:dyDescent="0.35">
      <c r="T256" s="85" t="s">
        <v>46</v>
      </c>
      <c r="U256" s="6" t="s">
        <v>122</v>
      </c>
    </row>
    <row r="257" spans="20:21" ht="20.149999999999999" customHeight="1" x14ac:dyDescent="0.35">
      <c r="T257" s="85" t="s">
        <v>46</v>
      </c>
      <c r="U257" s="6" t="s">
        <v>122</v>
      </c>
    </row>
    <row r="258" spans="20:21" x14ac:dyDescent="0.35">
      <c r="T258" s="85" t="s">
        <v>46</v>
      </c>
      <c r="U258" s="4" t="s">
        <v>122</v>
      </c>
    </row>
    <row r="259" spans="20:21" x14ac:dyDescent="0.35">
      <c r="T259" s="85" t="s">
        <v>43</v>
      </c>
      <c r="U259" s="4" t="s">
        <v>122</v>
      </c>
    </row>
    <row r="260" spans="20:21" x14ac:dyDescent="0.35">
      <c r="T260" s="85" t="s">
        <v>43</v>
      </c>
      <c r="U260" s="4" t="s">
        <v>122</v>
      </c>
    </row>
    <row r="261" spans="20:21" x14ac:dyDescent="0.35">
      <c r="T261" s="85" t="s">
        <v>43</v>
      </c>
      <c r="U261" s="4" t="s">
        <v>122</v>
      </c>
    </row>
    <row r="262" spans="20:21" x14ac:dyDescent="0.35">
      <c r="T262" s="85" t="s">
        <v>46</v>
      </c>
      <c r="U262" s="4" t="s">
        <v>122</v>
      </c>
    </row>
    <row r="263" spans="20:21" x14ac:dyDescent="0.35">
      <c r="T263" s="85" t="s">
        <v>43</v>
      </c>
      <c r="U263" s="4" t="s">
        <v>122</v>
      </c>
    </row>
    <row r="264" spans="20:21" x14ac:dyDescent="0.35">
      <c r="T264" s="85" t="s">
        <v>43</v>
      </c>
      <c r="U264" s="4" t="s">
        <v>122</v>
      </c>
    </row>
    <row r="265" spans="20:21" x14ac:dyDescent="0.35">
      <c r="T265" s="85" t="s">
        <v>43</v>
      </c>
      <c r="U265" s="4" t="s">
        <v>122</v>
      </c>
    </row>
    <row r="266" spans="20:21" x14ac:dyDescent="0.35">
      <c r="T266" s="85" t="s">
        <v>43</v>
      </c>
      <c r="U266" s="4" t="s">
        <v>123</v>
      </c>
    </row>
    <row r="267" spans="20:21" x14ac:dyDescent="0.35">
      <c r="T267" s="85" t="s">
        <v>43</v>
      </c>
      <c r="U267" s="4" t="s">
        <v>122</v>
      </c>
    </row>
    <row r="268" spans="20:21" x14ac:dyDescent="0.35">
      <c r="T268" s="85" t="s">
        <v>43</v>
      </c>
      <c r="U268" s="4" t="s">
        <v>122</v>
      </c>
    </row>
    <row r="269" spans="20:21" x14ac:dyDescent="0.35">
      <c r="T269" s="85" t="s">
        <v>43</v>
      </c>
      <c r="U269" s="4" t="s">
        <v>123</v>
      </c>
    </row>
    <row r="270" spans="20:21" x14ac:dyDescent="0.35">
      <c r="T270" s="85" t="s">
        <v>43</v>
      </c>
      <c r="U270" s="4" t="s">
        <v>122</v>
      </c>
    </row>
    <row r="271" spans="20:21" x14ac:dyDescent="0.35">
      <c r="T271" s="85" t="s">
        <v>43</v>
      </c>
      <c r="U271" s="4" t="s">
        <v>122</v>
      </c>
    </row>
    <row r="272" spans="20:21" x14ac:dyDescent="0.35">
      <c r="T272" s="85" t="s">
        <v>43</v>
      </c>
      <c r="U272" s="4" t="s">
        <v>123</v>
      </c>
    </row>
    <row r="273" spans="20:21" x14ac:dyDescent="0.35">
      <c r="T273" s="85" t="s">
        <v>46</v>
      </c>
      <c r="U273" s="4" t="s">
        <v>123</v>
      </c>
    </row>
    <row r="274" spans="20:21" x14ac:dyDescent="0.35">
      <c r="T274" s="85" t="s">
        <v>46</v>
      </c>
      <c r="U274" s="4" t="s">
        <v>122</v>
      </c>
    </row>
    <row r="275" spans="20:21" x14ac:dyDescent="0.35">
      <c r="T275" s="85" t="s">
        <v>43</v>
      </c>
      <c r="U275" s="4" t="s">
        <v>122</v>
      </c>
    </row>
    <row r="276" spans="20:21" x14ac:dyDescent="0.35">
      <c r="T276" s="85" t="s">
        <v>43</v>
      </c>
      <c r="U276" s="4" t="s">
        <v>122</v>
      </c>
    </row>
    <row r="277" spans="20:21" x14ac:dyDescent="0.35">
      <c r="T277" s="85" t="s">
        <v>43</v>
      </c>
      <c r="U277" s="4" t="s">
        <v>122</v>
      </c>
    </row>
    <row r="278" spans="20:21" x14ac:dyDescent="0.35">
      <c r="T278" s="85" t="s">
        <v>46</v>
      </c>
      <c r="U278" s="4" t="s">
        <v>123</v>
      </c>
    </row>
    <row r="279" spans="20:21" x14ac:dyDescent="0.35">
      <c r="T279" s="85" t="s">
        <v>46</v>
      </c>
      <c r="U279" s="4" t="s">
        <v>122</v>
      </c>
    </row>
    <row r="280" spans="20:21" x14ac:dyDescent="0.35">
      <c r="T280" s="85" t="s">
        <v>46</v>
      </c>
      <c r="U280" s="4" t="s">
        <v>122</v>
      </c>
    </row>
    <row r="281" spans="20:21" x14ac:dyDescent="0.35">
      <c r="T281" s="85" t="s">
        <v>46</v>
      </c>
      <c r="U281" s="4" t="s">
        <v>123</v>
      </c>
    </row>
    <row r="282" spans="20:21" x14ac:dyDescent="0.35">
      <c r="T282" s="85" t="s">
        <v>46</v>
      </c>
      <c r="U282" s="4" t="s">
        <v>122</v>
      </c>
    </row>
    <row r="283" spans="20:21" x14ac:dyDescent="0.35">
      <c r="T283" s="85" t="s">
        <v>46</v>
      </c>
      <c r="U283" s="4" t="s">
        <v>122</v>
      </c>
    </row>
    <row r="284" spans="20:21" x14ac:dyDescent="0.35">
      <c r="T284" s="85" t="s">
        <v>46</v>
      </c>
      <c r="U284" s="4" t="s">
        <v>122</v>
      </c>
    </row>
    <row r="285" spans="20:21" x14ac:dyDescent="0.35">
      <c r="T285" s="85" t="s">
        <v>43</v>
      </c>
      <c r="U285" s="4" t="s">
        <v>122</v>
      </c>
    </row>
    <row r="286" spans="20:21" x14ac:dyDescent="0.35">
      <c r="T286" s="85" t="s">
        <v>51</v>
      </c>
      <c r="U286" s="4" t="s">
        <v>122</v>
      </c>
    </row>
    <row r="287" spans="20:21" x14ac:dyDescent="0.35">
      <c r="T287" s="85" t="s">
        <v>43</v>
      </c>
      <c r="U287" s="4" t="s">
        <v>122</v>
      </c>
    </row>
    <row r="288" spans="20:21" x14ac:dyDescent="0.35">
      <c r="T288" s="85" t="s">
        <v>43</v>
      </c>
      <c r="U288" s="4" t="s">
        <v>122</v>
      </c>
    </row>
    <row r="289" spans="20:21" x14ac:dyDescent="0.35">
      <c r="T289" s="85" t="s">
        <v>46</v>
      </c>
      <c r="U289" s="4" t="s">
        <v>123</v>
      </c>
    </row>
    <row r="290" spans="20:21" x14ac:dyDescent="0.35">
      <c r="T290" s="85" t="s">
        <v>46</v>
      </c>
      <c r="U290" s="4" t="s">
        <v>120</v>
      </c>
    </row>
    <row r="291" spans="20:21" x14ac:dyDescent="0.35">
      <c r="T291" s="85" t="s">
        <v>46</v>
      </c>
      <c r="U291" s="4" t="s">
        <v>122</v>
      </c>
    </row>
    <row r="292" spans="20:21" x14ac:dyDescent="0.35">
      <c r="T292" s="85" t="s">
        <v>43</v>
      </c>
      <c r="U292" s="4" t="s">
        <v>122</v>
      </c>
    </row>
    <row r="293" spans="20:21" x14ac:dyDescent="0.35">
      <c r="T293" s="85" t="s">
        <v>51</v>
      </c>
      <c r="U293" s="4" t="s">
        <v>120</v>
      </c>
    </row>
    <row r="294" spans="20:21" x14ac:dyDescent="0.35">
      <c r="T294" s="85" t="s">
        <v>46</v>
      </c>
      <c r="U294" s="4" t="s">
        <v>120</v>
      </c>
    </row>
    <row r="295" spans="20:21" x14ac:dyDescent="0.35">
      <c r="T295" s="85" t="s">
        <v>46</v>
      </c>
      <c r="U295" s="4" t="s">
        <v>123</v>
      </c>
    </row>
    <row r="296" spans="20:21" x14ac:dyDescent="0.35">
      <c r="T296" s="85" t="s">
        <v>46</v>
      </c>
      <c r="U296" s="4" t="s">
        <v>120</v>
      </c>
    </row>
    <row r="297" spans="20:21" x14ac:dyDescent="0.35">
      <c r="T297" s="85" t="s">
        <v>46</v>
      </c>
      <c r="U297" s="4" t="s">
        <v>120</v>
      </c>
    </row>
    <row r="298" spans="20:21" x14ac:dyDescent="0.35">
      <c r="T298" s="85" t="s">
        <v>46</v>
      </c>
      <c r="U298" s="4" t="s">
        <v>120</v>
      </c>
    </row>
    <row r="299" spans="20:21" x14ac:dyDescent="0.35">
      <c r="T299" s="85" t="s">
        <v>46</v>
      </c>
      <c r="U299" s="4" t="s">
        <v>120</v>
      </c>
    </row>
    <row r="300" spans="20:21" x14ac:dyDescent="0.35">
      <c r="T300" s="85" t="s">
        <v>43</v>
      </c>
      <c r="U300" s="4" t="s">
        <v>120</v>
      </c>
    </row>
    <row r="301" spans="20:21" x14ac:dyDescent="0.35">
      <c r="T301" s="85" t="s">
        <v>43</v>
      </c>
      <c r="U301" s="4" t="s">
        <v>120</v>
      </c>
    </row>
    <row r="302" spans="20:21" x14ac:dyDescent="0.35">
      <c r="T302" s="85" t="s">
        <v>43</v>
      </c>
      <c r="U302" s="4" t="s">
        <v>120</v>
      </c>
    </row>
    <row r="303" spans="20:21" x14ac:dyDescent="0.35">
      <c r="T303" s="85" t="s">
        <v>51</v>
      </c>
      <c r="U303" s="4" t="s">
        <v>121</v>
      </c>
    </row>
    <row r="304" spans="20:21" x14ac:dyDescent="0.35">
      <c r="T304" s="85" t="s">
        <v>46</v>
      </c>
      <c r="U304" s="4" t="s">
        <v>122</v>
      </c>
    </row>
    <row r="305" spans="20:21" x14ac:dyDescent="0.35">
      <c r="T305" s="85" t="s">
        <v>46</v>
      </c>
      <c r="U305" s="4" t="s">
        <v>120</v>
      </c>
    </row>
    <row r="306" spans="20:21" x14ac:dyDescent="0.35">
      <c r="T306" s="85" t="s">
        <v>46</v>
      </c>
      <c r="U306" s="4" t="s">
        <v>120</v>
      </c>
    </row>
    <row r="307" spans="20:21" x14ac:dyDescent="0.35">
      <c r="T307" s="85" t="s">
        <v>46</v>
      </c>
      <c r="U307" s="4" t="s">
        <v>122</v>
      </c>
    </row>
    <row r="308" spans="20:21" x14ac:dyDescent="0.35">
      <c r="T308" s="85" t="s">
        <v>46</v>
      </c>
      <c r="U308" s="4" t="s">
        <v>120</v>
      </c>
    </row>
    <row r="309" spans="20:21" x14ac:dyDescent="0.35">
      <c r="T309" s="85" t="s">
        <v>43</v>
      </c>
      <c r="U309" s="4" t="s">
        <v>120</v>
      </c>
    </row>
    <row r="310" spans="20:21" x14ac:dyDescent="0.35">
      <c r="T310" s="85" t="s">
        <v>46</v>
      </c>
      <c r="U310" s="4" t="s">
        <v>120</v>
      </c>
    </row>
    <row r="311" spans="20:21" x14ac:dyDescent="0.35">
      <c r="T311" s="85" t="s">
        <v>46</v>
      </c>
      <c r="U311" s="4" t="s">
        <v>120</v>
      </c>
    </row>
    <row r="312" spans="20:21" x14ac:dyDescent="0.35">
      <c r="T312" s="85" t="s">
        <v>46</v>
      </c>
      <c r="U312" s="4" t="s">
        <v>120</v>
      </c>
    </row>
    <row r="313" spans="20:21" x14ac:dyDescent="0.35">
      <c r="T313" s="85" t="s">
        <v>46</v>
      </c>
      <c r="U313" s="4" t="s">
        <v>120</v>
      </c>
    </row>
    <row r="314" spans="20:21" x14ac:dyDescent="0.35">
      <c r="T314" s="85" t="s">
        <v>46</v>
      </c>
      <c r="U314" s="4" t="s">
        <v>120</v>
      </c>
    </row>
    <row r="315" spans="20:21" x14ac:dyDescent="0.35">
      <c r="T315" s="85" t="s">
        <v>43</v>
      </c>
      <c r="U315" s="4" t="s">
        <v>120</v>
      </c>
    </row>
    <row r="316" spans="20:21" x14ac:dyDescent="0.35">
      <c r="T316" s="85" t="s">
        <v>46</v>
      </c>
      <c r="U316" s="4" t="s">
        <v>120</v>
      </c>
    </row>
    <row r="317" spans="20:21" x14ac:dyDescent="0.35">
      <c r="T317" s="85" t="s">
        <v>46</v>
      </c>
      <c r="U317" s="4" t="s">
        <v>122</v>
      </c>
    </row>
    <row r="318" spans="20:21" x14ac:dyDescent="0.35">
      <c r="T318" s="85" t="s">
        <v>46</v>
      </c>
      <c r="U318" s="4" t="s">
        <v>120</v>
      </c>
    </row>
    <row r="319" spans="20:21" x14ac:dyDescent="0.35">
      <c r="T319" s="85" t="s">
        <v>46</v>
      </c>
      <c r="U319" s="4" t="s">
        <v>120</v>
      </c>
    </row>
    <row r="320" spans="20:21" x14ac:dyDescent="0.35">
      <c r="T320" s="85" t="s">
        <v>43</v>
      </c>
      <c r="U320" s="4" t="s">
        <v>120</v>
      </c>
    </row>
    <row r="321" spans="20:21" x14ac:dyDescent="0.35">
      <c r="T321" s="85" t="s">
        <v>51</v>
      </c>
      <c r="U321" s="4" t="s">
        <v>120</v>
      </c>
    </row>
    <row r="322" spans="20:21" x14ac:dyDescent="0.35">
      <c r="T322" s="85" t="s">
        <v>43</v>
      </c>
      <c r="U322" s="4" t="s">
        <v>120</v>
      </c>
    </row>
    <row r="323" spans="20:21" x14ac:dyDescent="0.35">
      <c r="T323" s="85" t="s">
        <v>46</v>
      </c>
      <c r="U323" s="4" t="s">
        <v>120</v>
      </c>
    </row>
    <row r="324" spans="20:21" x14ac:dyDescent="0.35">
      <c r="T324" s="85" t="s">
        <v>46</v>
      </c>
      <c r="U324" s="4" t="s">
        <v>121</v>
      </c>
    </row>
    <row r="325" spans="20:21" x14ac:dyDescent="0.35">
      <c r="T325" s="85" t="s">
        <v>43</v>
      </c>
      <c r="U325" s="4" t="s">
        <v>120</v>
      </c>
    </row>
    <row r="326" spans="20:21" x14ac:dyDescent="0.35">
      <c r="T326" s="85" t="s">
        <v>51</v>
      </c>
      <c r="U326" s="4" t="s">
        <v>120</v>
      </c>
    </row>
    <row r="327" spans="20:21" x14ac:dyDescent="0.35">
      <c r="T327" s="85" t="s">
        <v>51</v>
      </c>
      <c r="U327" s="4" t="s">
        <v>120</v>
      </c>
    </row>
    <row r="328" spans="20:21" x14ac:dyDescent="0.35">
      <c r="T328" s="85" t="s">
        <v>43</v>
      </c>
      <c r="U328" s="4" t="s">
        <v>121</v>
      </c>
    </row>
    <row r="329" spans="20:21" x14ac:dyDescent="0.35">
      <c r="T329" s="85" t="s">
        <v>46</v>
      </c>
      <c r="U329" s="4" t="s">
        <v>120</v>
      </c>
    </row>
    <row r="330" spans="20:21" x14ac:dyDescent="0.35">
      <c r="T330" s="85" t="s">
        <v>46</v>
      </c>
      <c r="U330" s="4" t="s">
        <v>120</v>
      </c>
    </row>
    <row r="331" spans="20:21" x14ac:dyDescent="0.35">
      <c r="T331" s="85" t="s">
        <v>46</v>
      </c>
      <c r="U331" s="4" t="s">
        <v>120</v>
      </c>
    </row>
    <row r="332" spans="20:21" x14ac:dyDescent="0.35">
      <c r="T332" s="85" t="s">
        <v>46</v>
      </c>
      <c r="U332" s="4" t="s">
        <v>120</v>
      </c>
    </row>
    <row r="333" spans="20:21" x14ac:dyDescent="0.35">
      <c r="T333" s="85" t="s">
        <v>46</v>
      </c>
      <c r="U333" s="4" t="s">
        <v>120</v>
      </c>
    </row>
    <row r="334" spans="20:21" x14ac:dyDescent="0.35">
      <c r="T334" s="85" t="s">
        <v>43</v>
      </c>
      <c r="U334" s="4" t="s">
        <v>120</v>
      </c>
    </row>
    <row r="335" spans="20:21" x14ac:dyDescent="0.35">
      <c r="T335" s="85" t="s">
        <v>46</v>
      </c>
      <c r="U335" s="4" t="s">
        <v>120</v>
      </c>
    </row>
    <row r="336" spans="20:21" x14ac:dyDescent="0.35">
      <c r="T336" s="85" t="s">
        <v>46</v>
      </c>
      <c r="U336" s="4" t="s">
        <v>121</v>
      </c>
    </row>
    <row r="337" spans="20:21" x14ac:dyDescent="0.35">
      <c r="T337" s="85" t="s">
        <v>46</v>
      </c>
      <c r="U337" s="4" t="s">
        <v>121</v>
      </c>
    </row>
    <row r="338" spans="20:21" x14ac:dyDescent="0.35">
      <c r="T338" s="85" t="s">
        <v>46</v>
      </c>
      <c r="U338" s="4" t="s">
        <v>121</v>
      </c>
    </row>
    <row r="339" spans="20:21" x14ac:dyDescent="0.35">
      <c r="T339" s="85" t="s">
        <v>46</v>
      </c>
      <c r="U339" s="4" t="s">
        <v>120</v>
      </c>
    </row>
    <row r="340" spans="20:21" x14ac:dyDescent="0.35">
      <c r="T340" s="85" t="s">
        <v>43</v>
      </c>
      <c r="U340" s="4" t="s">
        <v>120</v>
      </c>
    </row>
    <row r="341" spans="20:21" x14ac:dyDescent="0.35">
      <c r="T341" s="85" t="s">
        <v>51</v>
      </c>
      <c r="U341" s="4" t="s">
        <v>120</v>
      </c>
    </row>
    <row r="342" spans="20:21" x14ac:dyDescent="0.35">
      <c r="T342" s="85" t="s">
        <v>51</v>
      </c>
      <c r="U342" s="4" t="s">
        <v>120</v>
      </c>
    </row>
    <row r="343" spans="20:21" x14ac:dyDescent="0.35">
      <c r="T343" s="85" t="s">
        <v>46</v>
      </c>
      <c r="U343" s="4" t="s">
        <v>120</v>
      </c>
    </row>
    <row r="344" spans="20:21" x14ac:dyDescent="0.35">
      <c r="T344" s="85" t="s">
        <v>46</v>
      </c>
      <c r="U344" s="4" t="s">
        <v>120</v>
      </c>
    </row>
    <row r="345" spans="20:21" x14ac:dyDescent="0.35">
      <c r="T345" s="85" t="s">
        <v>46</v>
      </c>
      <c r="U345" s="4" t="s">
        <v>121</v>
      </c>
    </row>
    <row r="346" spans="20:21" x14ac:dyDescent="0.35">
      <c r="T346" s="85" t="s">
        <v>46</v>
      </c>
      <c r="U346" s="4" t="s">
        <v>120</v>
      </c>
    </row>
    <row r="347" spans="20:21" x14ac:dyDescent="0.35">
      <c r="T347" s="85" t="s">
        <v>46</v>
      </c>
      <c r="U347" s="4" t="s">
        <v>121</v>
      </c>
    </row>
    <row r="348" spans="20:21" x14ac:dyDescent="0.35">
      <c r="T348" s="85" t="s">
        <v>46</v>
      </c>
      <c r="U348" s="4" t="s">
        <v>120</v>
      </c>
    </row>
    <row r="349" spans="20:21" x14ac:dyDescent="0.35">
      <c r="T349" s="85" t="s">
        <v>43</v>
      </c>
      <c r="U349" s="4" t="s">
        <v>121</v>
      </c>
    </row>
    <row r="350" spans="20:21" x14ac:dyDescent="0.35">
      <c r="T350" s="85" t="s">
        <v>43</v>
      </c>
      <c r="U350" s="4" t="s">
        <v>120</v>
      </c>
    </row>
    <row r="351" spans="20:21" x14ac:dyDescent="0.35">
      <c r="T351" s="85" t="s">
        <v>43</v>
      </c>
      <c r="U351" s="4" t="s">
        <v>120</v>
      </c>
    </row>
    <row r="352" spans="20:21" x14ac:dyDescent="0.35">
      <c r="T352" s="85" t="s">
        <v>43</v>
      </c>
      <c r="U352" s="4" t="s">
        <v>121</v>
      </c>
    </row>
    <row r="353" spans="20:21" x14ac:dyDescent="0.35">
      <c r="T353" s="85" t="s">
        <v>46</v>
      </c>
      <c r="U353" s="4" t="s">
        <v>120</v>
      </c>
    </row>
    <row r="354" spans="20:21" x14ac:dyDescent="0.35">
      <c r="T354" s="85" t="s">
        <v>46</v>
      </c>
      <c r="U354" s="4" t="s">
        <v>120</v>
      </c>
    </row>
    <row r="355" spans="20:21" x14ac:dyDescent="0.35">
      <c r="T355" s="85" t="s">
        <v>43</v>
      </c>
      <c r="U355" s="4" t="s">
        <v>120</v>
      </c>
    </row>
    <row r="356" spans="20:21" x14ac:dyDescent="0.35">
      <c r="T356" s="85" t="s">
        <v>43</v>
      </c>
      <c r="U356" s="4" t="s">
        <v>120</v>
      </c>
    </row>
    <row r="357" spans="20:21" x14ac:dyDescent="0.35">
      <c r="T357" s="85" t="s">
        <v>43</v>
      </c>
      <c r="U357" s="4" t="s">
        <v>120</v>
      </c>
    </row>
    <row r="358" spans="20:21" x14ac:dyDescent="0.35">
      <c r="T358" s="85" t="s">
        <v>46</v>
      </c>
      <c r="U358" s="4" t="s">
        <v>120</v>
      </c>
    </row>
    <row r="359" spans="20:21" x14ac:dyDescent="0.35">
      <c r="T359" s="85" t="s">
        <v>46</v>
      </c>
      <c r="U359" s="4" t="s">
        <v>121</v>
      </c>
    </row>
    <row r="360" spans="20:21" x14ac:dyDescent="0.35">
      <c r="T360" s="85" t="s">
        <v>46</v>
      </c>
      <c r="U360" s="4" t="s">
        <v>121</v>
      </c>
    </row>
    <row r="361" spans="20:21" x14ac:dyDescent="0.35">
      <c r="T361" s="85" t="s">
        <v>46</v>
      </c>
      <c r="U361" s="4" t="s">
        <v>120</v>
      </c>
    </row>
    <row r="362" spans="20:21" x14ac:dyDescent="0.35">
      <c r="T362" s="85" t="s">
        <v>43</v>
      </c>
      <c r="U362" s="4" t="s">
        <v>120</v>
      </c>
    </row>
    <row r="363" spans="20:21" x14ac:dyDescent="0.35">
      <c r="T363" s="85" t="s">
        <v>46</v>
      </c>
      <c r="U363" s="4" t="s">
        <v>121</v>
      </c>
    </row>
    <row r="364" spans="20:21" x14ac:dyDescent="0.35">
      <c r="T364" s="85" t="s">
        <v>46</v>
      </c>
      <c r="U364" s="4" t="s">
        <v>121</v>
      </c>
    </row>
    <row r="365" spans="20:21" x14ac:dyDescent="0.35">
      <c r="T365" s="85" t="s">
        <v>46</v>
      </c>
      <c r="U365" s="4" t="s">
        <v>121</v>
      </c>
    </row>
    <row r="366" spans="20:21" x14ac:dyDescent="0.35">
      <c r="T366" s="85" t="s">
        <v>46</v>
      </c>
      <c r="U366" s="4" t="s">
        <v>121</v>
      </c>
    </row>
  </sheetData>
  <conditionalFormatting sqref="D24:I25 D26:D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I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11811023622047245" right="0.11811023622047245" top="0.15748031496062992" bottom="0.15748031496062992" header="0.31496062992125984" footer="0.31496062992125984"/>
  <pageSetup paperSize="9" scale="67" fitToHeight="11" orientation="landscape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8F2B7-0B0B-4AF8-9FBB-2F816493C946}">
  <sheetPr>
    <pageSetUpPr fitToPage="1"/>
  </sheetPr>
  <dimension ref="A1:AC267"/>
  <sheetViews>
    <sheetView tabSelected="1" zoomScale="61" zoomScaleNormal="70" workbookViewId="0">
      <selection activeCell="H49" sqref="H49"/>
    </sheetView>
  </sheetViews>
  <sheetFormatPr defaultColWidth="14.36328125" defaultRowHeight="14.5" x14ac:dyDescent="0.35"/>
  <cols>
    <col min="1" max="2" width="6.36328125" style="24" customWidth="1"/>
    <col min="3" max="3" width="22.36328125" style="4" customWidth="1"/>
    <col min="4" max="4" width="15.6328125" style="24" customWidth="1"/>
    <col min="5" max="5" width="15.26953125" style="4" bestFit="1" customWidth="1"/>
    <col min="6" max="6" width="19.26953125" style="4" customWidth="1"/>
    <col min="7" max="7" width="17.7265625" style="4" customWidth="1"/>
    <col min="8" max="8" width="22.26953125" style="4" customWidth="1"/>
    <col min="9" max="9" width="14.36328125" style="4"/>
    <col min="10" max="18" width="11.6328125" style="4" customWidth="1"/>
    <col min="19" max="19" width="14.36328125" style="85"/>
    <col min="20" max="16384" width="14.36328125" style="4"/>
  </cols>
  <sheetData>
    <row r="1" spans="1:29" ht="20.149999999999999" customHeight="1" thickBot="1" x14ac:dyDescent="0.4">
      <c r="A1" s="3" t="s">
        <v>3</v>
      </c>
      <c r="B1" s="3"/>
      <c r="D1" s="5" t="s">
        <v>4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 t="s">
        <v>72</v>
      </c>
      <c r="S1" s="201" t="s">
        <v>131</v>
      </c>
      <c r="T1" s="202" t="s">
        <v>132</v>
      </c>
      <c r="U1" s="203" t="s">
        <v>129</v>
      </c>
      <c r="V1" s="204" t="s">
        <v>130</v>
      </c>
      <c r="W1" s="4" t="s">
        <v>138</v>
      </c>
      <c r="X1" s="4" t="s">
        <v>139</v>
      </c>
      <c r="Y1" s="4" t="s">
        <v>155</v>
      </c>
      <c r="Z1" s="4" t="s">
        <v>156</v>
      </c>
    </row>
    <row r="2" spans="1:29" ht="20.149999999999999" customHeight="1" x14ac:dyDescent="0.35">
      <c r="A2" s="8"/>
      <c r="B2" s="9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2"/>
      <c r="S2" s="186">
        <v>103</v>
      </c>
      <c r="T2" s="187">
        <v>39</v>
      </c>
      <c r="U2" s="188">
        <v>121</v>
      </c>
      <c r="V2" s="189">
        <v>78</v>
      </c>
    </row>
    <row r="3" spans="1:29" s="38" customFormat="1" ht="20.149999999999999" customHeight="1" x14ac:dyDescent="0.35">
      <c r="A3" s="34"/>
      <c r="B3" s="39"/>
      <c r="C3" s="3" t="s">
        <v>66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1"/>
      <c r="S3" s="182">
        <v>95</v>
      </c>
      <c r="T3" s="183">
        <v>42</v>
      </c>
      <c r="U3" s="184">
        <v>94</v>
      </c>
      <c r="V3" s="185">
        <v>72</v>
      </c>
      <c r="W3" s="4"/>
      <c r="X3" s="4"/>
      <c r="Y3" s="4"/>
      <c r="Z3" s="4"/>
      <c r="AA3" s="40"/>
      <c r="AB3" s="4"/>
      <c r="AC3" s="4"/>
    </row>
    <row r="4" spans="1:29" s="38" customFormat="1" ht="20.149999999999999" customHeight="1" x14ac:dyDescent="0.35">
      <c r="A4" s="34"/>
      <c r="B4" s="39"/>
      <c r="C4" s="14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1"/>
      <c r="S4" s="186">
        <v>90</v>
      </c>
      <c r="T4" s="187">
        <v>12</v>
      </c>
      <c r="U4" s="188">
        <v>93</v>
      </c>
      <c r="V4" s="189">
        <v>70</v>
      </c>
      <c r="W4" s="4"/>
      <c r="X4" s="4"/>
      <c r="Y4" s="4"/>
      <c r="Z4" s="4"/>
      <c r="AA4" s="40"/>
      <c r="AB4" s="4"/>
      <c r="AC4" s="4"/>
    </row>
    <row r="5" spans="1:29" s="38" customFormat="1" ht="20.149999999999999" customHeight="1" x14ac:dyDescent="0.35">
      <c r="A5" s="34"/>
      <c r="B5" s="39"/>
      <c r="C5" s="14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1"/>
      <c r="S5" s="182">
        <v>98</v>
      </c>
      <c r="T5" s="183">
        <v>38</v>
      </c>
      <c r="U5" s="184">
        <v>92</v>
      </c>
      <c r="V5" s="185">
        <v>77</v>
      </c>
      <c r="W5" s="4"/>
      <c r="X5" s="4"/>
      <c r="Y5" s="4"/>
      <c r="Z5" s="4"/>
      <c r="AA5" s="40"/>
      <c r="AB5" s="4"/>
      <c r="AC5" s="4"/>
    </row>
    <row r="6" spans="1:29" s="38" customFormat="1" ht="20.149999999999999" customHeight="1" thickBot="1" x14ac:dyDescent="0.4">
      <c r="A6" s="34"/>
      <c r="B6" s="39"/>
      <c r="C6" s="34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1"/>
      <c r="S6" s="186">
        <v>67</v>
      </c>
      <c r="T6" s="187">
        <v>42</v>
      </c>
      <c r="U6" s="188">
        <v>81</v>
      </c>
      <c r="V6" s="189">
        <v>52</v>
      </c>
      <c r="W6" s="4"/>
      <c r="X6" s="4"/>
      <c r="Y6" s="4"/>
      <c r="Z6" s="4"/>
      <c r="AB6" s="4"/>
      <c r="AC6" s="4"/>
    </row>
    <row r="7" spans="1:29" s="38" customFormat="1" ht="32.25" customHeight="1" thickBot="1" x14ac:dyDescent="0.4">
      <c r="A7" s="34"/>
      <c r="B7" s="39"/>
      <c r="C7" s="42" t="s">
        <v>21</v>
      </c>
      <c r="D7" s="75" t="s">
        <v>67</v>
      </c>
      <c r="E7" s="75" t="s">
        <v>68</v>
      </c>
      <c r="F7" s="75" t="s">
        <v>69</v>
      </c>
      <c r="G7" s="75" t="s">
        <v>70</v>
      </c>
      <c r="H7" s="76" t="s">
        <v>71</v>
      </c>
      <c r="I7" s="40"/>
      <c r="J7" s="40"/>
      <c r="K7" s="40"/>
      <c r="L7" s="40"/>
      <c r="M7" s="40"/>
      <c r="N7" s="40"/>
      <c r="O7" s="40"/>
      <c r="P7" s="40"/>
      <c r="Q7" s="40"/>
      <c r="R7" s="41"/>
      <c r="S7" s="182">
        <v>54</v>
      </c>
      <c r="T7" s="183">
        <v>38</v>
      </c>
      <c r="U7" s="184">
        <v>107</v>
      </c>
      <c r="V7" s="185">
        <v>14</v>
      </c>
      <c r="W7" s="4"/>
      <c r="X7" s="4"/>
      <c r="Y7" s="4"/>
      <c r="Z7" s="4"/>
      <c r="AA7" s="40"/>
      <c r="AB7" s="4"/>
      <c r="AC7" s="4"/>
    </row>
    <row r="8" spans="1:29" s="38" customFormat="1" ht="25" customHeight="1" x14ac:dyDescent="0.35">
      <c r="A8" s="34"/>
      <c r="B8" s="39"/>
      <c r="C8" s="43" t="s">
        <v>39</v>
      </c>
      <c r="D8" s="260">
        <f>AVERAGE(U2:U91)</f>
        <v>91.393258426966298</v>
      </c>
      <c r="E8" s="260">
        <f>G8-F8</f>
        <v>98</v>
      </c>
      <c r="F8" s="260">
        <f>MIN(U2:U91)</f>
        <v>23</v>
      </c>
      <c r="G8" s="260">
        <f>MAX(U2:U91)</f>
        <v>121</v>
      </c>
      <c r="H8" s="209">
        <f>$F$24-$E$24</f>
        <v>30</v>
      </c>
      <c r="I8" s="40"/>
      <c r="J8" s="40"/>
      <c r="K8" s="40"/>
      <c r="L8" s="40"/>
      <c r="M8" s="40"/>
      <c r="N8" s="40"/>
      <c r="O8" s="40"/>
      <c r="P8" s="40"/>
      <c r="Q8" s="40"/>
      <c r="R8" s="41"/>
      <c r="S8" s="186">
        <v>40</v>
      </c>
      <c r="T8" s="187">
        <v>13</v>
      </c>
      <c r="U8" s="188">
        <v>98</v>
      </c>
      <c r="V8" s="189">
        <v>66</v>
      </c>
      <c r="W8" s="4"/>
      <c r="X8" s="4"/>
      <c r="Y8" s="4"/>
      <c r="Z8" s="4"/>
      <c r="AA8" s="40"/>
      <c r="AB8" s="4"/>
      <c r="AC8" s="4"/>
    </row>
    <row r="9" spans="1:29" s="38" customFormat="1" ht="25" customHeight="1" x14ac:dyDescent="0.35">
      <c r="A9" s="34"/>
      <c r="B9" s="39"/>
      <c r="C9" s="43" t="s">
        <v>52</v>
      </c>
      <c r="D9" s="146">
        <f>AVERAGE(S2:S93)</f>
        <v>77.395604395604394</v>
      </c>
      <c r="E9" s="260">
        <f>G9-F9</f>
        <v>98</v>
      </c>
      <c r="F9" s="146">
        <f>MIN(S2:S94)</f>
        <v>12</v>
      </c>
      <c r="G9" s="146">
        <f>MAX(S2:S94)</f>
        <v>110</v>
      </c>
      <c r="H9" s="209">
        <f>$F$25-$E$25</f>
        <v>43.75</v>
      </c>
      <c r="I9" s="40"/>
      <c r="J9" s="40"/>
      <c r="K9" s="40"/>
      <c r="L9" s="40"/>
      <c r="M9" s="40"/>
      <c r="N9" s="40"/>
      <c r="O9" s="40"/>
      <c r="P9" s="40"/>
      <c r="Q9" s="40"/>
      <c r="R9" s="41"/>
      <c r="S9" s="182">
        <v>37</v>
      </c>
      <c r="T9" s="183">
        <v>40</v>
      </c>
      <c r="U9" s="184">
        <v>81</v>
      </c>
      <c r="V9" s="185">
        <v>72</v>
      </c>
      <c r="W9" s="4"/>
      <c r="X9" s="4"/>
      <c r="Y9" s="4"/>
      <c r="Z9" s="4"/>
      <c r="AA9" s="40"/>
      <c r="AB9" s="4"/>
      <c r="AC9" s="4"/>
    </row>
    <row r="10" spans="1:29" s="38" customFormat="1" ht="15.5" x14ac:dyDescent="0.35">
      <c r="A10" s="34"/>
      <c r="B10" s="39"/>
      <c r="C10" s="43" t="s">
        <v>53</v>
      </c>
      <c r="D10" s="260">
        <f>AVERAGE(V2:V92)</f>
        <v>38.373626373626372</v>
      </c>
      <c r="E10" s="260">
        <f>G10-F10</f>
        <v>70</v>
      </c>
      <c r="F10" s="260">
        <f>MIN(V2:V93)</f>
        <v>8</v>
      </c>
      <c r="G10" s="260">
        <f>MAX(V2:V93)</f>
        <v>78</v>
      </c>
      <c r="H10" s="209">
        <f>$F$26-$E$26</f>
        <v>14</v>
      </c>
      <c r="I10" s="40"/>
      <c r="J10" s="40"/>
      <c r="K10" s="40"/>
      <c r="L10" s="40"/>
      <c r="M10" s="40"/>
      <c r="N10" s="40"/>
      <c r="O10" s="40"/>
      <c r="P10" s="40"/>
      <c r="Q10" s="40"/>
      <c r="R10" s="41"/>
      <c r="S10" s="186">
        <v>71</v>
      </c>
      <c r="T10" s="187">
        <v>42</v>
      </c>
      <c r="U10" s="188">
        <v>85</v>
      </c>
      <c r="V10" s="189">
        <v>64</v>
      </c>
      <c r="W10" s="4"/>
      <c r="X10" s="4"/>
      <c r="Y10" s="4"/>
      <c r="Z10" s="4"/>
      <c r="AA10" s="40"/>
      <c r="AB10" s="4"/>
      <c r="AC10" s="4"/>
    </row>
    <row r="11" spans="1:29" s="38" customFormat="1" ht="16" thickBot="1" x14ac:dyDescent="0.4">
      <c r="A11" s="34"/>
      <c r="B11" s="39"/>
      <c r="C11" s="44" t="s">
        <v>54</v>
      </c>
      <c r="D11" s="36">
        <f>AVERAGE(T2:T92)</f>
        <v>65.411111111111111</v>
      </c>
      <c r="E11" s="261">
        <f t="shared" ref="E9:E11" si="0">G11-F11</f>
        <v>104</v>
      </c>
      <c r="F11" s="36">
        <f>MIN(T2:T92)</f>
        <v>12</v>
      </c>
      <c r="G11" s="36">
        <f>MAX(T2:T92)</f>
        <v>116</v>
      </c>
      <c r="H11" s="209">
        <f>$F$27-$E$27</f>
        <v>22.5</v>
      </c>
      <c r="I11" s="40"/>
      <c r="J11" s="40"/>
      <c r="K11" s="40"/>
      <c r="L11" s="40"/>
      <c r="M11" s="40"/>
      <c r="N11" s="40"/>
      <c r="O11" s="40"/>
      <c r="P11" s="40"/>
      <c r="Q11" s="40"/>
      <c r="R11" s="41"/>
      <c r="S11" s="182">
        <v>107</v>
      </c>
      <c r="T11" s="183">
        <v>49</v>
      </c>
      <c r="U11" s="184">
        <v>87</v>
      </c>
      <c r="V11" s="185">
        <v>55</v>
      </c>
      <c r="W11" s="4"/>
      <c r="X11" s="4"/>
      <c r="Y11" s="4"/>
      <c r="Z11" s="4"/>
      <c r="AA11" s="40"/>
      <c r="AB11" s="4"/>
      <c r="AC11" s="4"/>
    </row>
    <row r="12" spans="1:29" s="38" customFormat="1" ht="15.5" x14ac:dyDescent="0.35">
      <c r="A12" s="34"/>
      <c r="B12" s="39"/>
      <c r="C12" s="34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1"/>
      <c r="S12" s="186">
        <v>101</v>
      </c>
      <c r="T12" s="187">
        <v>41</v>
      </c>
      <c r="U12" s="188">
        <v>102</v>
      </c>
      <c r="V12" s="189">
        <v>66</v>
      </c>
      <c r="W12" s="4"/>
      <c r="X12" s="4"/>
      <c r="Y12" s="4"/>
      <c r="Z12" s="4"/>
      <c r="AB12" s="4"/>
      <c r="AC12" s="4"/>
    </row>
    <row r="13" spans="1:29" s="38" customFormat="1" ht="16" thickBot="1" x14ac:dyDescent="0.4">
      <c r="A13" s="34"/>
      <c r="B13" s="35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7"/>
      <c r="S13" s="182">
        <v>94</v>
      </c>
      <c r="T13" s="183">
        <v>41</v>
      </c>
      <c r="U13" s="184">
        <v>110</v>
      </c>
      <c r="V13" s="185">
        <v>70</v>
      </c>
      <c r="W13" s="4"/>
      <c r="X13" s="4"/>
      <c r="Y13" s="4"/>
      <c r="Z13" s="4"/>
      <c r="AB13" s="4"/>
      <c r="AC13" s="4"/>
    </row>
    <row r="14" spans="1:29" ht="20.149999999999999" customHeight="1" x14ac:dyDescent="0.35">
      <c r="A14" s="8"/>
      <c r="B14" s="8"/>
      <c r="C14" s="6"/>
      <c r="D14" s="8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186">
        <v>95</v>
      </c>
      <c r="T14" s="187">
        <v>43</v>
      </c>
      <c r="U14" s="188">
        <v>118</v>
      </c>
      <c r="V14" s="189">
        <v>75</v>
      </c>
    </row>
    <row r="15" spans="1:29" ht="20.149999999999999" customHeight="1" thickBot="1" x14ac:dyDescent="0.4">
      <c r="A15" s="3" t="s">
        <v>5</v>
      </c>
      <c r="B15" s="3"/>
      <c r="C15" s="21"/>
      <c r="D15" s="5" t="s">
        <v>4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7" t="str">
        <f>R1</f>
        <v>Q.2.2 - Bivariate Analysis (Seasons : BikeHired)</v>
      </c>
      <c r="S15" s="182">
        <v>96</v>
      </c>
      <c r="T15" s="183">
        <v>54</v>
      </c>
      <c r="U15" s="184">
        <v>106</v>
      </c>
      <c r="V15" s="185">
        <v>75</v>
      </c>
    </row>
    <row r="16" spans="1:29" ht="20.149999999999999" customHeight="1" x14ac:dyDescent="0.35">
      <c r="A16" s="8"/>
      <c r="B16" s="9"/>
      <c r="C16" s="10"/>
      <c r="D16" s="11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2"/>
      <c r="S16" s="186">
        <v>74</v>
      </c>
      <c r="T16" s="187">
        <v>65</v>
      </c>
      <c r="U16" s="188">
        <v>89</v>
      </c>
      <c r="V16" s="189">
        <v>72</v>
      </c>
    </row>
    <row r="17" spans="3:22" ht="20.149999999999999" customHeight="1" x14ac:dyDescent="0.35">
      <c r="F17" s="22"/>
      <c r="G17" s="22"/>
      <c r="I17" s="6"/>
      <c r="K17" s="6"/>
      <c r="L17" s="6"/>
      <c r="M17" s="6"/>
      <c r="N17" s="6"/>
      <c r="O17" s="6"/>
      <c r="P17" s="6"/>
      <c r="Q17" s="6"/>
      <c r="R17" s="15"/>
      <c r="S17" s="182">
        <v>95</v>
      </c>
      <c r="T17" s="183">
        <v>62</v>
      </c>
      <c r="U17" s="184">
        <v>91</v>
      </c>
      <c r="V17" s="185">
        <v>55</v>
      </c>
    </row>
    <row r="18" spans="3:22" ht="20.149999999999999" customHeight="1" x14ac:dyDescent="0.35">
      <c r="I18" s="6"/>
      <c r="K18" s="6"/>
      <c r="L18" s="6"/>
      <c r="M18" s="6"/>
      <c r="N18" s="6"/>
      <c r="O18" s="6"/>
      <c r="P18" s="6"/>
      <c r="Q18" s="6"/>
      <c r="R18" s="15"/>
      <c r="S18" s="186">
        <v>91</v>
      </c>
      <c r="T18" s="187">
        <v>49</v>
      </c>
      <c r="U18" s="188">
        <v>87</v>
      </c>
      <c r="V18" s="189">
        <v>48</v>
      </c>
    </row>
    <row r="19" spans="3:22" ht="20.149999999999999" customHeight="1" x14ac:dyDescent="0.35">
      <c r="F19" s="26"/>
      <c r="G19" s="26"/>
      <c r="I19" s="6"/>
      <c r="K19" s="6"/>
      <c r="L19" s="6"/>
      <c r="M19" s="6"/>
      <c r="N19" s="6"/>
      <c r="O19" s="6"/>
      <c r="P19" s="6"/>
      <c r="Q19" s="6"/>
      <c r="R19" s="15"/>
      <c r="S19" s="182">
        <v>85</v>
      </c>
      <c r="T19" s="183">
        <v>42</v>
      </c>
      <c r="U19" s="184">
        <v>76</v>
      </c>
      <c r="V19" s="185">
        <v>68</v>
      </c>
    </row>
    <row r="20" spans="3:22" ht="20.149999999999999" customHeight="1" x14ac:dyDescent="0.35">
      <c r="F20" s="26"/>
      <c r="G20" s="26"/>
      <c r="I20" s="6"/>
      <c r="K20" s="6"/>
      <c r="L20" s="6"/>
      <c r="M20" s="6"/>
      <c r="N20" s="6"/>
      <c r="O20" s="6"/>
      <c r="P20" s="6"/>
      <c r="Q20" s="6"/>
      <c r="R20" s="15"/>
      <c r="S20" s="186">
        <v>91</v>
      </c>
      <c r="T20" s="187">
        <v>54</v>
      </c>
      <c r="U20" s="188">
        <v>68</v>
      </c>
      <c r="V20" s="189">
        <v>75</v>
      </c>
    </row>
    <row r="21" spans="3:22" ht="20.149999999999999" customHeight="1" x14ac:dyDescent="0.35">
      <c r="F21"/>
      <c r="G21" s="26"/>
      <c r="I21" s="6"/>
      <c r="K21" s="6"/>
      <c r="L21" s="6"/>
      <c r="M21" s="6"/>
      <c r="N21" s="6"/>
      <c r="O21" s="6"/>
      <c r="P21" s="6"/>
      <c r="Q21" s="6"/>
      <c r="R21" s="15"/>
      <c r="S21" s="181">
        <v>53</v>
      </c>
      <c r="T21" s="190">
        <v>73</v>
      </c>
      <c r="U21" s="183">
        <v>42</v>
      </c>
      <c r="V21" s="191">
        <v>66</v>
      </c>
    </row>
    <row r="22" spans="3:22" ht="20.149999999999999" customHeight="1" x14ac:dyDescent="0.35">
      <c r="F22"/>
      <c r="G22" s="26"/>
      <c r="I22" s="6"/>
      <c r="K22" s="6"/>
      <c r="L22" s="6"/>
      <c r="M22" s="6"/>
      <c r="N22" s="6"/>
      <c r="O22" s="6"/>
      <c r="P22" s="6"/>
      <c r="Q22" s="6"/>
      <c r="R22" s="15"/>
      <c r="S22" s="186">
        <v>87</v>
      </c>
      <c r="T22" s="187">
        <v>37</v>
      </c>
      <c r="U22" s="188">
        <v>72</v>
      </c>
      <c r="V22" s="189">
        <v>62</v>
      </c>
    </row>
    <row r="23" spans="3:22" ht="20.149999999999999" customHeight="1" x14ac:dyDescent="0.35">
      <c r="C23" s="262" t="s">
        <v>98</v>
      </c>
      <c r="D23" s="139" t="s">
        <v>125</v>
      </c>
      <c r="E23" s="264" t="s">
        <v>114</v>
      </c>
      <c r="F23" s="264" t="s">
        <v>115</v>
      </c>
      <c r="G23" s="264" t="s">
        <v>116</v>
      </c>
      <c r="I23" s="6"/>
      <c r="K23" s="6"/>
      <c r="L23" s="6"/>
      <c r="M23" s="6"/>
      <c r="N23" s="6"/>
      <c r="O23" s="6"/>
      <c r="P23" s="6"/>
      <c r="Q23" s="6"/>
      <c r="R23" s="15"/>
      <c r="S23" s="182">
        <v>96</v>
      </c>
      <c r="T23" s="183">
        <v>44</v>
      </c>
      <c r="U23" s="184">
        <v>76</v>
      </c>
      <c r="V23" s="185">
        <v>44</v>
      </c>
    </row>
    <row r="24" spans="3:22" ht="20.149999999999999" customHeight="1" x14ac:dyDescent="0.35">
      <c r="C24" s="263" t="s">
        <v>52</v>
      </c>
      <c r="D24" s="139">
        <v>7164</v>
      </c>
      <c r="E24" s="209">
        <f>_xlfn.QUARTILE.INC(S2:S92,1)</f>
        <v>64</v>
      </c>
      <c r="F24" s="209">
        <f>_xlfn.QUARTILE.INC(S2:S92,3)</f>
        <v>94</v>
      </c>
      <c r="G24" s="209">
        <f>$F$24-$E$24</f>
        <v>30</v>
      </c>
      <c r="I24" s="6"/>
      <c r="K24" s="6"/>
      <c r="L24" s="6"/>
      <c r="M24" s="6"/>
      <c r="N24" s="6"/>
      <c r="O24" s="6"/>
      <c r="P24" s="6"/>
      <c r="Q24" s="6"/>
      <c r="R24" s="15"/>
      <c r="S24" s="186">
        <v>48</v>
      </c>
      <c r="T24" s="188">
        <v>50</v>
      </c>
      <c r="U24" s="188">
        <v>92</v>
      </c>
      <c r="V24" s="189">
        <v>20</v>
      </c>
    </row>
    <row r="25" spans="3:22" ht="20.149999999999999" customHeight="1" x14ac:dyDescent="0.35">
      <c r="C25" s="263" t="s">
        <v>54</v>
      </c>
      <c r="D25" s="139">
        <v>5889</v>
      </c>
      <c r="E25" s="209">
        <f>_xlfn.QUARTILE.INC(T2:T92,1)</f>
        <v>43</v>
      </c>
      <c r="F25" s="209">
        <f>_xlfn.QUARTILE.INC(T2:T91,3)</f>
        <v>86.75</v>
      </c>
      <c r="G25" s="209">
        <f>$F$25-$E$25</f>
        <v>43.75</v>
      </c>
      <c r="I25" s="6"/>
      <c r="K25" s="6"/>
      <c r="L25" s="6"/>
      <c r="M25" s="6"/>
      <c r="N25" s="6"/>
      <c r="O25" s="6"/>
      <c r="P25" s="6"/>
      <c r="Q25" s="6"/>
      <c r="R25" s="15"/>
      <c r="S25" s="182">
        <v>109</v>
      </c>
      <c r="T25" s="184">
        <v>33</v>
      </c>
      <c r="U25" s="184">
        <v>93</v>
      </c>
      <c r="V25" s="185">
        <v>15</v>
      </c>
    </row>
    <row r="26" spans="3:22" ht="20.149999999999999" customHeight="1" x14ac:dyDescent="0.35">
      <c r="C26" s="263" t="s">
        <v>39</v>
      </c>
      <c r="D26" s="139">
        <v>8251</v>
      </c>
      <c r="E26" s="209">
        <f>_xlfn.QUARTILE.INC(U2:U92,1)</f>
        <v>86</v>
      </c>
      <c r="F26" s="209">
        <f>_xlfn.QUARTILE.INC(U2:U90,3)</f>
        <v>100</v>
      </c>
      <c r="G26" s="209">
        <f>$F$26-$E$26</f>
        <v>14</v>
      </c>
      <c r="I26" s="6"/>
      <c r="K26" s="6"/>
      <c r="L26" s="6"/>
      <c r="M26" s="6"/>
      <c r="N26" s="6"/>
      <c r="O26" s="6"/>
      <c r="P26" s="6"/>
      <c r="Q26" s="6"/>
      <c r="R26" s="15"/>
      <c r="S26" s="186">
        <v>100</v>
      </c>
      <c r="T26" s="188">
        <v>40</v>
      </c>
      <c r="U26" s="188">
        <v>88</v>
      </c>
      <c r="V26" s="189">
        <v>27</v>
      </c>
    </row>
    <row r="27" spans="3:22" ht="20.149999999999999" customHeight="1" x14ac:dyDescent="0.35">
      <c r="C27" s="263" t="s">
        <v>53</v>
      </c>
      <c r="D27" s="139">
        <v>3554</v>
      </c>
      <c r="E27" s="209">
        <f>_xlfn.QUARTILE.INC(V2:V92,1)</f>
        <v>26</v>
      </c>
      <c r="F27" s="209">
        <f>_xlfn.QUARTILE.INC(V2:V92,3)</f>
        <v>48.5</v>
      </c>
      <c r="G27" s="209">
        <f>$F$27-$E$27</f>
        <v>22.5</v>
      </c>
      <c r="I27" s="6"/>
      <c r="K27" s="6"/>
      <c r="L27" s="6"/>
      <c r="M27" s="6"/>
      <c r="N27" s="6"/>
      <c r="O27" s="6"/>
      <c r="P27" s="6"/>
      <c r="Q27" s="6"/>
      <c r="R27" s="15"/>
      <c r="S27" s="182">
        <v>93</v>
      </c>
      <c r="T27" s="184">
        <v>48</v>
      </c>
      <c r="U27" s="184">
        <v>77</v>
      </c>
      <c r="V27" s="185">
        <v>23</v>
      </c>
    </row>
    <row r="28" spans="3:22" ht="20.149999999999999" customHeight="1" x14ac:dyDescent="0.35">
      <c r="C28" s="263" t="s">
        <v>99</v>
      </c>
      <c r="D28" s="139">
        <v>24858</v>
      </c>
      <c r="E28" s="209"/>
      <c r="F28" s="209"/>
      <c r="G28" s="209"/>
      <c r="I28" s="6"/>
      <c r="K28" s="6"/>
      <c r="L28" s="6"/>
      <c r="M28" s="6"/>
      <c r="N28" s="6"/>
      <c r="O28" s="6"/>
      <c r="P28" s="6"/>
      <c r="Q28" s="6"/>
      <c r="R28" s="15"/>
      <c r="S28" s="186">
        <v>83</v>
      </c>
      <c r="T28" s="188">
        <v>30</v>
      </c>
      <c r="U28" s="188">
        <v>89</v>
      </c>
      <c r="V28" s="189">
        <v>46</v>
      </c>
    </row>
    <row r="29" spans="3:22" ht="20.149999999999999" customHeight="1" x14ac:dyDescent="0.35">
      <c r="F29"/>
      <c r="G29" s="27"/>
      <c r="I29" s="6"/>
      <c r="K29" s="6"/>
      <c r="L29" s="6"/>
      <c r="M29" s="6"/>
      <c r="N29" s="6"/>
      <c r="O29" s="6"/>
      <c r="P29" s="6"/>
      <c r="Q29" s="6"/>
      <c r="R29" s="15"/>
      <c r="S29" s="182">
        <v>79</v>
      </c>
      <c r="T29" s="184">
        <v>34</v>
      </c>
      <c r="U29" s="184">
        <v>86</v>
      </c>
      <c r="V29" s="185">
        <v>48</v>
      </c>
    </row>
    <row r="30" spans="3:22" ht="20.149999999999999" customHeight="1" x14ac:dyDescent="0.35">
      <c r="F30"/>
      <c r="G30" s="27"/>
      <c r="I30" s="6"/>
      <c r="K30" s="6"/>
      <c r="L30" s="6"/>
      <c r="M30" s="6"/>
      <c r="N30" s="6"/>
      <c r="O30" s="6"/>
      <c r="P30" s="6"/>
      <c r="Q30" s="6"/>
      <c r="R30" s="15"/>
      <c r="S30" s="186">
        <v>97</v>
      </c>
      <c r="T30" s="188">
        <v>44</v>
      </c>
      <c r="U30" s="188">
        <v>86</v>
      </c>
      <c r="V30" s="189">
        <v>60</v>
      </c>
    </row>
    <row r="31" spans="3:22" ht="20.149999999999999" customHeight="1" x14ac:dyDescent="0.35">
      <c r="F31"/>
      <c r="G31" s="27"/>
      <c r="I31" s="6"/>
      <c r="K31" s="6"/>
      <c r="L31" s="6"/>
      <c r="M31" s="6"/>
      <c r="N31" s="6"/>
      <c r="O31" s="6"/>
      <c r="P31" s="6"/>
      <c r="Q31" s="6"/>
      <c r="R31" s="15"/>
      <c r="S31" s="182">
        <v>104</v>
      </c>
      <c r="T31" s="184">
        <v>45</v>
      </c>
      <c r="U31" s="184">
        <v>97</v>
      </c>
      <c r="V31" s="185">
        <v>49</v>
      </c>
    </row>
    <row r="32" spans="3:22" ht="20.149999999999999" customHeight="1" x14ac:dyDescent="0.35">
      <c r="F32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15"/>
      <c r="S32" s="186">
        <v>49</v>
      </c>
      <c r="T32" s="188">
        <v>65</v>
      </c>
      <c r="U32" s="188">
        <v>71</v>
      </c>
      <c r="V32" s="189">
        <v>20</v>
      </c>
    </row>
    <row r="33" spans="18:22" ht="20.149999999999999" customHeight="1" x14ac:dyDescent="0.35">
      <c r="R33" s="15"/>
      <c r="S33" s="182">
        <v>58</v>
      </c>
      <c r="T33" s="184">
        <v>63</v>
      </c>
      <c r="U33" s="184">
        <v>92</v>
      </c>
      <c r="V33" s="185">
        <v>16</v>
      </c>
    </row>
    <row r="34" spans="18:22" ht="20.149999999999999" customHeight="1" x14ac:dyDescent="0.35">
      <c r="R34" s="15"/>
      <c r="S34" s="186">
        <v>72</v>
      </c>
      <c r="T34" s="188">
        <v>36</v>
      </c>
      <c r="U34" s="188">
        <v>97</v>
      </c>
      <c r="V34" s="189">
        <v>27</v>
      </c>
    </row>
    <row r="35" spans="18:22" ht="20.149999999999999" customHeight="1" x14ac:dyDescent="0.35">
      <c r="R35" s="15"/>
      <c r="S35" s="182">
        <v>89</v>
      </c>
      <c r="T35" s="184">
        <v>56</v>
      </c>
      <c r="U35" s="184">
        <v>85</v>
      </c>
      <c r="V35" s="185">
        <v>31</v>
      </c>
    </row>
    <row r="36" spans="18:22" ht="20.149999999999999" customHeight="1" x14ac:dyDescent="0.35">
      <c r="R36" s="15"/>
      <c r="S36" s="186">
        <v>96</v>
      </c>
      <c r="T36" s="188">
        <v>62</v>
      </c>
      <c r="U36" s="188">
        <v>76</v>
      </c>
      <c r="V36" s="189">
        <v>32</v>
      </c>
    </row>
    <row r="37" spans="18:22" ht="20.149999999999999" customHeight="1" x14ac:dyDescent="0.35">
      <c r="R37" s="15"/>
      <c r="S37" s="182">
        <v>96</v>
      </c>
      <c r="T37" s="184">
        <v>29</v>
      </c>
      <c r="U37" s="184">
        <v>87</v>
      </c>
      <c r="V37" s="185">
        <v>32</v>
      </c>
    </row>
    <row r="38" spans="18:22" ht="20.149999999999999" customHeight="1" x14ac:dyDescent="0.35">
      <c r="R38" s="15"/>
      <c r="S38" s="186">
        <v>100</v>
      </c>
      <c r="T38" s="188">
        <v>50</v>
      </c>
      <c r="U38" s="188">
        <v>92</v>
      </c>
      <c r="V38" s="189">
        <v>30</v>
      </c>
    </row>
    <row r="39" spans="18:22" ht="20.149999999999999" customHeight="1" x14ac:dyDescent="0.35">
      <c r="R39" s="15"/>
      <c r="S39" s="182">
        <v>108</v>
      </c>
      <c r="T39" s="184">
        <v>58</v>
      </c>
      <c r="U39" s="184">
        <v>96</v>
      </c>
      <c r="V39" s="185">
        <v>19</v>
      </c>
    </row>
    <row r="40" spans="18:22" ht="20.149999999999999" customHeight="1" x14ac:dyDescent="0.35">
      <c r="R40" s="15"/>
      <c r="S40" s="186">
        <v>110</v>
      </c>
      <c r="T40" s="188">
        <v>67</v>
      </c>
      <c r="U40" s="188">
        <v>96</v>
      </c>
      <c r="V40" s="189">
        <v>16</v>
      </c>
    </row>
    <row r="41" spans="18:22" ht="20.149999999999999" customHeight="1" x14ac:dyDescent="0.35">
      <c r="R41" s="15"/>
      <c r="S41" s="182">
        <v>102</v>
      </c>
      <c r="T41" s="184">
        <v>41</v>
      </c>
      <c r="U41" s="184">
        <v>98</v>
      </c>
      <c r="V41" s="185">
        <v>27</v>
      </c>
    </row>
    <row r="42" spans="18:22" ht="20.149999999999999" customHeight="1" x14ac:dyDescent="0.35">
      <c r="R42" s="15"/>
      <c r="S42" s="186">
        <v>91</v>
      </c>
      <c r="T42" s="188">
        <v>43</v>
      </c>
      <c r="U42" s="188">
        <v>83</v>
      </c>
      <c r="V42" s="189">
        <v>25</v>
      </c>
    </row>
    <row r="43" spans="18:22" ht="20.149999999999999" customHeight="1" x14ac:dyDescent="0.35">
      <c r="R43" s="15"/>
      <c r="S43" s="182">
        <v>48</v>
      </c>
      <c r="T43" s="184">
        <v>66</v>
      </c>
      <c r="U43" s="184">
        <v>77</v>
      </c>
      <c r="V43" s="185">
        <v>24</v>
      </c>
    </row>
    <row r="44" spans="18:22" ht="20.149999999999999" customHeight="1" x14ac:dyDescent="0.35">
      <c r="R44" s="15"/>
      <c r="S44" s="186">
        <v>58</v>
      </c>
      <c r="T44" s="188">
        <v>63</v>
      </c>
      <c r="U44" s="188">
        <v>87</v>
      </c>
      <c r="V44" s="189">
        <v>28</v>
      </c>
    </row>
    <row r="45" spans="18:22" ht="20.149999999999999" customHeight="1" x14ac:dyDescent="0.35">
      <c r="R45" s="15"/>
      <c r="S45" s="182">
        <v>73</v>
      </c>
      <c r="T45" s="184">
        <v>15</v>
      </c>
      <c r="U45" s="184">
        <v>94</v>
      </c>
      <c r="V45" s="185">
        <v>28</v>
      </c>
    </row>
    <row r="46" spans="18:22" ht="20.149999999999999" customHeight="1" x14ac:dyDescent="0.35">
      <c r="R46" s="15"/>
      <c r="S46" s="186">
        <v>104</v>
      </c>
      <c r="T46" s="188">
        <v>75</v>
      </c>
      <c r="U46" s="188">
        <v>94</v>
      </c>
      <c r="V46" s="189">
        <v>25</v>
      </c>
    </row>
    <row r="47" spans="18:22" ht="20.149999999999999" customHeight="1" x14ac:dyDescent="0.35">
      <c r="R47" s="15"/>
      <c r="S47" s="182">
        <v>101</v>
      </c>
      <c r="T47" s="184">
        <v>68</v>
      </c>
      <c r="U47" s="184">
        <v>76</v>
      </c>
      <c r="V47" s="185">
        <v>24</v>
      </c>
    </row>
    <row r="48" spans="18:22" ht="20.149999999999999" customHeight="1" x14ac:dyDescent="0.35">
      <c r="R48" s="15"/>
      <c r="S48" s="186">
        <v>91</v>
      </c>
      <c r="T48" s="188">
        <v>64</v>
      </c>
      <c r="U48" s="188">
        <v>83</v>
      </c>
      <c r="V48" s="189">
        <v>20</v>
      </c>
    </row>
    <row r="49" spans="1:22" ht="20.149999999999999" customHeight="1" thickBot="1" x14ac:dyDescent="0.4">
      <c r="A49" s="8"/>
      <c r="B49" s="17"/>
      <c r="C49" s="18"/>
      <c r="D49" s="19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20"/>
      <c r="S49" s="182">
        <v>95</v>
      </c>
      <c r="T49" s="184">
        <v>79</v>
      </c>
      <c r="U49" s="184">
        <v>104</v>
      </c>
      <c r="V49" s="185">
        <v>13</v>
      </c>
    </row>
    <row r="50" spans="1:22" ht="20.149999999999999" customHeight="1" x14ac:dyDescent="0.35">
      <c r="A50" s="8"/>
      <c r="B50" s="8"/>
      <c r="C50" s="6"/>
      <c r="D50" s="8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186">
        <v>48</v>
      </c>
      <c r="T50" s="188">
        <v>84</v>
      </c>
      <c r="U50" s="188">
        <v>77</v>
      </c>
      <c r="V50" s="189">
        <v>33</v>
      </c>
    </row>
    <row r="51" spans="1:22" ht="20.149999999999999" customHeight="1" x14ac:dyDescent="0.35">
      <c r="A51" s="3" t="s">
        <v>6</v>
      </c>
      <c r="B51" s="3"/>
      <c r="C51" s="6"/>
      <c r="D51" s="5" t="s">
        <v>7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7"/>
      <c r="S51" s="182">
        <v>83</v>
      </c>
      <c r="T51" s="184">
        <v>34</v>
      </c>
      <c r="U51" s="184">
        <v>96</v>
      </c>
      <c r="V51" s="185">
        <v>39</v>
      </c>
    </row>
    <row r="52" spans="1:22" ht="20.149999999999999" customHeight="1" x14ac:dyDescent="0.35">
      <c r="C52" s="6"/>
      <c r="D52" s="8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186">
        <v>87</v>
      </c>
      <c r="T52" s="188">
        <v>80</v>
      </c>
      <c r="U52" s="188">
        <v>118</v>
      </c>
      <c r="V52" s="189">
        <v>31</v>
      </c>
    </row>
    <row r="53" spans="1:22" ht="20.149999999999999" customHeight="1" x14ac:dyDescent="0.35">
      <c r="C53" s="6"/>
      <c r="D53" s="8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182">
        <v>86</v>
      </c>
      <c r="T53" s="184">
        <v>84</v>
      </c>
      <c r="U53" s="184">
        <v>103</v>
      </c>
      <c r="V53" s="185">
        <v>20</v>
      </c>
    </row>
    <row r="54" spans="1:22" ht="20.149999999999999" customHeight="1" x14ac:dyDescent="0.35">
      <c r="C54" s="6"/>
      <c r="D54" s="8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186">
        <v>87</v>
      </c>
      <c r="T54" s="188">
        <v>81</v>
      </c>
      <c r="U54" s="188">
        <v>71</v>
      </c>
      <c r="V54" s="189">
        <v>20</v>
      </c>
    </row>
    <row r="55" spans="1:22" ht="20.149999999999999" customHeight="1" x14ac:dyDescent="0.35">
      <c r="C55" s="6"/>
      <c r="D55" s="8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182">
        <v>84</v>
      </c>
      <c r="T55" s="184">
        <v>88</v>
      </c>
      <c r="U55" s="184">
        <v>93</v>
      </c>
      <c r="V55" s="185">
        <v>29</v>
      </c>
    </row>
    <row r="56" spans="1:22" ht="20.149999999999999" customHeight="1" x14ac:dyDescent="0.35">
      <c r="C56" s="6"/>
      <c r="D56" s="8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186">
        <v>94</v>
      </c>
      <c r="T56" s="188">
        <v>78</v>
      </c>
      <c r="U56" s="188">
        <v>23</v>
      </c>
      <c r="V56" s="189">
        <v>40</v>
      </c>
    </row>
    <row r="57" spans="1:22" ht="20.149999999999999" customHeight="1" x14ac:dyDescent="0.35">
      <c r="C57" s="6"/>
      <c r="D57" s="8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182">
        <v>78</v>
      </c>
      <c r="T57" s="184">
        <v>81</v>
      </c>
      <c r="U57" s="184">
        <v>86</v>
      </c>
      <c r="V57" s="185">
        <v>10</v>
      </c>
    </row>
    <row r="58" spans="1:22" ht="20.149999999999999" customHeight="1" x14ac:dyDescent="0.35">
      <c r="C58" s="6"/>
      <c r="D58" s="8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186">
        <v>53</v>
      </c>
      <c r="T58" s="188">
        <v>92</v>
      </c>
      <c r="U58" s="188">
        <v>93</v>
      </c>
      <c r="V58" s="189">
        <v>8</v>
      </c>
    </row>
    <row r="59" spans="1:22" ht="20.149999999999999" customHeight="1" x14ac:dyDescent="0.35">
      <c r="C59" s="6"/>
      <c r="D59" s="8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182">
        <v>75</v>
      </c>
      <c r="T59" s="184">
        <v>106</v>
      </c>
      <c r="U59" s="184">
        <v>105</v>
      </c>
      <c r="V59" s="185">
        <v>24</v>
      </c>
    </row>
    <row r="60" spans="1:22" ht="20.149999999999999" customHeight="1" x14ac:dyDescent="0.35">
      <c r="C60" s="6"/>
      <c r="D60" s="8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186">
        <v>12</v>
      </c>
      <c r="T60" s="188">
        <v>67</v>
      </c>
      <c r="U60" s="188">
        <v>100</v>
      </c>
      <c r="V60" s="189">
        <v>22</v>
      </c>
    </row>
    <row r="61" spans="1:22" ht="20.149999999999999" customHeight="1" x14ac:dyDescent="0.35">
      <c r="C61" s="6"/>
      <c r="D61" s="8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182">
        <v>67</v>
      </c>
      <c r="T61" s="184">
        <v>88</v>
      </c>
      <c r="U61" s="184">
        <v>106</v>
      </c>
      <c r="V61" s="185">
        <v>22</v>
      </c>
    </row>
    <row r="62" spans="1:22" ht="20.149999999999999" customHeight="1" x14ac:dyDescent="0.35">
      <c r="C62" s="6"/>
      <c r="D62" s="8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186">
        <v>73</v>
      </c>
      <c r="T62" s="188">
        <v>89</v>
      </c>
      <c r="U62" s="188">
        <v>106</v>
      </c>
      <c r="V62" s="189">
        <v>30</v>
      </c>
    </row>
    <row r="63" spans="1:22" ht="20.149999999999999" customHeight="1" x14ac:dyDescent="0.35">
      <c r="C63" s="6"/>
      <c r="D63" s="8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182">
        <v>81</v>
      </c>
      <c r="T63" s="184">
        <v>53</v>
      </c>
      <c r="U63" s="184">
        <v>98</v>
      </c>
      <c r="V63" s="185">
        <v>27</v>
      </c>
    </row>
    <row r="64" spans="1:22" ht="20.149999999999999" customHeight="1" x14ac:dyDescent="0.35">
      <c r="C64" s="6"/>
      <c r="D64" s="8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186">
        <v>83</v>
      </c>
      <c r="T64" s="188">
        <v>88</v>
      </c>
      <c r="U64" s="188">
        <v>91</v>
      </c>
      <c r="V64" s="189">
        <v>30</v>
      </c>
    </row>
    <row r="65" spans="18:22" ht="20.149999999999999" customHeight="1" x14ac:dyDescent="0.35">
      <c r="R65" s="6"/>
      <c r="S65" s="182">
        <v>79</v>
      </c>
      <c r="T65" s="184">
        <v>92</v>
      </c>
      <c r="U65" s="184">
        <v>96</v>
      </c>
      <c r="V65" s="185">
        <v>31</v>
      </c>
    </row>
    <row r="66" spans="18:22" ht="20.149999999999999" customHeight="1" x14ac:dyDescent="0.35">
      <c r="R66" s="6"/>
      <c r="S66" s="186">
        <v>81</v>
      </c>
      <c r="T66" s="188">
        <v>94</v>
      </c>
      <c r="U66" s="188">
        <v>89</v>
      </c>
      <c r="V66" s="189">
        <v>34</v>
      </c>
    </row>
    <row r="67" spans="18:22" ht="20.149999999999999" customHeight="1" x14ac:dyDescent="0.35">
      <c r="R67" s="6"/>
      <c r="S67" s="182">
        <v>78</v>
      </c>
      <c r="T67" s="184">
        <v>87</v>
      </c>
      <c r="U67" s="184">
        <v>78</v>
      </c>
      <c r="V67" s="185">
        <v>20</v>
      </c>
    </row>
    <row r="68" spans="18:22" ht="20.149999999999999" customHeight="1" x14ac:dyDescent="0.35">
      <c r="R68" s="6"/>
      <c r="S68" s="186">
        <v>73</v>
      </c>
      <c r="T68" s="188">
        <v>87</v>
      </c>
      <c r="U68" s="188">
        <v>91</v>
      </c>
      <c r="V68" s="189">
        <v>32</v>
      </c>
    </row>
    <row r="69" spans="18:22" ht="20.149999999999999" customHeight="1" x14ac:dyDescent="0.35">
      <c r="R69" s="6"/>
      <c r="S69" s="182">
        <v>80</v>
      </c>
      <c r="T69" s="184">
        <v>96</v>
      </c>
      <c r="U69" s="184">
        <v>100</v>
      </c>
      <c r="V69" s="185">
        <v>34</v>
      </c>
    </row>
    <row r="70" spans="18:22" ht="20.149999999999999" customHeight="1" x14ac:dyDescent="0.35">
      <c r="R70" s="6"/>
      <c r="S70" s="186">
        <v>85</v>
      </c>
      <c r="T70" s="188">
        <v>84</v>
      </c>
      <c r="U70" s="188">
        <v>89</v>
      </c>
      <c r="V70" s="189">
        <v>30</v>
      </c>
    </row>
    <row r="71" spans="18:22" ht="20.149999999999999" customHeight="1" x14ac:dyDescent="0.35">
      <c r="R71" s="6"/>
      <c r="S71" s="182">
        <v>82</v>
      </c>
      <c r="T71" s="184">
        <v>97</v>
      </c>
      <c r="U71" s="184">
        <v>100</v>
      </c>
      <c r="V71" s="185">
        <v>32</v>
      </c>
    </row>
    <row r="72" spans="18:22" ht="20.149999999999999" customHeight="1" x14ac:dyDescent="0.35">
      <c r="R72" s="6"/>
      <c r="S72" s="186">
        <v>59</v>
      </c>
      <c r="T72" s="188">
        <v>82</v>
      </c>
      <c r="U72" s="188">
        <v>98</v>
      </c>
      <c r="V72" s="189">
        <v>31</v>
      </c>
    </row>
    <row r="73" spans="18:22" ht="20.149999999999999" customHeight="1" x14ac:dyDescent="0.35">
      <c r="R73" s="6"/>
      <c r="S73" s="182">
        <v>68</v>
      </c>
      <c r="T73" s="184">
        <v>68</v>
      </c>
      <c r="U73" s="184">
        <v>103</v>
      </c>
      <c r="V73" s="185">
        <v>35</v>
      </c>
    </row>
    <row r="74" spans="18:22" ht="20.149999999999999" customHeight="1" x14ac:dyDescent="0.35">
      <c r="R74" s="6"/>
      <c r="S74" s="186">
        <v>82</v>
      </c>
      <c r="T74" s="188">
        <v>91</v>
      </c>
      <c r="U74" s="188">
        <v>75</v>
      </c>
      <c r="V74" s="189">
        <v>30</v>
      </c>
    </row>
    <row r="75" spans="18:22" ht="20.149999999999999" customHeight="1" x14ac:dyDescent="0.35">
      <c r="R75" s="6"/>
      <c r="S75" s="182">
        <v>74</v>
      </c>
      <c r="T75" s="184">
        <v>79</v>
      </c>
      <c r="U75" s="184">
        <v>97</v>
      </c>
      <c r="V75" s="185">
        <v>32</v>
      </c>
    </row>
    <row r="76" spans="18:22" ht="20.149999999999999" customHeight="1" x14ac:dyDescent="0.35">
      <c r="R76" s="6"/>
      <c r="S76" s="186">
        <v>90</v>
      </c>
      <c r="T76" s="188">
        <v>83</v>
      </c>
      <c r="U76" s="188">
        <v>102</v>
      </c>
      <c r="V76" s="189">
        <v>38</v>
      </c>
    </row>
    <row r="77" spans="18:22" ht="20.149999999999999" customHeight="1" x14ac:dyDescent="0.35">
      <c r="R77" s="6"/>
      <c r="S77" s="182">
        <v>84</v>
      </c>
      <c r="T77" s="184">
        <v>77</v>
      </c>
      <c r="U77" s="184">
        <v>95</v>
      </c>
      <c r="V77" s="185">
        <v>37</v>
      </c>
    </row>
    <row r="78" spans="18:22" ht="20.149999999999999" customHeight="1" x14ac:dyDescent="0.35">
      <c r="R78" s="6"/>
      <c r="S78" s="186">
        <v>36</v>
      </c>
      <c r="T78" s="188">
        <v>92</v>
      </c>
      <c r="U78" s="188">
        <v>80</v>
      </c>
      <c r="V78" s="189">
        <v>42</v>
      </c>
    </row>
    <row r="79" spans="18:22" ht="20.149999999999999" customHeight="1" x14ac:dyDescent="0.35">
      <c r="R79" s="6"/>
      <c r="S79" s="182">
        <v>61</v>
      </c>
      <c r="T79" s="184">
        <v>98</v>
      </c>
      <c r="U79" s="184">
        <v>96</v>
      </c>
      <c r="V79" s="185">
        <v>49</v>
      </c>
    </row>
    <row r="80" spans="18:22" ht="20.149999999999999" customHeight="1" x14ac:dyDescent="0.35">
      <c r="R80" s="6"/>
      <c r="S80" s="186">
        <v>68</v>
      </c>
      <c r="T80" s="188">
        <v>116</v>
      </c>
      <c r="U80" s="188">
        <v>90</v>
      </c>
      <c r="V80" s="189">
        <v>59</v>
      </c>
    </row>
    <row r="81" spans="18:23" ht="20.149999999999999" customHeight="1" x14ac:dyDescent="0.35">
      <c r="R81" s="6"/>
      <c r="S81" s="182">
        <v>73</v>
      </c>
      <c r="T81" s="184">
        <v>94</v>
      </c>
      <c r="U81" s="184">
        <v>96</v>
      </c>
      <c r="V81" s="185">
        <v>33</v>
      </c>
    </row>
    <row r="82" spans="18:23" ht="20.149999999999999" customHeight="1" x14ac:dyDescent="0.35">
      <c r="R82" s="6"/>
      <c r="S82" s="186">
        <v>71</v>
      </c>
      <c r="T82" s="188">
        <v>86</v>
      </c>
      <c r="U82" s="188">
        <v>99</v>
      </c>
      <c r="V82" s="189">
        <v>36</v>
      </c>
    </row>
    <row r="83" spans="18:23" ht="20.149999999999999" customHeight="1" x14ac:dyDescent="0.35">
      <c r="R83" s="6"/>
      <c r="S83" s="182">
        <v>55</v>
      </c>
      <c r="T83" s="184">
        <v>90</v>
      </c>
      <c r="U83" s="184">
        <v>104</v>
      </c>
      <c r="V83" s="185">
        <v>22</v>
      </c>
    </row>
    <row r="84" spans="18:23" ht="20.149999999999999" customHeight="1" x14ac:dyDescent="0.35">
      <c r="R84" s="6"/>
      <c r="S84" s="186">
        <v>32</v>
      </c>
      <c r="T84" s="188">
        <v>100</v>
      </c>
      <c r="U84" s="188">
        <v>106</v>
      </c>
      <c r="V84" s="189">
        <v>29</v>
      </c>
      <c r="W84" s="85"/>
    </row>
    <row r="85" spans="18:23" ht="20.149999999999999" customHeight="1" x14ac:dyDescent="0.35">
      <c r="R85" s="6"/>
      <c r="S85" s="182">
        <v>51</v>
      </c>
      <c r="T85" s="184">
        <v>93</v>
      </c>
      <c r="U85" s="184">
        <v>94</v>
      </c>
      <c r="V85" s="185">
        <v>39</v>
      </c>
      <c r="W85" s="85"/>
    </row>
    <row r="86" spans="18:23" ht="20.149999999999999" customHeight="1" x14ac:dyDescent="0.35">
      <c r="R86" s="6"/>
      <c r="S86" s="186">
        <v>30</v>
      </c>
      <c r="T86" s="188">
        <v>93</v>
      </c>
      <c r="U86" s="188">
        <v>93</v>
      </c>
      <c r="V86" s="189">
        <v>36</v>
      </c>
      <c r="W86" s="85"/>
    </row>
    <row r="87" spans="18:23" ht="20.149999999999999" customHeight="1" x14ac:dyDescent="0.35">
      <c r="R87" s="6"/>
      <c r="S87" s="182">
        <v>56</v>
      </c>
      <c r="T87" s="184">
        <v>95</v>
      </c>
      <c r="U87" s="184">
        <v>105</v>
      </c>
      <c r="V87" s="185">
        <v>29</v>
      </c>
      <c r="W87" s="85"/>
    </row>
    <row r="88" spans="18:23" ht="20.149999999999999" customHeight="1" x14ac:dyDescent="0.35">
      <c r="R88" s="6"/>
      <c r="S88" s="186">
        <v>61</v>
      </c>
      <c r="T88" s="188">
        <v>96</v>
      </c>
      <c r="U88" s="188">
        <v>111</v>
      </c>
      <c r="V88" s="189">
        <v>39</v>
      </c>
      <c r="W88" s="85"/>
    </row>
    <row r="89" spans="18:23" ht="20.149999999999999" customHeight="1" x14ac:dyDescent="0.35">
      <c r="R89" s="6"/>
      <c r="S89" s="182">
        <v>61</v>
      </c>
      <c r="T89" s="184">
        <v>82</v>
      </c>
      <c r="U89" s="184">
        <v>107</v>
      </c>
      <c r="V89" s="185">
        <v>48</v>
      </c>
      <c r="W89" s="85"/>
    </row>
    <row r="90" spans="18:23" ht="20.149999999999999" customHeight="1" x14ac:dyDescent="0.35">
      <c r="R90" s="6"/>
      <c r="S90" s="186">
        <v>77</v>
      </c>
      <c r="T90" s="188">
        <v>79</v>
      </c>
      <c r="U90" s="188">
        <v>102</v>
      </c>
      <c r="V90" s="189">
        <v>29</v>
      </c>
      <c r="W90" s="85"/>
    </row>
    <row r="91" spans="18:23" ht="20.149999999999999" customHeight="1" x14ac:dyDescent="0.35">
      <c r="R91" s="6"/>
      <c r="S91" s="182">
        <v>58</v>
      </c>
      <c r="T91" s="184">
        <v>79</v>
      </c>
      <c r="U91" s="184"/>
      <c r="V91" s="185">
        <v>37</v>
      </c>
      <c r="W91" s="85"/>
    </row>
    <row r="92" spans="18:23" ht="20.149999999999999" customHeight="1" x14ac:dyDescent="0.35">
      <c r="R92" s="6"/>
      <c r="S92" s="192">
        <v>73</v>
      </c>
      <c r="T92" s="193"/>
      <c r="U92" s="193"/>
      <c r="V92" s="194">
        <v>43</v>
      </c>
    </row>
    <row r="93" spans="18:23" ht="20.149999999999999" customHeight="1" x14ac:dyDescent="0.35">
      <c r="R93" s="6"/>
      <c r="T93" s="6"/>
    </row>
    <row r="94" spans="18:23" ht="20.149999999999999" customHeight="1" x14ac:dyDescent="0.35">
      <c r="R94" s="6"/>
    </row>
    <row r="95" spans="18:23" ht="20.149999999999999" customHeight="1" x14ac:dyDescent="0.35">
      <c r="R95" s="6"/>
    </row>
    <row r="96" spans="18:23" ht="20.149999999999999" customHeight="1" x14ac:dyDescent="0.35">
      <c r="R96" s="6"/>
    </row>
    <row r="97" spans="18:18" ht="20.149999999999999" customHeight="1" x14ac:dyDescent="0.35">
      <c r="R97" s="6"/>
    </row>
    <row r="98" spans="18:18" ht="20.149999999999999" customHeight="1" x14ac:dyDescent="0.35">
      <c r="R98" s="6"/>
    </row>
    <row r="99" spans="18:18" ht="20.149999999999999" customHeight="1" x14ac:dyDescent="0.35">
      <c r="R99" s="6"/>
    </row>
    <row r="100" spans="18:18" ht="20.149999999999999" customHeight="1" x14ac:dyDescent="0.35">
      <c r="R100" s="6"/>
    </row>
    <row r="101" spans="18:18" ht="20.149999999999999" customHeight="1" x14ac:dyDescent="0.35">
      <c r="R101" s="6"/>
    </row>
    <row r="102" spans="18:18" ht="20.149999999999999" customHeight="1" x14ac:dyDescent="0.35">
      <c r="R102" s="6"/>
    </row>
    <row r="103" spans="18:18" ht="20.149999999999999" customHeight="1" x14ac:dyDescent="0.35">
      <c r="R103" s="6"/>
    </row>
    <row r="104" spans="18:18" ht="20.149999999999999" customHeight="1" x14ac:dyDescent="0.35">
      <c r="R104" s="6"/>
    </row>
    <row r="105" spans="18:18" ht="20.149999999999999" customHeight="1" x14ac:dyDescent="0.35">
      <c r="R105" s="6"/>
    </row>
    <row r="106" spans="18:18" ht="20.149999999999999" customHeight="1" x14ac:dyDescent="0.35">
      <c r="R106" s="6"/>
    </row>
    <row r="107" spans="18:18" ht="20.149999999999999" customHeight="1" x14ac:dyDescent="0.35">
      <c r="R107" s="6"/>
    </row>
    <row r="108" spans="18:18" ht="20.149999999999999" customHeight="1" x14ac:dyDescent="0.35">
      <c r="R108" s="6"/>
    </row>
    <row r="109" spans="18:18" ht="20.149999999999999" customHeight="1" x14ac:dyDescent="0.35">
      <c r="R109" s="6"/>
    </row>
    <row r="110" spans="18:18" ht="20.149999999999999" customHeight="1" x14ac:dyDescent="0.35">
      <c r="R110" s="6"/>
    </row>
    <row r="111" spans="18:18" ht="20.149999999999999" customHeight="1" x14ac:dyDescent="0.35">
      <c r="R111" s="6"/>
    </row>
    <row r="112" spans="18:18" ht="20.149999999999999" customHeight="1" x14ac:dyDescent="0.35">
      <c r="R112" s="6"/>
    </row>
    <row r="113" spans="18:18" ht="20.149999999999999" customHeight="1" x14ac:dyDescent="0.35">
      <c r="R113" s="6"/>
    </row>
    <row r="114" spans="18:18" ht="20.149999999999999" customHeight="1" x14ac:dyDescent="0.35">
      <c r="R114" s="6"/>
    </row>
    <row r="115" spans="18:18" ht="20.149999999999999" customHeight="1" x14ac:dyDescent="0.35">
      <c r="R115" s="6"/>
    </row>
    <row r="116" spans="18:18" ht="20.149999999999999" customHeight="1" x14ac:dyDescent="0.35">
      <c r="R116" s="6"/>
    </row>
    <row r="117" spans="18:18" ht="20.149999999999999" customHeight="1" x14ac:dyDescent="0.35">
      <c r="R117" s="6"/>
    </row>
    <row r="118" spans="18:18" ht="20.149999999999999" customHeight="1" x14ac:dyDescent="0.35">
      <c r="R118" s="6"/>
    </row>
    <row r="119" spans="18:18" ht="20.149999999999999" customHeight="1" x14ac:dyDescent="0.35">
      <c r="R119" s="6"/>
    </row>
    <row r="120" spans="18:18" ht="20.149999999999999" customHeight="1" x14ac:dyDescent="0.35">
      <c r="R120" s="6"/>
    </row>
    <row r="121" spans="18:18" ht="20.149999999999999" customHeight="1" x14ac:dyDescent="0.35">
      <c r="R121" s="6"/>
    </row>
    <row r="122" spans="18:18" ht="20.149999999999999" customHeight="1" x14ac:dyDescent="0.35">
      <c r="R122" s="6"/>
    </row>
    <row r="123" spans="18:18" ht="20.149999999999999" customHeight="1" x14ac:dyDescent="0.35">
      <c r="R123" s="6"/>
    </row>
    <row r="124" spans="18:18" ht="20.149999999999999" customHeight="1" x14ac:dyDescent="0.35">
      <c r="R124" s="6"/>
    </row>
    <row r="125" spans="18:18" ht="20.149999999999999" customHeight="1" x14ac:dyDescent="0.35">
      <c r="R125" s="6"/>
    </row>
    <row r="126" spans="18:18" ht="20.149999999999999" customHeight="1" x14ac:dyDescent="0.35">
      <c r="R126" s="6"/>
    </row>
    <row r="127" spans="18:18" ht="20.149999999999999" customHeight="1" x14ac:dyDescent="0.35">
      <c r="R127" s="6"/>
    </row>
    <row r="128" spans="18:18" ht="20.149999999999999" customHeight="1" x14ac:dyDescent="0.35">
      <c r="R128" s="6"/>
    </row>
    <row r="129" spans="18:18" ht="20.149999999999999" customHeight="1" x14ac:dyDescent="0.35">
      <c r="R129" s="6"/>
    </row>
    <row r="130" spans="18:18" ht="20.149999999999999" customHeight="1" x14ac:dyDescent="0.35">
      <c r="R130" s="6"/>
    </row>
    <row r="131" spans="18:18" ht="20.149999999999999" customHeight="1" x14ac:dyDescent="0.35">
      <c r="R131" s="6"/>
    </row>
    <row r="132" spans="18:18" ht="20.149999999999999" customHeight="1" x14ac:dyDescent="0.35">
      <c r="R132" s="6"/>
    </row>
    <row r="133" spans="18:18" ht="20.149999999999999" customHeight="1" x14ac:dyDescent="0.35">
      <c r="R133" s="6"/>
    </row>
    <row r="134" spans="18:18" ht="20.149999999999999" customHeight="1" x14ac:dyDescent="0.35">
      <c r="R134" s="6"/>
    </row>
    <row r="135" spans="18:18" ht="20.149999999999999" customHeight="1" x14ac:dyDescent="0.35">
      <c r="R135" s="6"/>
    </row>
    <row r="136" spans="18:18" ht="20.149999999999999" customHeight="1" x14ac:dyDescent="0.35">
      <c r="R136" s="6"/>
    </row>
    <row r="137" spans="18:18" ht="20.149999999999999" customHeight="1" x14ac:dyDescent="0.35">
      <c r="R137" s="6"/>
    </row>
    <row r="138" spans="18:18" ht="20.149999999999999" customHeight="1" x14ac:dyDescent="0.35">
      <c r="R138" s="6"/>
    </row>
    <row r="139" spans="18:18" ht="20.149999999999999" customHeight="1" x14ac:dyDescent="0.35">
      <c r="R139" s="6"/>
    </row>
    <row r="140" spans="18:18" ht="20.149999999999999" customHeight="1" x14ac:dyDescent="0.35">
      <c r="R140" s="6"/>
    </row>
    <row r="141" spans="18:18" ht="20.149999999999999" customHeight="1" x14ac:dyDescent="0.35">
      <c r="R141" s="6"/>
    </row>
    <row r="142" spans="18:18" ht="20.149999999999999" customHeight="1" x14ac:dyDescent="0.35">
      <c r="R142" s="6"/>
    </row>
    <row r="143" spans="18:18" ht="20.149999999999999" customHeight="1" x14ac:dyDescent="0.35">
      <c r="R143" s="6"/>
    </row>
    <row r="144" spans="18:18" ht="20.149999999999999" customHeight="1" x14ac:dyDescent="0.35">
      <c r="R144" s="6"/>
    </row>
    <row r="145" spans="18:18" ht="20.149999999999999" customHeight="1" x14ac:dyDescent="0.35">
      <c r="R145" s="6"/>
    </row>
    <row r="146" spans="18:18" ht="20.149999999999999" customHeight="1" x14ac:dyDescent="0.35">
      <c r="R146" s="6"/>
    </row>
    <row r="147" spans="18:18" ht="20.149999999999999" customHeight="1" x14ac:dyDescent="0.35">
      <c r="R147" s="6"/>
    </row>
    <row r="148" spans="18:18" ht="20.149999999999999" customHeight="1" x14ac:dyDescent="0.35">
      <c r="R148" s="6"/>
    </row>
    <row r="149" spans="18:18" ht="20.149999999999999" customHeight="1" x14ac:dyDescent="0.35">
      <c r="R149" s="6"/>
    </row>
    <row r="150" spans="18:18" ht="20.149999999999999" customHeight="1" x14ac:dyDescent="0.35">
      <c r="R150" s="6"/>
    </row>
    <row r="151" spans="18:18" ht="20.149999999999999" customHeight="1" x14ac:dyDescent="0.35">
      <c r="R151" s="6"/>
    </row>
    <row r="152" spans="18:18" ht="20.149999999999999" customHeight="1" x14ac:dyDescent="0.35">
      <c r="R152" s="6"/>
    </row>
    <row r="153" spans="18:18" ht="20.149999999999999" customHeight="1" x14ac:dyDescent="0.35">
      <c r="R153" s="6"/>
    </row>
    <row r="154" spans="18:18" ht="20.149999999999999" customHeight="1" x14ac:dyDescent="0.35">
      <c r="R154" s="6"/>
    </row>
    <row r="155" spans="18:18" ht="20.149999999999999" customHeight="1" x14ac:dyDescent="0.35">
      <c r="R155" s="6"/>
    </row>
    <row r="156" spans="18:18" ht="20.149999999999999" customHeight="1" x14ac:dyDescent="0.35">
      <c r="R156" s="6"/>
    </row>
    <row r="157" spans="18:18" ht="20.149999999999999" customHeight="1" x14ac:dyDescent="0.35">
      <c r="R157" s="6"/>
    </row>
    <row r="158" spans="18:18" ht="20.149999999999999" customHeight="1" x14ac:dyDescent="0.35">
      <c r="R158" s="6"/>
    </row>
    <row r="159" spans="18:18" ht="20.149999999999999" customHeight="1" x14ac:dyDescent="0.35">
      <c r="R159" s="6"/>
    </row>
    <row r="160" spans="18:18" ht="20.149999999999999" customHeight="1" x14ac:dyDescent="0.35">
      <c r="R160" s="6"/>
    </row>
    <row r="161" spans="18:18" ht="20.149999999999999" customHeight="1" x14ac:dyDescent="0.35">
      <c r="R161" s="6"/>
    </row>
    <row r="162" spans="18:18" ht="20.149999999999999" customHeight="1" x14ac:dyDescent="0.35">
      <c r="R162" s="6"/>
    </row>
    <row r="163" spans="18:18" ht="20.149999999999999" customHeight="1" x14ac:dyDescent="0.35">
      <c r="R163" s="6"/>
    </row>
    <row r="164" spans="18:18" ht="20.149999999999999" customHeight="1" x14ac:dyDescent="0.35">
      <c r="R164" s="6"/>
    </row>
    <row r="165" spans="18:18" ht="20.149999999999999" customHeight="1" x14ac:dyDescent="0.35">
      <c r="R165" s="6"/>
    </row>
    <row r="166" spans="18:18" ht="20.149999999999999" customHeight="1" x14ac:dyDescent="0.35">
      <c r="R166" s="6"/>
    </row>
    <row r="167" spans="18:18" ht="20.149999999999999" customHeight="1" x14ac:dyDescent="0.35">
      <c r="R167" s="6"/>
    </row>
    <row r="168" spans="18:18" ht="20.149999999999999" customHeight="1" x14ac:dyDescent="0.35">
      <c r="R168" s="6"/>
    </row>
    <row r="169" spans="18:18" ht="20.149999999999999" customHeight="1" x14ac:dyDescent="0.35">
      <c r="R169" s="6"/>
    </row>
    <row r="170" spans="18:18" ht="20.149999999999999" customHeight="1" x14ac:dyDescent="0.35">
      <c r="R170" s="6"/>
    </row>
    <row r="171" spans="18:18" ht="20.149999999999999" customHeight="1" x14ac:dyDescent="0.35">
      <c r="R171" s="6"/>
    </row>
    <row r="172" spans="18:18" ht="20.149999999999999" customHeight="1" x14ac:dyDescent="0.35">
      <c r="R172" s="6"/>
    </row>
    <row r="173" spans="18:18" ht="20.149999999999999" customHeight="1" x14ac:dyDescent="0.35">
      <c r="R173" s="6"/>
    </row>
    <row r="174" spans="18:18" ht="20.149999999999999" customHeight="1" x14ac:dyDescent="0.35">
      <c r="R174" s="6"/>
    </row>
    <row r="175" spans="18:18" ht="20.149999999999999" customHeight="1" x14ac:dyDescent="0.35">
      <c r="R175" s="6"/>
    </row>
    <row r="176" spans="18:18" ht="20.149999999999999" customHeight="1" x14ac:dyDescent="0.35">
      <c r="R176" s="6"/>
    </row>
    <row r="177" spans="18:18" ht="20.149999999999999" customHeight="1" x14ac:dyDescent="0.35">
      <c r="R177" s="6"/>
    </row>
    <row r="178" spans="18:18" ht="20.149999999999999" customHeight="1" x14ac:dyDescent="0.35">
      <c r="R178" s="6"/>
    </row>
    <row r="179" spans="18:18" ht="20.149999999999999" customHeight="1" x14ac:dyDescent="0.35">
      <c r="R179" s="6"/>
    </row>
    <row r="180" spans="18:18" ht="20.149999999999999" customHeight="1" x14ac:dyDescent="0.35">
      <c r="R180" s="6"/>
    </row>
    <row r="181" spans="18:18" ht="20.149999999999999" customHeight="1" x14ac:dyDescent="0.35">
      <c r="R181" s="6"/>
    </row>
    <row r="182" spans="18:18" ht="20.149999999999999" customHeight="1" x14ac:dyDescent="0.35">
      <c r="R182" s="6"/>
    </row>
    <row r="183" spans="18:18" ht="20.149999999999999" customHeight="1" x14ac:dyDescent="0.35">
      <c r="R183" s="6"/>
    </row>
    <row r="184" spans="18:18" ht="20.149999999999999" customHeight="1" x14ac:dyDescent="0.35">
      <c r="R184" s="6"/>
    </row>
    <row r="185" spans="18:18" ht="20.149999999999999" customHeight="1" x14ac:dyDescent="0.35">
      <c r="R185" s="6"/>
    </row>
    <row r="186" spans="18:18" ht="20.149999999999999" customHeight="1" x14ac:dyDescent="0.35">
      <c r="R186" s="6"/>
    </row>
    <row r="187" spans="18:18" ht="20.149999999999999" customHeight="1" x14ac:dyDescent="0.35">
      <c r="R187" s="6"/>
    </row>
    <row r="188" spans="18:18" ht="20.149999999999999" customHeight="1" x14ac:dyDescent="0.35">
      <c r="R188" s="6"/>
    </row>
    <row r="189" spans="18:18" ht="20.149999999999999" customHeight="1" x14ac:dyDescent="0.35">
      <c r="R189" s="6"/>
    </row>
    <row r="190" spans="18:18" ht="20.149999999999999" customHeight="1" x14ac:dyDescent="0.35">
      <c r="R190" s="6"/>
    </row>
    <row r="191" spans="18:18" ht="20.149999999999999" customHeight="1" x14ac:dyDescent="0.35">
      <c r="R191" s="6"/>
    </row>
    <row r="192" spans="18:18" ht="20.149999999999999" customHeight="1" x14ac:dyDescent="0.35">
      <c r="R192" s="6"/>
    </row>
    <row r="193" spans="18:18" ht="20.149999999999999" customHeight="1" x14ac:dyDescent="0.35">
      <c r="R193" s="6"/>
    </row>
    <row r="194" spans="18:18" ht="20.149999999999999" customHeight="1" x14ac:dyDescent="0.35">
      <c r="R194" s="6"/>
    </row>
    <row r="195" spans="18:18" ht="20.149999999999999" customHeight="1" x14ac:dyDescent="0.35">
      <c r="R195" s="6"/>
    </row>
    <row r="196" spans="18:18" ht="20.149999999999999" customHeight="1" x14ac:dyDescent="0.35">
      <c r="R196" s="6"/>
    </row>
    <row r="197" spans="18:18" ht="20.149999999999999" customHeight="1" x14ac:dyDescent="0.35">
      <c r="R197" s="6"/>
    </row>
    <row r="198" spans="18:18" ht="20.149999999999999" customHeight="1" x14ac:dyDescent="0.35">
      <c r="R198" s="6"/>
    </row>
    <row r="199" spans="18:18" ht="20.149999999999999" customHeight="1" x14ac:dyDescent="0.35">
      <c r="R199" s="6"/>
    </row>
    <row r="200" spans="18:18" ht="20.149999999999999" customHeight="1" x14ac:dyDescent="0.35">
      <c r="R200" s="6"/>
    </row>
    <row r="201" spans="18:18" ht="20.149999999999999" customHeight="1" x14ac:dyDescent="0.35">
      <c r="R201" s="6"/>
    </row>
    <row r="202" spans="18:18" ht="20.149999999999999" customHeight="1" x14ac:dyDescent="0.35">
      <c r="R202" s="6"/>
    </row>
    <row r="203" spans="18:18" ht="20.149999999999999" customHeight="1" x14ac:dyDescent="0.35">
      <c r="R203" s="6"/>
    </row>
    <row r="204" spans="18:18" ht="20.149999999999999" customHeight="1" x14ac:dyDescent="0.35">
      <c r="R204" s="6"/>
    </row>
    <row r="205" spans="18:18" ht="20.149999999999999" customHeight="1" x14ac:dyDescent="0.35">
      <c r="R205" s="6"/>
    </row>
    <row r="206" spans="18:18" ht="20.149999999999999" customHeight="1" x14ac:dyDescent="0.35">
      <c r="R206" s="6"/>
    </row>
    <row r="207" spans="18:18" ht="20.149999999999999" customHeight="1" x14ac:dyDescent="0.35">
      <c r="R207" s="6"/>
    </row>
    <row r="208" spans="18:18" ht="20.149999999999999" customHeight="1" x14ac:dyDescent="0.35">
      <c r="R208" s="6"/>
    </row>
    <row r="209" spans="18:18" ht="20.149999999999999" customHeight="1" x14ac:dyDescent="0.35">
      <c r="R209" s="6"/>
    </row>
    <row r="210" spans="18:18" ht="20.149999999999999" customHeight="1" x14ac:dyDescent="0.35">
      <c r="R210" s="6"/>
    </row>
    <row r="211" spans="18:18" ht="20.149999999999999" customHeight="1" x14ac:dyDescent="0.35">
      <c r="R211" s="6"/>
    </row>
    <row r="212" spans="18:18" ht="20.149999999999999" customHeight="1" x14ac:dyDescent="0.35">
      <c r="R212" s="6"/>
    </row>
    <row r="213" spans="18:18" ht="20.149999999999999" customHeight="1" x14ac:dyDescent="0.35">
      <c r="R213" s="6"/>
    </row>
    <row r="214" spans="18:18" ht="20.149999999999999" customHeight="1" x14ac:dyDescent="0.35">
      <c r="R214" s="6"/>
    </row>
    <row r="215" spans="18:18" ht="20.149999999999999" customHeight="1" x14ac:dyDescent="0.35">
      <c r="R215" s="6"/>
    </row>
    <row r="216" spans="18:18" ht="20.149999999999999" customHeight="1" x14ac:dyDescent="0.35">
      <c r="R216" s="6"/>
    </row>
    <row r="217" spans="18:18" ht="20.149999999999999" customHeight="1" x14ac:dyDescent="0.35">
      <c r="R217" s="6"/>
    </row>
    <row r="218" spans="18:18" ht="20.149999999999999" customHeight="1" x14ac:dyDescent="0.35">
      <c r="R218" s="6"/>
    </row>
    <row r="219" spans="18:18" ht="20.149999999999999" customHeight="1" x14ac:dyDescent="0.35">
      <c r="R219" s="6"/>
    </row>
    <row r="220" spans="18:18" ht="20.149999999999999" customHeight="1" x14ac:dyDescent="0.35">
      <c r="R220" s="6"/>
    </row>
    <row r="221" spans="18:18" ht="20.149999999999999" customHeight="1" x14ac:dyDescent="0.35">
      <c r="R221" s="6"/>
    </row>
    <row r="222" spans="18:18" ht="20.149999999999999" customHeight="1" x14ac:dyDescent="0.35">
      <c r="R222" s="6"/>
    </row>
    <row r="223" spans="18:18" ht="20.149999999999999" customHeight="1" x14ac:dyDescent="0.35">
      <c r="R223" s="6"/>
    </row>
    <row r="224" spans="18:18" ht="20.149999999999999" customHeight="1" x14ac:dyDescent="0.35">
      <c r="R224" s="6"/>
    </row>
    <row r="225" spans="18:18" ht="20.149999999999999" customHeight="1" x14ac:dyDescent="0.35">
      <c r="R225" s="6"/>
    </row>
    <row r="226" spans="18:18" ht="20.149999999999999" customHeight="1" x14ac:dyDescent="0.35">
      <c r="R226" s="6"/>
    </row>
    <row r="227" spans="18:18" ht="20.149999999999999" customHeight="1" x14ac:dyDescent="0.35">
      <c r="R227" s="6"/>
    </row>
    <row r="228" spans="18:18" ht="20.149999999999999" customHeight="1" x14ac:dyDescent="0.35">
      <c r="R228" s="6"/>
    </row>
    <row r="229" spans="18:18" ht="20.149999999999999" customHeight="1" x14ac:dyDescent="0.35">
      <c r="R229" s="6"/>
    </row>
    <row r="230" spans="18:18" ht="20.149999999999999" customHeight="1" x14ac:dyDescent="0.35">
      <c r="R230" s="6"/>
    </row>
    <row r="231" spans="18:18" ht="20.149999999999999" customHeight="1" x14ac:dyDescent="0.35">
      <c r="R231" s="6"/>
    </row>
    <row r="232" spans="18:18" ht="20.149999999999999" customHeight="1" x14ac:dyDescent="0.35">
      <c r="R232" s="6"/>
    </row>
    <row r="233" spans="18:18" ht="20.149999999999999" customHeight="1" x14ac:dyDescent="0.35">
      <c r="R233" s="6"/>
    </row>
    <row r="234" spans="18:18" ht="20.149999999999999" customHeight="1" x14ac:dyDescent="0.35">
      <c r="R234" s="6"/>
    </row>
    <row r="235" spans="18:18" ht="20.149999999999999" customHeight="1" x14ac:dyDescent="0.35">
      <c r="R235" s="6"/>
    </row>
    <row r="236" spans="18:18" ht="20.149999999999999" customHeight="1" x14ac:dyDescent="0.35">
      <c r="R236" s="6"/>
    </row>
    <row r="237" spans="18:18" ht="20.149999999999999" customHeight="1" x14ac:dyDescent="0.35">
      <c r="R237" s="6"/>
    </row>
    <row r="238" spans="18:18" ht="20.149999999999999" customHeight="1" x14ac:dyDescent="0.35">
      <c r="R238" s="6"/>
    </row>
    <row r="239" spans="18:18" ht="20.149999999999999" customHeight="1" x14ac:dyDescent="0.35">
      <c r="R239" s="6"/>
    </row>
    <row r="240" spans="18:18" ht="20.149999999999999" customHeight="1" x14ac:dyDescent="0.35">
      <c r="R240" s="6"/>
    </row>
    <row r="241" spans="18:18" ht="20.149999999999999" customHeight="1" x14ac:dyDescent="0.35">
      <c r="R241" s="6"/>
    </row>
    <row r="242" spans="18:18" ht="20.149999999999999" customHeight="1" x14ac:dyDescent="0.35">
      <c r="R242" s="6"/>
    </row>
    <row r="243" spans="18:18" ht="20.149999999999999" customHeight="1" x14ac:dyDescent="0.35">
      <c r="R243" s="6"/>
    </row>
    <row r="244" spans="18:18" ht="20.149999999999999" customHeight="1" x14ac:dyDescent="0.35">
      <c r="R244" s="6"/>
    </row>
    <row r="245" spans="18:18" ht="20.149999999999999" customHeight="1" x14ac:dyDescent="0.35">
      <c r="R245" s="6"/>
    </row>
    <row r="246" spans="18:18" ht="20.149999999999999" customHeight="1" x14ac:dyDescent="0.35">
      <c r="R246" s="6"/>
    </row>
    <row r="247" spans="18:18" ht="20.149999999999999" customHeight="1" x14ac:dyDescent="0.35">
      <c r="R247" s="6"/>
    </row>
    <row r="248" spans="18:18" ht="20.149999999999999" customHeight="1" x14ac:dyDescent="0.35">
      <c r="R248" s="6"/>
    </row>
    <row r="249" spans="18:18" ht="20.149999999999999" customHeight="1" x14ac:dyDescent="0.35">
      <c r="R249" s="6"/>
    </row>
    <row r="250" spans="18:18" ht="20.149999999999999" customHeight="1" x14ac:dyDescent="0.35">
      <c r="R250" s="6"/>
    </row>
    <row r="251" spans="18:18" ht="20.149999999999999" customHeight="1" x14ac:dyDescent="0.35">
      <c r="R251" s="6"/>
    </row>
    <row r="252" spans="18:18" ht="20.149999999999999" customHeight="1" x14ac:dyDescent="0.35">
      <c r="R252" s="6"/>
    </row>
    <row r="253" spans="18:18" ht="20.149999999999999" customHeight="1" x14ac:dyDescent="0.35">
      <c r="R253" s="6"/>
    </row>
    <row r="254" spans="18:18" ht="20.149999999999999" customHeight="1" x14ac:dyDescent="0.35">
      <c r="R254" s="6"/>
    </row>
    <row r="255" spans="18:18" ht="20.149999999999999" customHeight="1" x14ac:dyDescent="0.35">
      <c r="R255" s="6"/>
    </row>
    <row r="256" spans="18:18" ht="20.149999999999999" customHeight="1" x14ac:dyDescent="0.35">
      <c r="R256" s="6"/>
    </row>
    <row r="257" spans="18:18" ht="20.149999999999999" customHeight="1" x14ac:dyDescent="0.35">
      <c r="R257" s="6"/>
    </row>
    <row r="258" spans="18:18" ht="20.149999999999999" customHeight="1" x14ac:dyDescent="0.35">
      <c r="R258" s="6"/>
    </row>
    <row r="259" spans="18:18" ht="20.149999999999999" customHeight="1" x14ac:dyDescent="0.35">
      <c r="R259" s="6"/>
    </row>
    <row r="260" spans="18:18" ht="20.149999999999999" customHeight="1" x14ac:dyDescent="0.35">
      <c r="R260" s="6"/>
    </row>
    <row r="261" spans="18:18" ht="20.149999999999999" customHeight="1" x14ac:dyDescent="0.35">
      <c r="R261" s="6"/>
    </row>
    <row r="262" spans="18:18" ht="20.149999999999999" customHeight="1" x14ac:dyDescent="0.35">
      <c r="R262" s="6"/>
    </row>
    <row r="263" spans="18:18" ht="20.149999999999999" customHeight="1" x14ac:dyDescent="0.35">
      <c r="R263" s="6"/>
    </row>
    <row r="264" spans="18:18" ht="20.149999999999999" customHeight="1" x14ac:dyDescent="0.35">
      <c r="R264" s="6"/>
    </row>
    <row r="265" spans="18:18" ht="20.149999999999999" customHeight="1" x14ac:dyDescent="0.35">
      <c r="R265" s="6"/>
    </row>
    <row r="266" spans="18:18" ht="20.149999999999999" customHeight="1" x14ac:dyDescent="0.35">
      <c r="R266" s="6"/>
    </row>
    <row r="267" spans="18:18" ht="20.149999999999999" customHeight="1" x14ac:dyDescent="0.35">
      <c r="R267" s="6"/>
    </row>
  </sheetData>
  <phoneticPr fontId="40" type="noConversion"/>
  <printOptions horizontalCentered="1"/>
  <pageMargins left="0.11811023622047245" right="0.11811023622047245" top="0.15748031496062992" bottom="0.15748031496062992" header="0.31496062992125984" footer="0.31496062992125984"/>
  <pageSetup paperSize="9" scale="67" fitToHeight="11" orientation="landscape" r:id="rId2"/>
  <drawing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910E0-9419-45A1-BD3C-C8C7BDAD01DC}">
  <sheetPr>
    <pageSetUpPr fitToPage="1"/>
  </sheetPr>
  <dimension ref="A1:AD368"/>
  <sheetViews>
    <sheetView zoomScale="50" zoomScaleNormal="115" workbookViewId="0">
      <selection activeCell="H13" sqref="H13"/>
    </sheetView>
  </sheetViews>
  <sheetFormatPr defaultColWidth="14.36328125" defaultRowHeight="14.5" x14ac:dyDescent="0.35"/>
  <cols>
    <col min="1" max="2" width="6.36328125" style="24" customWidth="1"/>
    <col min="3" max="3" width="14.36328125" style="4" customWidth="1"/>
    <col min="4" max="4" width="14.36328125" style="24"/>
    <col min="5" max="6" width="14.36328125" style="4"/>
    <col min="7" max="7" width="23" style="4" bestFit="1" customWidth="1"/>
    <col min="8" max="16384" width="14.36328125" style="4"/>
  </cols>
  <sheetData>
    <row r="1" spans="1:30" ht="20.149999999999999" customHeight="1" thickBot="1" x14ac:dyDescent="0.4">
      <c r="A1" s="3" t="s">
        <v>3</v>
      </c>
      <c r="B1" s="3"/>
      <c r="D1" s="5" t="s">
        <v>4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 t="s">
        <v>12</v>
      </c>
      <c r="U1" s="4" t="s">
        <v>30</v>
      </c>
      <c r="V1" s="4" t="s">
        <v>0</v>
      </c>
      <c r="W1" s="4" t="s">
        <v>33</v>
      </c>
      <c r="X1" s="4" t="s">
        <v>35</v>
      </c>
      <c r="Y1" s="4" t="s">
        <v>36</v>
      </c>
      <c r="AB1" s="149" t="s">
        <v>30</v>
      </c>
      <c r="AC1" s="149" t="s">
        <v>36</v>
      </c>
      <c r="AD1" s="149" t="s">
        <v>0</v>
      </c>
    </row>
    <row r="2" spans="1:30" ht="20.149999999999999" customHeight="1" x14ac:dyDescent="0.35">
      <c r="A2" s="8"/>
      <c r="B2" s="9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2"/>
      <c r="U2" s="61">
        <v>32.250015000000005</v>
      </c>
      <c r="V2" s="61">
        <v>80.583300000000008</v>
      </c>
      <c r="W2" s="61">
        <v>10.749881999999999</v>
      </c>
      <c r="X2" s="61">
        <v>46</v>
      </c>
      <c r="Y2" s="61">
        <v>47</v>
      </c>
      <c r="Z2" s="61"/>
      <c r="AA2" s="61"/>
      <c r="AB2" s="195">
        <v>32.250015000000005</v>
      </c>
      <c r="AC2" s="195">
        <v>47</v>
      </c>
      <c r="AD2" s="195">
        <v>80.583300000000008</v>
      </c>
    </row>
    <row r="3" spans="1:30" ht="20.149999999999999" customHeight="1" x14ac:dyDescent="0.35">
      <c r="A3" s="8"/>
      <c r="B3" s="13"/>
      <c r="C3" s="3" t="s">
        <v>93</v>
      </c>
      <c r="D3" s="4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45"/>
      <c r="S3" s="46"/>
      <c r="T3" s="47"/>
      <c r="U3" s="196">
        <v>32.700015</v>
      </c>
      <c r="V3" s="196">
        <v>69.608699999999999</v>
      </c>
      <c r="W3" s="61">
        <v>16.652113</v>
      </c>
      <c r="X3" s="61">
        <v>61</v>
      </c>
      <c r="Y3" s="61">
        <v>60</v>
      </c>
      <c r="Z3" s="61"/>
      <c r="AA3" s="61"/>
      <c r="AB3" s="196">
        <v>32.700015</v>
      </c>
      <c r="AC3" s="61">
        <v>60</v>
      </c>
      <c r="AD3" s="196">
        <v>69.608699999999999</v>
      </c>
    </row>
    <row r="4" spans="1:30" ht="20.149999999999999" customHeight="1" x14ac:dyDescent="0.35">
      <c r="A4" s="8"/>
      <c r="B4" s="13"/>
      <c r="C4" s="14"/>
      <c r="D4" s="1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45"/>
      <c r="S4" s="46"/>
      <c r="T4" s="47"/>
      <c r="U4" s="196">
        <v>33.600014999999999</v>
      </c>
      <c r="V4" s="196">
        <v>43.7273</v>
      </c>
      <c r="W4" s="61">
        <v>16.636703000000001</v>
      </c>
      <c r="X4" s="61">
        <v>21</v>
      </c>
      <c r="Y4" s="61">
        <v>73</v>
      </c>
      <c r="Z4" s="61"/>
      <c r="AA4" s="61"/>
      <c r="AB4" s="197">
        <v>33.600014999999999</v>
      </c>
      <c r="AC4" s="195">
        <v>73</v>
      </c>
      <c r="AD4" s="197">
        <v>43.7273</v>
      </c>
    </row>
    <row r="5" spans="1:30" s="47" customFormat="1" ht="20.149999999999999" customHeight="1" x14ac:dyDescent="0.35">
      <c r="A5" s="48"/>
      <c r="B5" s="49"/>
      <c r="C5" s="50" t="s">
        <v>13</v>
      </c>
      <c r="D5" s="45"/>
      <c r="E5" s="45"/>
      <c r="F5" s="241">
        <v>0.7</v>
      </c>
      <c r="G5" s="45"/>
      <c r="J5" s="45"/>
      <c r="K5" s="45"/>
      <c r="L5" s="45"/>
      <c r="M5" s="45"/>
      <c r="N5" s="45"/>
      <c r="O5" s="45"/>
      <c r="P5" s="45"/>
      <c r="Q5" s="45"/>
      <c r="R5" s="45"/>
      <c r="S5" s="46"/>
      <c r="U5" s="196">
        <v>32.4</v>
      </c>
      <c r="V5" s="196">
        <v>59.043500000000002</v>
      </c>
      <c r="W5" s="196">
        <v>10.739832</v>
      </c>
      <c r="X5" s="196">
        <v>16</v>
      </c>
      <c r="Y5" s="196">
        <v>77</v>
      </c>
      <c r="Z5" s="196"/>
      <c r="AA5" s="196"/>
      <c r="AB5" s="196">
        <v>32.4</v>
      </c>
      <c r="AC5" s="196">
        <v>77</v>
      </c>
      <c r="AD5" s="196">
        <v>59.043500000000002</v>
      </c>
    </row>
    <row r="6" spans="1:30" s="47" customFormat="1" ht="20.149999999999999" customHeight="1" x14ac:dyDescent="0.35">
      <c r="A6" s="48"/>
      <c r="B6" s="49"/>
      <c r="C6" s="50" t="s">
        <v>84</v>
      </c>
      <c r="D6" s="45"/>
      <c r="E6" s="45"/>
      <c r="F6" s="270" t="s">
        <v>182</v>
      </c>
      <c r="G6" s="271"/>
      <c r="H6" s="270"/>
      <c r="I6" s="270"/>
      <c r="J6" s="270"/>
      <c r="K6" s="270"/>
      <c r="L6" s="45"/>
      <c r="M6" s="45"/>
      <c r="N6" s="45"/>
      <c r="O6" s="45"/>
      <c r="P6" s="45"/>
      <c r="Q6" s="45"/>
      <c r="R6" s="45"/>
      <c r="S6" s="46"/>
      <c r="U6" s="196">
        <v>33.75</v>
      </c>
      <c r="V6" s="196">
        <v>43.695699999999995</v>
      </c>
      <c r="W6" s="196">
        <v>12.522300000000001</v>
      </c>
      <c r="X6" s="196">
        <v>15</v>
      </c>
      <c r="Y6" s="196">
        <v>77</v>
      </c>
      <c r="Z6" s="196"/>
      <c r="AA6" s="196"/>
      <c r="AB6" s="197">
        <v>33.75</v>
      </c>
      <c r="AC6" s="197">
        <v>77</v>
      </c>
      <c r="AD6" s="197">
        <v>43.695699999999995</v>
      </c>
    </row>
    <row r="7" spans="1:30" s="47" customFormat="1" ht="20.149999999999999" customHeight="1" x14ac:dyDescent="0.35">
      <c r="A7" s="48"/>
      <c r="B7" s="49"/>
      <c r="C7" s="50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6"/>
      <c r="U7" s="196">
        <v>31.912514999999999</v>
      </c>
      <c r="V7" s="196">
        <v>51.826099999999997</v>
      </c>
      <c r="W7" s="196">
        <v>6.0008683999999999</v>
      </c>
      <c r="X7" s="196">
        <v>14</v>
      </c>
      <c r="Y7" s="196">
        <v>67</v>
      </c>
      <c r="Z7" s="196"/>
      <c r="AA7" s="196"/>
      <c r="AB7" s="196">
        <v>31.912514999999999</v>
      </c>
      <c r="AC7" s="196">
        <v>67</v>
      </c>
      <c r="AD7" s="196">
        <v>51.826099999999997</v>
      </c>
    </row>
    <row r="8" spans="1:30" ht="20.149999999999999" customHeight="1" x14ac:dyDescent="0.35">
      <c r="A8" s="8"/>
      <c r="B8" s="13"/>
      <c r="C8" s="3" t="s">
        <v>94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45"/>
      <c r="S8" s="46"/>
      <c r="T8" s="47"/>
      <c r="U8" s="196">
        <v>32.999985000000002</v>
      </c>
      <c r="V8" s="196">
        <v>49.869599999999998</v>
      </c>
      <c r="W8" s="61">
        <v>11.304641999999999</v>
      </c>
      <c r="X8" s="61">
        <v>40</v>
      </c>
      <c r="Y8" s="61">
        <v>67</v>
      </c>
      <c r="Z8" s="61"/>
      <c r="AA8" s="61"/>
      <c r="AB8" s="197">
        <v>32.999985000000002</v>
      </c>
      <c r="AC8" s="195">
        <v>67</v>
      </c>
      <c r="AD8" s="197">
        <v>49.869599999999998</v>
      </c>
    </row>
    <row r="9" spans="1:30" ht="20.149999999999999" customHeight="1" x14ac:dyDescent="0.35">
      <c r="A9" s="8"/>
      <c r="B9" s="13"/>
      <c r="C9" s="14"/>
      <c r="D9" s="1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45"/>
      <c r="S9" s="46"/>
      <c r="T9" s="47"/>
      <c r="U9" s="196">
        <v>33.637500000000003</v>
      </c>
      <c r="V9" s="196">
        <v>53.583300000000001</v>
      </c>
      <c r="W9" s="61">
        <v>17.875868000000001</v>
      </c>
      <c r="X9" s="61">
        <v>35</v>
      </c>
      <c r="Y9" s="61">
        <v>63</v>
      </c>
      <c r="Z9" s="61"/>
      <c r="AA9" s="61"/>
      <c r="AB9" s="196">
        <v>33.637500000000003</v>
      </c>
      <c r="AC9" s="61">
        <v>63</v>
      </c>
      <c r="AD9" s="196">
        <v>53.583300000000001</v>
      </c>
    </row>
    <row r="10" spans="1:30" s="47" customFormat="1" ht="20.149999999999999" customHeight="1" x14ac:dyDescent="0.35">
      <c r="A10" s="48"/>
      <c r="B10" s="49"/>
      <c r="C10" s="50" t="s">
        <v>13</v>
      </c>
      <c r="D10" s="45"/>
      <c r="E10" s="45"/>
      <c r="F10" s="242">
        <v>-0.09</v>
      </c>
      <c r="G10" s="45"/>
      <c r="H10" s="45"/>
      <c r="I10" s="51"/>
      <c r="J10" s="45"/>
      <c r="K10" s="45"/>
      <c r="L10" s="45"/>
      <c r="M10" s="45"/>
      <c r="N10" s="45"/>
      <c r="O10" s="45"/>
      <c r="P10" s="45"/>
      <c r="Q10" s="45"/>
      <c r="R10" s="45"/>
      <c r="S10" s="46"/>
      <c r="U10" s="196">
        <v>34.3125</v>
      </c>
      <c r="V10" s="196">
        <v>43.416700000000006</v>
      </c>
      <c r="W10" s="196">
        <v>24.25065</v>
      </c>
      <c r="X10" s="196">
        <v>14</v>
      </c>
      <c r="Y10" s="196">
        <v>67</v>
      </c>
      <c r="Z10" s="196"/>
      <c r="AA10" s="196"/>
      <c r="AB10" s="197">
        <v>34.3125</v>
      </c>
      <c r="AC10" s="197">
        <v>67</v>
      </c>
      <c r="AD10" s="197">
        <v>43.416700000000006</v>
      </c>
    </row>
    <row r="11" spans="1:30" s="47" customFormat="1" ht="20.149999999999999" customHeight="1" x14ac:dyDescent="0.35">
      <c r="A11" s="48"/>
      <c r="B11" s="49"/>
      <c r="C11" s="50" t="s">
        <v>84</v>
      </c>
      <c r="D11" s="45"/>
      <c r="G11" s="51" t="s">
        <v>192</v>
      </c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6"/>
      <c r="U11" s="196">
        <v>35.737514999999995</v>
      </c>
      <c r="V11" s="196">
        <v>48.291699999999999</v>
      </c>
      <c r="W11" s="196">
        <v>14.958888999999999</v>
      </c>
      <c r="X11" s="196">
        <v>13</v>
      </c>
      <c r="Y11" s="196">
        <v>72</v>
      </c>
      <c r="Z11" s="196"/>
      <c r="AA11" s="196"/>
      <c r="AB11" s="196">
        <v>35.737514999999995</v>
      </c>
      <c r="AC11" s="196">
        <v>72</v>
      </c>
      <c r="AD11" s="196">
        <v>48.291699999999999</v>
      </c>
    </row>
    <row r="12" spans="1:30" s="47" customFormat="1" ht="20.149999999999999" customHeight="1" x14ac:dyDescent="0.35">
      <c r="A12" s="48"/>
      <c r="B12" s="49"/>
      <c r="C12" s="50"/>
      <c r="D12" s="45"/>
      <c r="E12" s="45"/>
      <c r="F12" s="51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6"/>
      <c r="U12" s="196">
        <v>33.600014999999999</v>
      </c>
      <c r="V12" s="196">
        <v>68.636399999999995</v>
      </c>
      <c r="W12" s="196">
        <v>8.1828440000000011</v>
      </c>
      <c r="X12" s="196">
        <v>15</v>
      </c>
      <c r="Y12" s="196">
        <v>72</v>
      </c>
      <c r="Z12" s="196"/>
      <c r="AA12" s="196"/>
      <c r="AB12" s="197">
        <v>33.600014999999999</v>
      </c>
      <c r="AC12" s="197">
        <v>72</v>
      </c>
      <c r="AD12" s="197">
        <v>68.636399999999995</v>
      </c>
    </row>
    <row r="13" spans="1:30" s="47" customFormat="1" ht="20.149999999999999" customHeight="1" x14ac:dyDescent="0.35">
      <c r="A13" s="48"/>
      <c r="B13" s="49"/>
      <c r="C13" s="3" t="s">
        <v>73</v>
      </c>
      <c r="D13" s="45"/>
      <c r="E13" s="45"/>
      <c r="F13" s="51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6"/>
      <c r="U13" s="196">
        <v>30.637485000000002</v>
      </c>
      <c r="V13" s="196">
        <v>59.954499999999996</v>
      </c>
      <c r="W13" s="196">
        <v>20.410008999999999</v>
      </c>
      <c r="X13" s="196">
        <v>18</v>
      </c>
      <c r="Y13" s="196">
        <v>84</v>
      </c>
      <c r="Z13" s="196"/>
      <c r="AA13" s="196"/>
      <c r="AB13" s="196">
        <v>30.637485000000002</v>
      </c>
      <c r="AC13" s="196">
        <v>84</v>
      </c>
      <c r="AD13" s="196">
        <v>59.954499999999996</v>
      </c>
    </row>
    <row r="14" spans="1:30" s="47" customFormat="1" ht="20.149999999999999" customHeight="1" x14ac:dyDescent="0.35">
      <c r="A14" s="48"/>
      <c r="B14" s="49"/>
      <c r="C14" s="14"/>
      <c r="D14" s="45"/>
      <c r="E14" s="45"/>
      <c r="F14" s="51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6"/>
      <c r="U14" s="196">
        <v>29.849984999999997</v>
      </c>
      <c r="V14" s="196">
        <v>47.041699999999999</v>
      </c>
      <c r="W14" s="196">
        <v>20.166999999999998</v>
      </c>
      <c r="X14" s="196">
        <v>26</v>
      </c>
      <c r="Y14" s="196">
        <v>84</v>
      </c>
      <c r="Z14" s="196"/>
      <c r="AA14" s="196"/>
      <c r="AB14" s="197">
        <v>29.849984999999997</v>
      </c>
      <c r="AC14" s="197">
        <v>84</v>
      </c>
      <c r="AD14" s="197">
        <v>47.041699999999999</v>
      </c>
    </row>
    <row r="15" spans="1:30" s="38" customFormat="1" ht="20.149999999999999" customHeight="1" x14ac:dyDescent="0.35">
      <c r="A15" s="34"/>
      <c r="B15" s="39"/>
      <c r="C15" s="50" t="s">
        <v>13</v>
      </c>
      <c r="D15" s="40"/>
      <c r="E15" s="40"/>
      <c r="F15" s="242">
        <v>0.08</v>
      </c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5"/>
      <c r="S15" s="46"/>
      <c r="T15" s="47"/>
      <c r="U15" s="196">
        <v>30.900015</v>
      </c>
      <c r="V15" s="196">
        <v>53.782600000000002</v>
      </c>
      <c r="W15" s="61">
        <v>8.4787160000000004</v>
      </c>
      <c r="X15" s="61">
        <v>48</v>
      </c>
      <c r="Y15" s="61">
        <v>70</v>
      </c>
      <c r="Z15" s="61"/>
      <c r="AA15" s="61"/>
      <c r="AB15" s="196">
        <v>30.900015</v>
      </c>
      <c r="AC15" s="61">
        <v>70</v>
      </c>
      <c r="AD15" s="196">
        <v>53.782600000000002</v>
      </c>
    </row>
    <row r="16" spans="1:30" s="38" customFormat="1" ht="20.149999999999999" customHeight="1" x14ac:dyDescent="0.35">
      <c r="A16" s="34"/>
      <c r="B16" s="39"/>
      <c r="C16" s="50" t="s">
        <v>84</v>
      </c>
      <c r="D16" s="40"/>
      <c r="E16" s="40"/>
      <c r="G16" s="51" t="s">
        <v>183</v>
      </c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5"/>
      <c r="S16" s="46"/>
      <c r="T16" s="47"/>
      <c r="U16" s="196">
        <v>32.362515000000002</v>
      </c>
      <c r="V16" s="196">
        <v>49.875</v>
      </c>
      <c r="W16" s="61">
        <v>10.583520999999999</v>
      </c>
      <c r="X16" s="61">
        <v>40</v>
      </c>
      <c r="Y16" s="61">
        <v>66</v>
      </c>
      <c r="Z16" s="61"/>
      <c r="AA16" s="61"/>
      <c r="AB16" s="197">
        <v>32.362515000000002</v>
      </c>
      <c r="AC16" s="195">
        <v>66</v>
      </c>
      <c r="AD16" s="197">
        <v>49.875</v>
      </c>
    </row>
    <row r="17" spans="1:30" s="54" customFormat="1" ht="20.149999999999999" customHeight="1" thickBot="1" x14ac:dyDescent="0.4">
      <c r="A17" s="34"/>
      <c r="B17" s="35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3"/>
      <c r="U17" s="198">
        <v>33.600014999999999</v>
      </c>
      <c r="V17" s="198">
        <v>48.375</v>
      </c>
      <c r="W17" s="198">
        <v>12.625010999999999</v>
      </c>
      <c r="X17" s="198">
        <v>17</v>
      </c>
      <c r="Y17" s="198">
        <v>72</v>
      </c>
      <c r="Z17" s="198"/>
      <c r="AA17" s="198"/>
      <c r="AB17" s="198">
        <v>33.600014999999999</v>
      </c>
      <c r="AC17" s="198">
        <v>72</v>
      </c>
      <c r="AD17" s="198">
        <v>48.375</v>
      </c>
    </row>
    <row r="18" spans="1:30" ht="20.149999999999999" customHeight="1" x14ac:dyDescent="0.35">
      <c r="A18" s="8"/>
      <c r="B18" s="8"/>
      <c r="C18" s="6"/>
      <c r="D18" s="8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U18" s="61">
        <v>34.950015</v>
      </c>
      <c r="V18" s="61">
        <v>53.75</v>
      </c>
      <c r="W18" s="61">
        <v>12.999139</v>
      </c>
      <c r="X18" s="61">
        <v>15</v>
      </c>
      <c r="Y18" s="61">
        <v>76</v>
      </c>
      <c r="Z18" s="61"/>
      <c r="AA18" s="61"/>
      <c r="AB18" s="195">
        <v>34.950015</v>
      </c>
      <c r="AC18" s="195">
        <v>76</v>
      </c>
      <c r="AD18" s="195">
        <v>53.75</v>
      </c>
    </row>
    <row r="19" spans="1:30" ht="20.149999999999999" customHeight="1" thickBot="1" x14ac:dyDescent="0.4">
      <c r="A19" s="3" t="s">
        <v>5</v>
      </c>
      <c r="B19" s="3"/>
      <c r="C19" s="21"/>
      <c r="D19" s="5" t="s">
        <v>4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7" t="str">
        <f>S1</f>
        <v>Q.2.3 - Bivariate Analysis (numerical variables)</v>
      </c>
      <c r="U19" s="61">
        <v>34.574985000000005</v>
      </c>
      <c r="V19" s="61">
        <v>86.166699999999992</v>
      </c>
      <c r="W19" s="61">
        <v>9.8339249999999989</v>
      </c>
      <c r="X19" s="61">
        <v>13</v>
      </c>
      <c r="Y19" s="61">
        <v>74</v>
      </c>
      <c r="Z19" s="61"/>
      <c r="AA19" s="61"/>
      <c r="AB19" s="61">
        <v>34.574985000000005</v>
      </c>
      <c r="AC19" s="61">
        <v>74</v>
      </c>
      <c r="AD19" s="61">
        <v>86.166699999999992</v>
      </c>
    </row>
    <row r="20" spans="1:30" ht="20.149999999999999" customHeight="1" x14ac:dyDescent="0.35">
      <c r="A20" s="8"/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2"/>
      <c r="U20" s="61">
        <v>36.674999999999997</v>
      </c>
      <c r="V20" s="61">
        <v>74.173900000000003</v>
      </c>
      <c r="W20" s="61">
        <v>13.957239</v>
      </c>
      <c r="X20" s="61">
        <v>13</v>
      </c>
      <c r="Y20" s="61">
        <v>63</v>
      </c>
      <c r="Z20" s="61"/>
      <c r="AA20" s="61"/>
      <c r="AB20" s="195">
        <v>36.674999999999997</v>
      </c>
      <c r="AC20" s="195">
        <v>63</v>
      </c>
      <c r="AD20" s="195">
        <v>74.173900000000003</v>
      </c>
    </row>
    <row r="21" spans="1:30" s="59" customFormat="1" ht="15.5" x14ac:dyDescent="0.35">
      <c r="A21" s="55"/>
      <c r="B21" s="13"/>
      <c r="C21" s="56"/>
      <c r="D21" s="56"/>
      <c r="E21" s="56"/>
      <c r="F21" s="56"/>
      <c r="G21" s="57"/>
      <c r="H21" s="56"/>
      <c r="I21" s="56"/>
      <c r="J21" s="56"/>
      <c r="K21" s="56"/>
      <c r="L21" s="56"/>
      <c r="M21" s="57"/>
      <c r="N21" s="57"/>
      <c r="O21" s="57"/>
      <c r="P21" s="57"/>
      <c r="Q21" s="57"/>
      <c r="R21" s="57"/>
      <c r="S21" s="58"/>
      <c r="U21" s="62">
        <v>38.174985</v>
      </c>
      <c r="V21" s="62">
        <v>53.833299999999994</v>
      </c>
      <c r="W21" s="62">
        <v>13.125567999999999</v>
      </c>
      <c r="X21" s="62">
        <v>11</v>
      </c>
      <c r="Y21" s="62">
        <v>57</v>
      </c>
      <c r="Z21" s="62"/>
      <c r="AA21" s="62"/>
      <c r="AB21" s="62">
        <v>38.174985</v>
      </c>
      <c r="AC21" s="62">
        <v>57</v>
      </c>
      <c r="AD21" s="62">
        <v>53.833299999999994</v>
      </c>
    </row>
    <row r="22" spans="1:30" ht="20.149999999999999" customHeight="1" x14ac:dyDescent="0.35">
      <c r="A22" s="8"/>
      <c r="B22" s="13"/>
      <c r="C22" s="60"/>
      <c r="D22" s="61"/>
      <c r="E22" s="61"/>
      <c r="F22" s="61"/>
      <c r="G22" s="6"/>
      <c r="H22" s="62"/>
      <c r="I22" s="62"/>
      <c r="J22" s="61"/>
      <c r="K22" s="61"/>
      <c r="L22" s="61"/>
      <c r="M22" s="6"/>
      <c r="N22" s="6"/>
      <c r="O22" s="6"/>
      <c r="P22" s="6"/>
      <c r="Q22" s="6"/>
      <c r="R22" s="6"/>
      <c r="S22" s="15"/>
      <c r="U22" s="61">
        <v>38.212515000000003</v>
      </c>
      <c r="V22" s="61">
        <v>45.708300000000001</v>
      </c>
      <c r="W22" s="61">
        <v>23.667214000000001</v>
      </c>
      <c r="X22" s="61">
        <v>20</v>
      </c>
      <c r="Y22" s="61">
        <v>46</v>
      </c>
      <c r="Z22" s="61"/>
      <c r="AA22" s="61"/>
      <c r="AB22" s="195">
        <v>38.212515000000003</v>
      </c>
      <c r="AC22" s="195">
        <v>46</v>
      </c>
      <c r="AD22" s="195">
        <v>45.708300000000001</v>
      </c>
    </row>
    <row r="23" spans="1:30" ht="20.149999999999999" customHeight="1" x14ac:dyDescent="0.35">
      <c r="A23" s="8"/>
      <c r="B23" s="13"/>
      <c r="H23" s="62"/>
      <c r="I23" s="62"/>
      <c r="M23" s="6"/>
      <c r="N23" s="6"/>
      <c r="O23" s="6"/>
      <c r="P23" s="6"/>
      <c r="Q23" s="6"/>
      <c r="R23" s="6"/>
      <c r="S23" s="15"/>
      <c r="U23" s="61">
        <v>37.35</v>
      </c>
      <c r="V23" s="61">
        <v>40</v>
      </c>
      <c r="W23" s="61">
        <v>11.521990000000001</v>
      </c>
      <c r="X23" s="61">
        <v>21</v>
      </c>
      <c r="Y23" s="61">
        <v>51</v>
      </c>
      <c r="Z23" s="61"/>
      <c r="AA23" s="61"/>
      <c r="AB23" s="61">
        <v>37.35</v>
      </c>
      <c r="AC23" s="61">
        <v>51</v>
      </c>
      <c r="AD23" s="61">
        <v>40</v>
      </c>
    </row>
    <row r="24" spans="1:30" ht="20.149999999999999" customHeight="1" x14ac:dyDescent="0.35">
      <c r="A24" s="8"/>
      <c r="B24" s="13"/>
      <c r="I24" s="62"/>
      <c r="J24" s="62"/>
      <c r="K24" s="61"/>
      <c r="L24" s="61"/>
      <c r="M24" s="6"/>
      <c r="N24" s="6"/>
      <c r="O24" s="6"/>
      <c r="P24" s="6"/>
      <c r="Q24" s="6"/>
      <c r="R24" s="6"/>
      <c r="S24" s="15"/>
      <c r="U24" s="61">
        <v>33.449984999999998</v>
      </c>
      <c r="V24" s="61">
        <v>43.652200000000001</v>
      </c>
      <c r="W24" s="61">
        <v>16.522200000000002</v>
      </c>
      <c r="X24" s="61">
        <v>11</v>
      </c>
      <c r="Y24" s="61">
        <v>65</v>
      </c>
      <c r="Z24" s="61"/>
      <c r="AA24" s="61"/>
      <c r="AB24" s="195">
        <v>33.449984999999998</v>
      </c>
      <c r="AC24" s="195">
        <v>65</v>
      </c>
      <c r="AD24" s="195">
        <v>43.652200000000001</v>
      </c>
    </row>
    <row r="25" spans="1:30" ht="42" x14ac:dyDescent="0.35">
      <c r="A25" s="8"/>
      <c r="B25" s="13"/>
      <c r="C25" s="294"/>
      <c r="D25" s="295"/>
      <c r="E25" s="296"/>
      <c r="F25" s="265" t="s">
        <v>178</v>
      </c>
      <c r="G25" s="266" t="s">
        <v>180</v>
      </c>
      <c r="H25" s="62"/>
      <c r="M25" s="6"/>
      <c r="N25" s="6"/>
      <c r="S25" s="15"/>
      <c r="U25" s="61">
        <v>34.725014999999999</v>
      </c>
      <c r="V25" s="61">
        <v>49.173899999999996</v>
      </c>
      <c r="W25" s="61">
        <v>10.60811</v>
      </c>
      <c r="X25" s="61">
        <v>15</v>
      </c>
      <c r="Y25" s="61">
        <v>77</v>
      </c>
      <c r="Z25" s="61"/>
      <c r="AA25" s="61"/>
      <c r="AB25" s="61">
        <v>34.725014999999999</v>
      </c>
      <c r="AC25" s="61">
        <v>77</v>
      </c>
      <c r="AD25" s="61">
        <v>49.173899999999996</v>
      </c>
    </row>
    <row r="26" spans="1:30" ht="20.149999999999999" customHeight="1" x14ac:dyDescent="0.35">
      <c r="A26" s="8"/>
      <c r="B26" s="272"/>
      <c r="C26" s="268"/>
      <c r="D26" s="269" t="s">
        <v>128</v>
      </c>
      <c r="E26" s="269"/>
      <c r="F26" s="273">
        <f>CORREL(W1:W366,X1:X366)</f>
        <v>7.8445015803822862E-2</v>
      </c>
      <c r="G26" s="240" t="s">
        <v>179</v>
      </c>
      <c r="H26" s="62"/>
      <c r="I26" s="62"/>
      <c r="J26" s="62"/>
      <c r="K26" s="62"/>
      <c r="L26" s="62"/>
      <c r="M26" s="6"/>
      <c r="N26" s="6"/>
      <c r="O26" s="6"/>
      <c r="P26" s="6"/>
      <c r="Q26" s="6"/>
      <c r="R26" s="6"/>
      <c r="S26" s="15"/>
      <c r="U26" s="61">
        <v>34.875</v>
      </c>
      <c r="V26" s="61">
        <v>61.695699999999995</v>
      </c>
      <c r="W26" s="61">
        <v>8.696332</v>
      </c>
      <c r="X26" s="61">
        <v>15</v>
      </c>
      <c r="Y26" s="61">
        <v>78</v>
      </c>
      <c r="Z26" s="61"/>
      <c r="AA26" s="61"/>
      <c r="AB26" s="195">
        <v>34.875</v>
      </c>
      <c r="AC26" s="195">
        <v>78</v>
      </c>
      <c r="AD26" s="195">
        <v>61.695699999999995</v>
      </c>
    </row>
    <row r="27" spans="1:30" ht="20.149999999999999" customHeight="1" x14ac:dyDescent="0.35">
      <c r="A27" s="8"/>
      <c r="B27" s="272"/>
      <c r="C27" s="268"/>
      <c r="D27" s="269" t="s">
        <v>127</v>
      </c>
      <c r="E27" s="269"/>
      <c r="F27" s="273">
        <f>CORREL(V1:V366,Y1:Y366)</f>
        <v>-9.2053515165282734E-2</v>
      </c>
      <c r="G27" s="240" t="s">
        <v>181</v>
      </c>
      <c r="H27" s="62"/>
      <c r="I27" s="62"/>
      <c r="J27" s="62"/>
      <c r="K27" s="62"/>
      <c r="L27" s="62"/>
      <c r="M27" s="6"/>
      <c r="N27" s="6"/>
      <c r="O27" s="6"/>
      <c r="P27" s="6"/>
      <c r="Q27" s="6"/>
      <c r="R27" s="6"/>
      <c r="S27" s="15"/>
      <c r="U27" s="61">
        <v>35.062515000000005</v>
      </c>
      <c r="V27" s="61">
        <v>86.25</v>
      </c>
      <c r="W27" s="61">
        <v>19.687950000000001</v>
      </c>
      <c r="X27" s="61">
        <v>12</v>
      </c>
      <c r="Y27" s="61">
        <v>76</v>
      </c>
      <c r="Z27" s="61"/>
      <c r="AA27" s="61"/>
      <c r="AB27" s="61">
        <v>35.062515000000005</v>
      </c>
      <c r="AC27" s="61">
        <v>76</v>
      </c>
      <c r="AD27" s="61">
        <v>86.25</v>
      </c>
    </row>
    <row r="28" spans="1:30" ht="23.5" x14ac:dyDescent="0.35">
      <c r="A28" s="8"/>
      <c r="B28" s="272"/>
      <c r="C28" s="268"/>
      <c r="D28" s="269" t="s">
        <v>126</v>
      </c>
      <c r="E28" s="269"/>
      <c r="F28" s="273">
        <f>CORREL(U2:U366,Y2:Y366)</f>
        <v>0.69896126708732964</v>
      </c>
      <c r="G28" s="267" t="s">
        <v>191</v>
      </c>
      <c r="K28" s="6"/>
      <c r="L28" s="6"/>
      <c r="M28" s="6"/>
      <c r="N28" s="6"/>
      <c r="O28" s="6"/>
      <c r="P28" s="6"/>
      <c r="Q28" s="6"/>
      <c r="R28" s="6"/>
      <c r="S28" s="15"/>
      <c r="U28" s="61">
        <v>37.724984999999997</v>
      </c>
      <c r="V28" s="61">
        <v>68.75</v>
      </c>
      <c r="W28" s="61">
        <v>7.6270789999999993</v>
      </c>
      <c r="X28" s="61">
        <v>13</v>
      </c>
      <c r="Y28" s="61">
        <v>64</v>
      </c>
      <c r="Z28" s="61"/>
      <c r="AA28" s="61"/>
      <c r="AB28" s="195">
        <v>37.724984999999997</v>
      </c>
      <c r="AC28" s="195">
        <v>64</v>
      </c>
      <c r="AD28" s="195">
        <v>68.75</v>
      </c>
    </row>
    <row r="29" spans="1:30" ht="20.149999999999999" customHeight="1" x14ac:dyDescent="0.35">
      <c r="A29" s="8"/>
      <c r="B29" s="13"/>
      <c r="D29" s="4"/>
      <c r="I29" s="147"/>
      <c r="K29" s="6"/>
      <c r="L29" s="6"/>
      <c r="M29" s="6"/>
      <c r="N29" s="6"/>
      <c r="O29" s="6"/>
      <c r="P29" s="6"/>
      <c r="Q29" s="6"/>
      <c r="R29" s="6"/>
      <c r="S29" s="15"/>
      <c r="U29" s="61">
        <v>36.187514999999998</v>
      </c>
      <c r="V29" s="61">
        <v>79.304300000000012</v>
      </c>
      <c r="W29" s="61">
        <v>8.2611000000000008</v>
      </c>
      <c r="X29" s="61">
        <v>31</v>
      </c>
      <c r="Y29" s="61">
        <v>58</v>
      </c>
      <c r="Z29" s="61"/>
      <c r="AA29" s="61"/>
      <c r="AB29" s="61">
        <v>36.187514999999998</v>
      </c>
      <c r="AC29" s="61">
        <v>58</v>
      </c>
      <c r="AD29" s="61">
        <v>79.304300000000012</v>
      </c>
    </row>
    <row r="30" spans="1:30" ht="20.149999999999999" customHeight="1" x14ac:dyDescent="0.35">
      <c r="A30" s="8"/>
      <c r="B30" s="13"/>
      <c r="D30" s="4"/>
      <c r="I30" s="147"/>
      <c r="K30" s="6"/>
      <c r="L30" s="6"/>
      <c r="M30" s="6"/>
      <c r="N30" s="6"/>
      <c r="O30" s="6"/>
      <c r="P30" s="6"/>
      <c r="Q30" s="6"/>
      <c r="R30" s="6"/>
      <c r="S30" s="15"/>
      <c r="U30" s="61">
        <v>36.262484999999998</v>
      </c>
      <c r="V30" s="61">
        <v>65.173899999999989</v>
      </c>
      <c r="W30" s="61">
        <v>9.7394549999999995</v>
      </c>
      <c r="X30" s="61">
        <v>30</v>
      </c>
      <c r="Y30" s="61">
        <v>56</v>
      </c>
      <c r="Z30" s="61"/>
      <c r="AA30" s="61"/>
      <c r="AB30" s="195">
        <v>36.262484999999998</v>
      </c>
      <c r="AC30" s="195">
        <v>56</v>
      </c>
      <c r="AD30" s="195">
        <v>65.173899999999989</v>
      </c>
    </row>
    <row r="31" spans="1:30" ht="20.149999999999999" customHeight="1" x14ac:dyDescent="0.35">
      <c r="A31" s="8"/>
      <c r="B31" s="13"/>
      <c r="D31" s="4"/>
      <c r="I31" s="147"/>
      <c r="K31" s="6"/>
      <c r="L31" s="6"/>
      <c r="M31" s="6"/>
      <c r="N31" s="6"/>
      <c r="O31" s="6"/>
      <c r="P31" s="6"/>
      <c r="Q31" s="6"/>
      <c r="R31" s="6"/>
      <c r="S31" s="15"/>
      <c r="U31" s="61">
        <v>34.725014999999999</v>
      </c>
      <c r="V31" s="61">
        <v>72.217399999999998</v>
      </c>
      <c r="W31" s="61">
        <v>4.9568341999999994</v>
      </c>
      <c r="X31" s="61">
        <v>15</v>
      </c>
      <c r="Y31" s="61">
        <v>71</v>
      </c>
      <c r="Z31" s="61"/>
      <c r="AA31" s="61"/>
      <c r="AB31" s="61">
        <v>34.725014999999999</v>
      </c>
      <c r="AC31" s="61">
        <v>71</v>
      </c>
      <c r="AD31" s="61">
        <v>72.217399999999998</v>
      </c>
    </row>
    <row r="32" spans="1:30" ht="20.149999999999999" customHeight="1" x14ac:dyDescent="0.35">
      <c r="A32" s="8"/>
      <c r="B32" s="13"/>
      <c r="G32" s="6"/>
      <c r="M32" s="6"/>
      <c r="N32" s="6"/>
      <c r="S32" s="15"/>
      <c r="U32" s="61">
        <v>35.249984999999995</v>
      </c>
      <c r="V32" s="61">
        <v>60.375</v>
      </c>
      <c r="W32" s="61">
        <v>12.541864</v>
      </c>
      <c r="X32" s="61">
        <v>16</v>
      </c>
      <c r="Y32" s="61">
        <v>81</v>
      </c>
      <c r="Z32" s="61"/>
      <c r="AA32" s="61"/>
      <c r="AB32" s="195">
        <v>35.249984999999995</v>
      </c>
      <c r="AC32" s="195">
        <v>81</v>
      </c>
      <c r="AD32" s="195">
        <v>60.375</v>
      </c>
    </row>
    <row r="33" spans="21:30" ht="20.149999999999999" customHeight="1" x14ac:dyDescent="0.35">
      <c r="U33" s="61">
        <v>32.925014999999995</v>
      </c>
      <c r="V33" s="61">
        <v>82.956500000000005</v>
      </c>
      <c r="W33" s="61">
        <v>3.5652710000000001</v>
      </c>
      <c r="X33" s="61">
        <v>9</v>
      </c>
      <c r="Y33" s="61">
        <v>62</v>
      </c>
      <c r="Z33" s="61"/>
      <c r="AA33" s="61"/>
      <c r="AB33" s="61">
        <v>32.925014999999995</v>
      </c>
      <c r="AC33" s="61">
        <v>62</v>
      </c>
      <c r="AD33" s="61">
        <v>82.956500000000005</v>
      </c>
    </row>
    <row r="34" spans="21:30" ht="20.149999999999999" customHeight="1" x14ac:dyDescent="0.35">
      <c r="U34" s="61">
        <v>31.95</v>
      </c>
      <c r="V34" s="61">
        <v>77.541700000000006</v>
      </c>
      <c r="W34" s="61">
        <v>17.708635999999998</v>
      </c>
      <c r="X34" s="61">
        <v>16</v>
      </c>
      <c r="Y34" s="61">
        <v>76</v>
      </c>
      <c r="Z34" s="61"/>
      <c r="AA34" s="61"/>
      <c r="AB34" s="195">
        <v>31.95</v>
      </c>
      <c r="AC34" s="195">
        <v>76</v>
      </c>
      <c r="AD34" s="195">
        <v>77.541700000000006</v>
      </c>
    </row>
    <row r="35" spans="21:30" ht="20.149999999999999" customHeight="1" x14ac:dyDescent="0.35">
      <c r="U35" s="61">
        <v>31.987485000000003</v>
      </c>
      <c r="V35" s="61">
        <v>43.782600000000002</v>
      </c>
      <c r="W35" s="61">
        <v>18.609383999999999</v>
      </c>
      <c r="X35" s="61">
        <v>20</v>
      </c>
      <c r="Y35" s="61">
        <v>77</v>
      </c>
      <c r="Z35" s="61"/>
      <c r="AA35" s="61"/>
      <c r="AB35" s="61">
        <v>31.987485000000003</v>
      </c>
      <c r="AC35" s="61">
        <v>77</v>
      </c>
      <c r="AD35" s="61">
        <v>43.782600000000002</v>
      </c>
    </row>
    <row r="36" spans="21:30" ht="20.149999999999999" customHeight="1" x14ac:dyDescent="0.35">
      <c r="U36" s="61">
        <v>32.250015000000005</v>
      </c>
      <c r="V36" s="61">
        <v>58.521699999999996</v>
      </c>
      <c r="W36" s="61">
        <v>8.565213</v>
      </c>
      <c r="X36" s="61">
        <v>30</v>
      </c>
      <c r="Y36" s="61">
        <v>55</v>
      </c>
      <c r="Z36" s="61"/>
      <c r="AA36" s="61"/>
      <c r="AB36" s="195">
        <v>32.250015000000005</v>
      </c>
      <c r="AC36" s="195">
        <v>55</v>
      </c>
      <c r="AD36" s="195">
        <v>58.521699999999996</v>
      </c>
    </row>
    <row r="37" spans="21:30" ht="20.149999999999999" customHeight="1" x14ac:dyDescent="0.35">
      <c r="U37" s="61">
        <v>33.412500000000001</v>
      </c>
      <c r="V37" s="61">
        <v>92.916699999999992</v>
      </c>
      <c r="W37" s="61">
        <v>10.792293000000001</v>
      </c>
      <c r="X37" s="61">
        <v>26</v>
      </c>
      <c r="Y37" s="61">
        <v>50</v>
      </c>
      <c r="Z37" s="61"/>
      <c r="AA37" s="61"/>
      <c r="AB37" s="61">
        <v>33.412500000000001</v>
      </c>
      <c r="AC37" s="61">
        <v>50</v>
      </c>
      <c r="AD37" s="61">
        <v>92.916699999999992</v>
      </c>
    </row>
    <row r="38" spans="21:30" ht="20.149999999999999" customHeight="1" x14ac:dyDescent="0.35">
      <c r="U38" s="61">
        <v>34.424999999999997</v>
      </c>
      <c r="V38" s="61">
        <v>56.833299999999994</v>
      </c>
      <c r="W38" s="61">
        <v>9.5006000000000004</v>
      </c>
      <c r="X38" s="61">
        <v>17</v>
      </c>
      <c r="Y38" s="61">
        <v>70</v>
      </c>
      <c r="Z38" s="61"/>
      <c r="AA38" s="61"/>
      <c r="AB38" s="195">
        <v>34.424999999999997</v>
      </c>
      <c r="AC38" s="195">
        <v>70</v>
      </c>
      <c r="AD38" s="195">
        <v>56.833299999999994</v>
      </c>
    </row>
    <row r="39" spans="21:30" ht="20.149999999999999" customHeight="1" x14ac:dyDescent="0.35">
      <c r="U39" s="61">
        <v>34.875</v>
      </c>
      <c r="V39" s="61">
        <v>73.833300000000008</v>
      </c>
      <c r="W39" s="61">
        <v>3.0423561000000001</v>
      </c>
      <c r="X39" s="61">
        <v>18</v>
      </c>
      <c r="Y39" s="61">
        <v>74</v>
      </c>
      <c r="Z39" s="61"/>
      <c r="AA39" s="61"/>
      <c r="AB39" s="61">
        <v>34.875</v>
      </c>
      <c r="AC39" s="61">
        <v>74</v>
      </c>
      <c r="AD39" s="61">
        <v>73.833300000000008</v>
      </c>
    </row>
    <row r="40" spans="21:30" ht="20.149999999999999" customHeight="1" x14ac:dyDescent="0.35">
      <c r="U40" s="61">
        <v>34.500014999999998</v>
      </c>
      <c r="V40" s="61">
        <v>53.791699999999999</v>
      </c>
      <c r="W40" s="61">
        <v>24.25065</v>
      </c>
      <c r="X40" s="61">
        <v>18</v>
      </c>
      <c r="Y40" s="61">
        <v>78</v>
      </c>
      <c r="Z40" s="61"/>
      <c r="AA40" s="61"/>
      <c r="AB40" s="195">
        <v>34.500014999999998</v>
      </c>
      <c r="AC40" s="195">
        <v>78</v>
      </c>
      <c r="AD40" s="195">
        <v>53.791699999999999</v>
      </c>
    </row>
    <row r="41" spans="21:30" ht="20.149999999999999" customHeight="1" x14ac:dyDescent="0.35">
      <c r="U41" s="61">
        <v>32.287500000000001</v>
      </c>
      <c r="V41" s="61">
        <v>49.478299999999997</v>
      </c>
      <c r="W41" s="61">
        <v>12.652213</v>
      </c>
      <c r="X41" s="61">
        <v>16</v>
      </c>
      <c r="Y41" s="61">
        <v>80</v>
      </c>
      <c r="Z41" s="61"/>
      <c r="AA41" s="61"/>
      <c r="AB41" s="61">
        <v>32.287500000000001</v>
      </c>
      <c r="AC41" s="61">
        <v>80</v>
      </c>
      <c r="AD41" s="61">
        <v>49.478299999999997</v>
      </c>
    </row>
    <row r="42" spans="21:30" ht="20.149999999999999" customHeight="1" x14ac:dyDescent="0.35">
      <c r="U42" s="61">
        <v>31.874984999999999</v>
      </c>
      <c r="V42" s="61">
        <v>43.739100000000001</v>
      </c>
      <c r="W42" s="61">
        <v>14.869645</v>
      </c>
      <c r="X42" s="61">
        <v>21</v>
      </c>
      <c r="Y42" s="61">
        <v>77</v>
      </c>
      <c r="Z42" s="61"/>
      <c r="AA42" s="61"/>
      <c r="AB42" s="195">
        <v>31.874984999999999</v>
      </c>
      <c r="AC42" s="195">
        <v>77</v>
      </c>
      <c r="AD42" s="195">
        <v>43.739100000000001</v>
      </c>
    </row>
    <row r="43" spans="21:30" ht="20.149999999999999" customHeight="1" x14ac:dyDescent="0.35">
      <c r="U43" s="61">
        <v>30.862485</v>
      </c>
      <c r="V43" s="61">
        <v>50.636400000000002</v>
      </c>
      <c r="W43" s="61">
        <v>7.2728499999999991</v>
      </c>
      <c r="X43" s="61">
        <v>30</v>
      </c>
      <c r="Y43" s="61">
        <v>53</v>
      </c>
      <c r="Z43" s="61"/>
      <c r="AA43" s="61"/>
      <c r="AB43" s="61">
        <v>30.862485</v>
      </c>
      <c r="AC43" s="61">
        <v>53</v>
      </c>
      <c r="AD43" s="61">
        <v>50.636400000000002</v>
      </c>
    </row>
    <row r="44" spans="21:30" ht="20.149999999999999" customHeight="1" x14ac:dyDescent="0.35">
      <c r="U44" s="61">
        <v>30.450015</v>
      </c>
      <c r="V44" s="61">
        <v>54.416699999999999</v>
      </c>
      <c r="W44" s="61">
        <v>13.625589</v>
      </c>
      <c r="X44" s="61">
        <v>27</v>
      </c>
      <c r="Y44" s="61">
        <v>50</v>
      </c>
      <c r="Z44" s="61"/>
      <c r="AA44" s="61"/>
      <c r="AB44" s="195">
        <v>30.450015</v>
      </c>
      <c r="AC44" s="195">
        <v>50</v>
      </c>
      <c r="AD44" s="195">
        <v>54.416699999999999</v>
      </c>
    </row>
    <row r="45" spans="21:30" ht="20.149999999999999" customHeight="1" x14ac:dyDescent="0.35">
      <c r="U45" s="61">
        <v>29.962485000000001</v>
      </c>
      <c r="V45" s="61">
        <v>45.739100000000001</v>
      </c>
      <c r="W45" s="61">
        <v>17.479160999999998</v>
      </c>
      <c r="X45" s="61">
        <v>16</v>
      </c>
      <c r="Y45" s="61">
        <v>71</v>
      </c>
      <c r="Z45" s="61"/>
      <c r="AA45" s="61"/>
      <c r="AB45" s="61">
        <v>29.962485000000001</v>
      </c>
      <c r="AC45" s="61">
        <v>71</v>
      </c>
      <c r="AD45" s="61">
        <v>45.739100000000001</v>
      </c>
    </row>
    <row r="46" spans="21:30" ht="20.149999999999999" customHeight="1" x14ac:dyDescent="0.35">
      <c r="U46" s="61">
        <v>31.537485</v>
      </c>
      <c r="V46" s="61">
        <v>37.583299999999994</v>
      </c>
      <c r="W46" s="61">
        <v>27.999835999999998</v>
      </c>
      <c r="X46" s="61">
        <v>14</v>
      </c>
      <c r="Y46" s="61">
        <v>80</v>
      </c>
      <c r="Z46" s="61"/>
      <c r="AA46" s="61"/>
      <c r="AB46" s="195">
        <v>31.537485</v>
      </c>
      <c r="AC46" s="195">
        <v>80</v>
      </c>
      <c r="AD46" s="195">
        <v>37.583299999999994</v>
      </c>
    </row>
    <row r="47" spans="21:30" ht="20.149999999999999" customHeight="1" x14ac:dyDescent="0.35">
      <c r="U47" s="61">
        <v>32.549985</v>
      </c>
      <c r="V47" s="61">
        <v>31.434800000000003</v>
      </c>
      <c r="W47" s="61">
        <v>19.522058000000001</v>
      </c>
      <c r="X47" s="61">
        <v>13</v>
      </c>
      <c r="Y47" s="61">
        <v>81</v>
      </c>
      <c r="Z47" s="61"/>
      <c r="AA47" s="61"/>
      <c r="AB47" s="61">
        <v>32.549985</v>
      </c>
      <c r="AC47" s="61">
        <v>81</v>
      </c>
      <c r="AD47" s="61">
        <v>31.434800000000003</v>
      </c>
    </row>
    <row r="48" spans="21:30" ht="20.149999999999999" customHeight="1" x14ac:dyDescent="0.35">
      <c r="U48" s="61">
        <v>32.025015000000003</v>
      </c>
      <c r="V48" s="61">
        <v>42.347799999999999</v>
      </c>
      <c r="W48" s="61">
        <v>16.869996999999998</v>
      </c>
      <c r="X48" s="61">
        <v>13</v>
      </c>
      <c r="Y48" s="61">
        <v>63</v>
      </c>
      <c r="Z48" s="61"/>
      <c r="AA48" s="61"/>
      <c r="AB48" s="195">
        <v>32.025015000000003</v>
      </c>
      <c r="AC48" s="195">
        <v>63</v>
      </c>
      <c r="AD48" s="195">
        <v>42.347799999999999</v>
      </c>
    </row>
    <row r="49" spans="1:30" ht="20.149999999999999" customHeight="1" x14ac:dyDescent="0.35">
      <c r="A49" s="8"/>
      <c r="B49" s="13"/>
      <c r="C49" s="6"/>
      <c r="D49" s="8"/>
      <c r="E49" s="6"/>
      <c r="F49" s="6"/>
      <c r="G49" s="6"/>
      <c r="H49" s="28"/>
      <c r="I49" s="6"/>
      <c r="J49" s="6"/>
      <c r="K49" s="6"/>
      <c r="L49" s="6"/>
      <c r="M49" s="29"/>
      <c r="N49" s="28"/>
      <c r="O49" s="29"/>
      <c r="P49" s="6"/>
      <c r="Q49" s="6"/>
      <c r="R49" s="6"/>
      <c r="S49" s="15"/>
      <c r="U49" s="61">
        <v>30.825000000000003</v>
      </c>
      <c r="V49" s="61">
        <v>50.5</v>
      </c>
      <c r="W49" s="61">
        <v>15.416968000000001</v>
      </c>
      <c r="X49" s="61">
        <v>16</v>
      </c>
      <c r="Y49" s="61">
        <v>67</v>
      </c>
      <c r="Z49" s="61"/>
      <c r="AA49" s="61"/>
      <c r="AB49" s="61">
        <v>30.825000000000003</v>
      </c>
      <c r="AC49" s="61">
        <v>67</v>
      </c>
      <c r="AD49" s="61">
        <v>50.5</v>
      </c>
    </row>
    <row r="50" spans="1:30" ht="20.149999999999999" customHeight="1" x14ac:dyDescent="0.35">
      <c r="A50" s="8"/>
      <c r="B50" s="13"/>
      <c r="C50" s="6"/>
      <c r="D50" s="8"/>
      <c r="E50" s="6"/>
      <c r="F50" s="6"/>
      <c r="G50" s="6"/>
      <c r="H50" s="28"/>
      <c r="I50" s="6"/>
      <c r="J50" s="6"/>
      <c r="K50" s="6"/>
      <c r="L50" s="6"/>
      <c r="M50" s="29"/>
      <c r="N50" s="28"/>
      <c r="O50" s="29"/>
      <c r="P50" s="6"/>
      <c r="Q50" s="6"/>
      <c r="R50" s="6"/>
      <c r="S50" s="15"/>
      <c r="U50" s="61">
        <v>31.387499999999999</v>
      </c>
      <c r="V50" s="61">
        <v>51.666699999999999</v>
      </c>
      <c r="W50" s="61">
        <v>17.749975000000003</v>
      </c>
      <c r="X50" s="61">
        <v>38</v>
      </c>
      <c r="Y50" s="61">
        <v>66</v>
      </c>
      <c r="Z50" s="61"/>
      <c r="AA50" s="61"/>
      <c r="AB50" s="195">
        <v>31.387499999999999</v>
      </c>
      <c r="AC50" s="195">
        <v>66</v>
      </c>
      <c r="AD50" s="195">
        <v>51.666699999999999</v>
      </c>
    </row>
    <row r="51" spans="1:30" ht="20.149999999999999" customHeight="1" x14ac:dyDescent="0.35">
      <c r="A51" s="8"/>
      <c r="B51" s="13"/>
      <c r="C51" s="6"/>
      <c r="D51" s="8"/>
      <c r="E51" s="6"/>
      <c r="F51" s="6"/>
      <c r="G51" s="28"/>
      <c r="H51" s="28"/>
      <c r="I51" s="6"/>
      <c r="J51" s="6"/>
      <c r="K51" s="6"/>
      <c r="L51" s="6"/>
      <c r="M51" s="29"/>
      <c r="N51" s="28"/>
      <c r="O51" s="29"/>
      <c r="P51" s="6"/>
      <c r="Q51" s="6"/>
      <c r="R51" s="6"/>
      <c r="S51" s="15"/>
      <c r="U51" s="61">
        <v>31.987485000000003</v>
      </c>
      <c r="V51" s="61">
        <v>18.791699999999999</v>
      </c>
      <c r="W51" s="61">
        <v>34.000020999999997</v>
      </c>
      <c r="X51" s="61">
        <v>25</v>
      </c>
      <c r="Y51" s="61">
        <v>52</v>
      </c>
      <c r="Z51" s="61"/>
      <c r="AA51" s="61"/>
      <c r="AB51" s="61">
        <v>31.987485000000003</v>
      </c>
      <c r="AC51" s="61">
        <v>52</v>
      </c>
      <c r="AD51" s="61">
        <v>18.791699999999999</v>
      </c>
    </row>
    <row r="52" spans="1:30" ht="20.149999999999999" customHeight="1" thickBot="1" x14ac:dyDescent="0.4">
      <c r="A52" s="8"/>
      <c r="B52" s="17"/>
      <c r="C52" s="18"/>
      <c r="D52" s="19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20"/>
      <c r="U52" s="61">
        <v>31.125015000000001</v>
      </c>
      <c r="V52" s="61">
        <v>40.782600000000002</v>
      </c>
      <c r="W52" s="61">
        <v>14.956745</v>
      </c>
      <c r="X52" s="61">
        <v>17</v>
      </c>
      <c r="Y52" s="61">
        <v>79</v>
      </c>
      <c r="Z52" s="61"/>
      <c r="AA52" s="61"/>
      <c r="AB52" s="195">
        <v>31.125015000000001</v>
      </c>
      <c r="AC52" s="195">
        <v>79</v>
      </c>
      <c r="AD52" s="195">
        <v>40.782600000000002</v>
      </c>
    </row>
    <row r="53" spans="1:30" ht="20.149999999999999" customHeight="1" x14ac:dyDescent="0.35">
      <c r="A53" s="8"/>
      <c r="B53" s="8"/>
      <c r="C53" s="6"/>
      <c r="D53" s="8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U53" s="61">
        <v>28.837485000000001</v>
      </c>
      <c r="V53" s="61">
        <v>60.5</v>
      </c>
      <c r="W53" s="61">
        <v>20.625682000000001</v>
      </c>
      <c r="X53" s="61">
        <v>26</v>
      </c>
      <c r="Y53" s="61">
        <v>92</v>
      </c>
      <c r="Z53" s="61"/>
      <c r="AA53" s="61"/>
      <c r="AB53" s="61">
        <v>28.837485000000001</v>
      </c>
      <c r="AC53" s="61">
        <v>92</v>
      </c>
      <c r="AD53" s="61">
        <v>60.5</v>
      </c>
    </row>
    <row r="54" spans="1:30" ht="20.149999999999999" customHeight="1" x14ac:dyDescent="0.35">
      <c r="A54" s="3" t="s">
        <v>6</v>
      </c>
      <c r="B54" s="3"/>
      <c r="C54" s="6"/>
      <c r="D54" s="5" t="s">
        <v>7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7"/>
      <c r="U54" s="61">
        <v>30.299985</v>
      </c>
      <c r="V54" s="61">
        <v>57.777799999999999</v>
      </c>
      <c r="W54" s="61">
        <v>13.110761</v>
      </c>
      <c r="X54" s="61">
        <v>19</v>
      </c>
      <c r="Y54" s="61">
        <v>84</v>
      </c>
      <c r="Z54" s="61"/>
      <c r="AA54" s="61"/>
      <c r="AB54" s="195">
        <v>30.299985</v>
      </c>
      <c r="AC54" s="195">
        <v>84</v>
      </c>
      <c r="AD54" s="195">
        <v>57.777799999999999</v>
      </c>
    </row>
    <row r="55" spans="1:30" ht="20.149999999999999" customHeight="1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199">
        <v>30.787514999999999</v>
      </c>
      <c r="V55" s="199">
        <v>42.304299999999998</v>
      </c>
      <c r="W55" s="199">
        <v>6.3055710000000005</v>
      </c>
      <c r="X55" s="199">
        <v>9</v>
      </c>
      <c r="Y55" s="199">
        <v>62</v>
      </c>
      <c r="Z55" s="199"/>
      <c r="AA55" s="199"/>
      <c r="AB55" s="199">
        <v>30.787514999999999</v>
      </c>
      <c r="AC55" s="199">
        <v>62</v>
      </c>
      <c r="AD55" s="199">
        <v>42.304299999999998</v>
      </c>
    </row>
    <row r="56" spans="1:30" ht="20.149999999999999" customHeight="1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199">
        <v>31.499999999999996</v>
      </c>
      <c r="V56" s="199">
        <v>69.739099999999993</v>
      </c>
      <c r="W56" s="199">
        <v>16.783231999999998</v>
      </c>
      <c r="X56" s="199">
        <v>15</v>
      </c>
      <c r="Y56" s="199">
        <v>78</v>
      </c>
      <c r="Z56" s="199"/>
      <c r="AA56" s="199"/>
      <c r="AB56" s="200">
        <v>31.499999999999996</v>
      </c>
      <c r="AC56" s="200">
        <v>78</v>
      </c>
      <c r="AD56" s="200">
        <v>69.739099999999993</v>
      </c>
    </row>
    <row r="57" spans="1:30" ht="20.149999999999999" customHeight="1" x14ac:dyDescent="0.3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199">
        <v>30.6</v>
      </c>
      <c r="V57" s="199">
        <v>71.217399999999998</v>
      </c>
      <c r="W57" s="199">
        <v>23.218112999999999</v>
      </c>
      <c r="X57" s="199">
        <v>5</v>
      </c>
      <c r="Y57" s="199">
        <v>18</v>
      </c>
      <c r="Z57" s="199"/>
      <c r="AA57" s="199"/>
      <c r="AB57" s="199">
        <v>30.6</v>
      </c>
      <c r="AC57" s="199">
        <v>18</v>
      </c>
      <c r="AD57" s="199">
        <v>71.217399999999998</v>
      </c>
    </row>
    <row r="58" spans="1:30" ht="20.149999999999999" customHeight="1" x14ac:dyDescent="0.3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199">
        <v>31.817654999999998</v>
      </c>
      <c r="V58" s="199">
        <v>53.791699999999999</v>
      </c>
      <c r="W58" s="199">
        <v>12.500257</v>
      </c>
      <c r="X58" s="199">
        <v>28</v>
      </c>
      <c r="Y58" s="199">
        <v>58</v>
      </c>
      <c r="Z58" s="199"/>
      <c r="AA58" s="199"/>
      <c r="AB58" s="200">
        <v>31.817654999999998</v>
      </c>
      <c r="AC58" s="200">
        <v>58</v>
      </c>
      <c r="AD58" s="200">
        <v>53.791699999999999</v>
      </c>
    </row>
    <row r="59" spans="1:30" ht="20.149999999999999" customHeight="1" x14ac:dyDescent="0.3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199">
        <v>28.650015</v>
      </c>
      <c r="V59" s="199">
        <v>68</v>
      </c>
      <c r="W59" s="199">
        <v>8.3916159999999991</v>
      </c>
      <c r="X59" s="199">
        <v>15</v>
      </c>
      <c r="Y59" s="199">
        <v>78</v>
      </c>
      <c r="Z59" s="199"/>
      <c r="AA59" s="199"/>
      <c r="AB59" s="199">
        <v>28.650015</v>
      </c>
      <c r="AC59" s="199">
        <v>78</v>
      </c>
      <c r="AD59" s="199">
        <v>68</v>
      </c>
    </row>
    <row r="60" spans="1:30" ht="20.149999999999999" customHeight="1" x14ac:dyDescent="0.3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199">
        <v>28.762515</v>
      </c>
      <c r="V60" s="199">
        <v>87.636400000000009</v>
      </c>
      <c r="W60" s="199">
        <v>19.408961999999999</v>
      </c>
      <c r="X60" s="199">
        <v>16</v>
      </c>
      <c r="Y60" s="199">
        <v>89</v>
      </c>
      <c r="Z60" s="199"/>
      <c r="AA60" s="199"/>
      <c r="AB60" s="200">
        <v>28.762515</v>
      </c>
      <c r="AC60" s="200">
        <v>89</v>
      </c>
      <c r="AD60" s="200">
        <v>87.636400000000009</v>
      </c>
    </row>
    <row r="61" spans="1:30" ht="20.149999999999999" customHeight="1" x14ac:dyDescent="0.3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199">
        <v>29.550014999999998</v>
      </c>
      <c r="V61" s="199">
        <v>53.5</v>
      </c>
      <c r="W61" s="199">
        <v>14.500475</v>
      </c>
      <c r="X61" s="199">
        <v>14</v>
      </c>
      <c r="Y61" s="199">
        <v>87</v>
      </c>
      <c r="Z61" s="199"/>
      <c r="AA61" s="199"/>
      <c r="AB61" s="199">
        <v>29.550014999999998</v>
      </c>
      <c r="AC61" s="199">
        <v>87</v>
      </c>
      <c r="AD61" s="199">
        <v>53.5</v>
      </c>
    </row>
    <row r="62" spans="1:30" ht="20.149999999999999" customHeigh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199">
        <v>29.475000000000001</v>
      </c>
      <c r="V62" s="199">
        <v>44.958300000000001</v>
      </c>
      <c r="W62" s="199">
        <v>20.624811000000001</v>
      </c>
      <c r="X62" s="199">
        <v>16</v>
      </c>
      <c r="Y62" s="199">
        <v>87</v>
      </c>
      <c r="Z62" s="199"/>
      <c r="AA62" s="199"/>
      <c r="AB62" s="200">
        <v>29.475000000000001</v>
      </c>
      <c r="AC62" s="200">
        <v>87</v>
      </c>
      <c r="AD62" s="200">
        <v>44.958300000000001</v>
      </c>
    </row>
    <row r="63" spans="1:30" ht="20.149999999999999" customHeight="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199">
        <v>28.949985000000002</v>
      </c>
      <c r="V63" s="199">
        <v>31.833299999999998</v>
      </c>
      <c r="W63" s="199">
        <v>15.125518000000001</v>
      </c>
      <c r="X63" s="199">
        <v>18</v>
      </c>
      <c r="Y63" s="199">
        <v>77</v>
      </c>
      <c r="Z63" s="199"/>
      <c r="AA63" s="199"/>
      <c r="AB63" s="199">
        <v>28.949985000000002</v>
      </c>
      <c r="AC63" s="199">
        <v>77</v>
      </c>
      <c r="AD63" s="199">
        <v>31.833299999999998</v>
      </c>
    </row>
    <row r="64" spans="1:30" ht="20.149999999999999" customHeight="1" x14ac:dyDescent="0.3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199">
        <v>30.112514999999998</v>
      </c>
      <c r="V64" s="199">
        <v>61.041699999999999</v>
      </c>
      <c r="W64" s="199">
        <v>13.624181999999999</v>
      </c>
      <c r="X64" s="199">
        <v>39</v>
      </c>
      <c r="Y64" s="199">
        <v>51</v>
      </c>
      <c r="Z64" s="199"/>
      <c r="AA64" s="199"/>
      <c r="AB64" s="200">
        <v>30.112514999999998</v>
      </c>
      <c r="AC64" s="200">
        <v>51</v>
      </c>
      <c r="AD64" s="200">
        <v>61.041699999999999</v>
      </c>
    </row>
    <row r="65" spans="21:30" ht="20.149999999999999" customHeight="1" x14ac:dyDescent="0.35">
      <c r="U65" s="199">
        <v>31.912514999999999</v>
      </c>
      <c r="V65" s="199">
        <v>78.916699999999992</v>
      </c>
      <c r="W65" s="199">
        <v>16.875357000000001</v>
      </c>
      <c r="X65" s="199">
        <v>50</v>
      </c>
      <c r="Y65" s="199">
        <v>48</v>
      </c>
      <c r="Z65" s="199"/>
      <c r="AA65" s="199"/>
      <c r="AB65" s="199">
        <v>31.912514999999999</v>
      </c>
      <c r="AC65" s="199">
        <v>48</v>
      </c>
      <c r="AD65" s="199">
        <v>78.916699999999992</v>
      </c>
    </row>
    <row r="66" spans="21:30" ht="20.149999999999999" customHeight="1" x14ac:dyDescent="0.35">
      <c r="U66" s="199">
        <v>30.299985</v>
      </c>
      <c r="V66" s="199">
        <v>94.826099999999997</v>
      </c>
      <c r="W66" s="199">
        <v>23.000229000000001</v>
      </c>
      <c r="X66" s="199">
        <v>25</v>
      </c>
      <c r="Y66" s="199">
        <v>42</v>
      </c>
      <c r="Z66" s="199"/>
      <c r="AA66" s="199"/>
      <c r="AB66" s="200">
        <v>30.299985</v>
      </c>
      <c r="AC66" s="200">
        <v>42</v>
      </c>
      <c r="AD66" s="200">
        <v>94.826099999999997</v>
      </c>
    </row>
    <row r="67" spans="21:30" ht="20.149999999999999" customHeight="1" x14ac:dyDescent="0.35">
      <c r="U67" s="199">
        <v>24.3</v>
      </c>
      <c r="V67" s="199">
        <v>55.130400000000002</v>
      </c>
      <c r="W67" s="199">
        <v>22.870584000000001</v>
      </c>
      <c r="X67" s="199">
        <v>4</v>
      </c>
      <c r="Y67" s="199">
        <v>50</v>
      </c>
      <c r="Z67" s="199"/>
      <c r="AA67" s="199"/>
      <c r="AB67" s="199">
        <v>24.3</v>
      </c>
      <c r="AC67" s="199">
        <v>50</v>
      </c>
      <c r="AD67" s="199">
        <v>55.130400000000002</v>
      </c>
    </row>
    <row r="68" spans="21:30" ht="20.149999999999999" customHeight="1" x14ac:dyDescent="0.35">
      <c r="U68" s="199">
        <v>26.962515</v>
      </c>
      <c r="V68" s="199">
        <v>42.083300000000001</v>
      </c>
      <c r="W68" s="199">
        <v>8.0835499999999989</v>
      </c>
      <c r="X68" s="199">
        <v>2</v>
      </c>
      <c r="Y68" s="199">
        <v>38</v>
      </c>
      <c r="Z68" s="199"/>
      <c r="AA68" s="199"/>
      <c r="AB68" s="200">
        <v>26.962515</v>
      </c>
      <c r="AC68" s="200">
        <v>38</v>
      </c>
      <c r="AD68" s="200">
        <v>42.083300000000001</v>
      </c>
    </row>
    <row r="69" spans="21:30" ht="20.149999999999999" customHeight="1" x14ac:dyDescent="0.35">
      <c r="U69" s="199">
        <v>28.526084999999998</v>
      </c>
      <c r="V69" s="199">
        <v>77.541700000000006</v>
      </c>
      <c r="W69" s="199">
        <v>14.750050000000002</v>
      </c>
      <c r="X69" s="199">
        <v>3</v>
      </c>
      <c r="Y69" s="199">
        <v>34</v>
      </c>
      <c r="Z69" s="199"/>
      <c r="AA69" s="199"/>
      <c r="AB69" s="199">
        <v>28.526084999999998</v>
      </c>
      <c r="AC69" s="199">
        <v>34</v>
      </c>
      <c r="AD69" s="199">
        <v>77.541700000000006</v>
      </c>
    </row>
    <row r="70" spans="21:30" ht="20.149999999999999" customHeight="1" x14ac:dyDescent="0.35">
      <c r="U70" s="199">
        <v>29.25</v>
      </c>
      <c r="V70" s="199">
        <v>0</v>
      </c>
      <c r="W70" s="199">
        <v>17.545759</v>
      </c>
      <c r="X70" s="199">
        <v>8</v>
      </c>
      <c r="Y70" s="199">
        <v>63</v>
      </c>
      <c r="Z70" s="199"/>
      <c r="AA70" s="199"/>
      <c r="AB70" s="200">
        <v>29.25</v>
      </c>
      <c r="AC70" s="200">
        <v>63</v>
      </c>
      <c r="AD70" s="200">
        <v>0</v>
      </c>
    </row>
    <row r="71" spans="21:30" ht="20.149999999999999" customHeight="1" x14ac:dyDescent="0.35">
      <c r="U71" s="199">
        <v>29.700000000000003</v>
      </c>
      <c r="V71" s="199">
        <v>64.956499999999991</v>
      </c>
      <c r="W71" s="199">
        <v>15.60899</v>
      </c>
      <c r="X71" s="199">
        <v>35</v>
      </c>
      <c r="Y71" s="199">
        <v>72</v>
      </c>
      <c r="Z71" s="199"/>
      <c r="AA71" s="199"/>
      <c r="AB71" s="199">
        <v>29.700000000000003</v>
      </c>
      <c r="AC71" s="199">
        <v>72</v>
      </c>
      <c r="AD71" s="199">
        <v>64.956499999999991</v>
      </c>
    </row>
    <row r="72" spans="21:30" ht="20.149999999999999" customHeight="1" x14ac:dyDescent="0.35">
      <c r="U72" s="199">
        <v>29.399985000000001</v>
      </c>
      <c r="V72" s="199">
        <v>59.458299999999994</v>
      </c>
      <c r="W72" s="199">
        <v>14.791924999999999</v>
      </c>
      <c r="X72" s="199">
        <v>33</v>
      </c>
      <c r="Y72" s="199">
        <v>68</v>
      </c>
      <c r="Z72" s="199"/>
      <c r="AA72" s="199"/>
      <c r="AB72" s="200">
        <v>29.399985000000001</v>
      </c>
      <c r="AC72" s="200">
        <v>68</v>
      </c>
      <c r="AD72" s="200">
        <v>59.458299999999994</v>
      </c>
    </row>
    <row r="73" spans="21:30" ht="20.149999999999999" customHeight="1" x14ac:dyDescent="0.35">
      <c r="U73" s="199">
        <v>28.995660000000001</v>
      </c>
      <c r="V73" s="199">
        <v>52.739100000000008</v>
      </c>
      <c r="W73" s="199">
        <v>18.130468</v>
      </c>
      <c r="X73" s="199">
        <v>14</v>
      </c>
      <c r="Y73" s="199">
        <v>80</v>
      </c>
      <c r="Z73" s="199"/>
      <c r="AA73" s="199"/>
      <c r="AB73" s="199">
        <v>28.995660000000001</v>
      </c>
      <c r="AC73" s="199">
        <v>80</v>
      </c>
      <c r="AD73" s="199">
        <v>52.739100000000008</v>
      </c>
    </row>
    <row r="74" spans="21:30" ht="20.149999999999999" customHeight="1" x14ac:dyDescent="0.35">
      <c r="U74" s="199">
        <v>29.287485</v>
      </c>
      <c r="V74" s="199">
        <v>49.695699999999995</v>
      </c>
      <c r="W74" s="199">
        <v>9.174042</v>
      </c>
      <c r="X74" s="199">
        <v>14</v>
      </c>
      <c r="Y74" s="199">
        <v>81</v>
      </c>
      <c r="Z74" s="199"/>
      <c r="AA74" s="199"/>
      <c r="AB74" s="200">
        <v>29.287485</v>
      </c>
      <c r="AC74" s="200">
        <v>81</v>
      </c>
      <c r="AD74" s="200">
        <v>49.695699999999995</v>
      </c>
    </row>
    <row r="75" spans="21:30" ht="20.149999999999999" customHeight="1" x14ac:dyDescent="0.35">
      <c r="U75" s="199">
        <v>30.299985</v>
      </c>
      <c r="V75" s="199">
        <v>65.565200000000004</v>
      </c>
      <c r="W75" s="199">
        <v>12.348703</v>
      </c>
      <c r="X75" s="199">
        <v>13</v>
      </c>
      <c r="Y75" s="199">
        <v>83</v>
      </c>
      <c r="Z75" s="199"/>
      <c r="AA75" s="199"/>
      <c r="AB75" s="199">
        <v>30.299985</v>
      </c>
      <c r="AC75" s="199">
        <v>83</v>
      </c>
      <c r="AD75" s="199">
        <v>65.565200000000004</v>
      </c>
    </row>
    <row r="76" spans="21:30" ht="20.149999999999999" customHeight="1" x14ac:dyDescent="0.35">
      <c r="U76" s="199">
        <v>25.987500000000001</v>
      </c>
      <c r="V76" s="199">
        <v>77.652200000000008</v>
      </c>
      <c r="W76" s="199">
        <v>13.608839</v>
      </c>
      <c r="X76" s="199">
        <v>9</v>
      </c>
      <c r="Y76" s="199">
        <v>65</v>
      </c>
      <c r="Z76" s="199"/>
      <c r="AA76" s="199"/>
      <c r="AB76" s="200">
        <v>25.987500000000001</v>
      </c>
      <c r="AC76" s="200">
        <v>65</v>
      </c>
      <c r="AD76" s="200">
        <v>77.652200000000008</v>
      </c>
    </row>
    <row r="77" spans="21:30" ht="20.149999999999999" customHeight="1" x14ac:dyDescent="0.35">
      <c r="U77" s="199">
        <v>21.112514999999998</v>
      </c>
      <c r="V77" s="199">
        <v>60.291700000000006</v>
      </c>
      <c r="W77" s="199">
        <v>14.041792999999998</v>
      </c>
      <c r="X77" s="199">
        <v>15</v>
      </c>
      <c r="Y77" s="199">
        <v>80</v>
      </c>
      <c r="Z77" s="199"/>
      <c r="AA77" s="199"/>
      <c r="AB77" s="199">
        <v>21.112514999999998</v>
      </c>
      <c r="AC77" s="199">
        <v>80</v>
      </c>
      <c r="AD77" s="199">
        <v>60.291700000000006</v>
      </c>
    </row>
    <row r="78" spans="21:30" ht="20.149999999999999" customHeight="1" x14ac:dyDescent="0.35">
      <c r="U78" s="199">
        <v>22.125015000000001</v>
      </c>
      <c r="V78" s="199">
        <v>52.521700000000003</v>
      </c>
      <c r="W78" s="199">
        <v>15.478139000000001</v>
      </c>
      <c r="X78" s="199">
        <v>29</v>
      </c>
      <c r="Y78" s="199">
        <v>62</v>
      </c>
      <c r="Z78" s="199"/>
      <c r="AA78" s="199"/>
      <c r="AB78" s="200">
        <v>22.125015000000001</v>
      </c>
      <c r="AC78" s="200">
        <v>62</v>
      </c>
      <c r="AD78" s="200">
        <v>52.521700000000003</v>
      </c>
    </row>
    <row r="79" spans="21:30" ht="20.149999999999999" customHeight="1" x14ac:dyDescent="0.35">
      <c r="U79" s="199">
        <v>22.837499999999999</v>
      </c>
      <c r="V79" s="199">
        <v>37.916699999999999</v>
      </c>
      <c r="W79" s="199">
        <v>24.667189</v>
      </c>
      <c r="X79" s="199">
        <v>27</v>
      </c>
      <c r="Y79" s="199">
        <v>58</v>
      </c>
      <c r="Z79" s="199"/>
      <c r="AA79" s="199"/>
      <c r="AB79" s="199">
        <v>22.837499999999999</v>
      </c>
      <c r="AC79" s="199">
        <v>58</v>
      </c>
      <c r="AD79" s="199">
        <v>37.916699999999999</v>
      </c>
    </row>
    <row r="80" spans="21:30" ht="20.149999999999999" customHeight="1" x14ac:dyDescent="0.35">
      <c r="U80" s="199">
        <v>24.712515</v>
      </c>
      <c r="V80" s="199">
        <v>47.375</v>
      </c>
      <c r="W80" s="199">
        <v>13.917306999999999</v>
      </c>
      <c r="X80" s="199">
        <v>14</v>
      </c>
      <c r="Y80" s="199">
        <v>77</v>
      </c>
      <c r="Z80" s="199"/>
      <c r="AA80" s="199"/>
      <c r="AB80" s="200">
        <v>24.712515</v>
      </c>
      <c r="AC80" s="200">
        <v>77</v>
      </c>
      <c r="AD80" s="200">
        <v>47.375</v>
      </c>
    </row>
    <row r="81" spans="21:30" ht="20.149999999999999" customHeight="1" x14ac:dyDescent="0.35">
      <c r="U81" s="199">
        <v>25.275015</v>
      </c>
      <c r="V81" s="199">
        <v>73.739100000000008</v>
      </c>
      <c r="W81" s="199">
        <v>19.348461</v>
      </c>
      <c r="X81" s="199">
        <v>9</v>
      </c>
      <c r="Y81" s="199">
        <v>64</v>
      </c>
      <c r="Z81" s="199"/>
      <c r="AA81" s="199"/>
      <c r="AB81" s="199">
        <v>25.275015</v>
      </c>
      <c r="AC81" s="199">
        <v>64</v>
      </c>
      <c r="AD81" s="199">
        <v>73.739100000000008</v>
      </c>
    </row>
    <row r="82" spans="21:30" ht="20.149999999999999" customHeight="1" x14ac:dyDescent="0.35">
      <c r="U82" s="199">
        <v>26.774999999999999</v>
      </c>
      <c r="V82" s="199">
        <v>62.458300000000001</v>
      </c>
      <c r="W82" s="199">
        <v>15.125250000000001</v>
      </c>
      <c r="X82" s="199">
        <v>11</v>
      </c>
      <c r="Y82" s="199">
        <v>76</v>
      </c>
      <c r="Z82" s="199"/>
      <c r="AA82" s="199"/>
      <c r="AB82" s="200">
        <v>26.774999999999999</v>
      </c>
      <c r="AC82" s="200">
        <v>76</v>
      </c>
      <c r="AD82" s="200">
        <v>62.458300000000001</v>
      </c>
    </row>
    <row r="83" spans="21:30" ht="20.149999999999999" customHeight="1" x14ac:dyDescent="0.35">
      <c r="U83" s="199">
        <v>28.274985000000001</v>
      </c>
      <c r="V83" s="199">
        <v>83.956500000000005</v>
      </c>
      <c r="W83" s="199">
        <v>15.695487</v>
      </c>
      <c r="X83" s="199">
        <v>11</v>
      </c>
      <c r="Y83" s="199">
        <v>85</v>
      </c>
      <c r="Z83" s="199"/>
      <c r="AA83" s="199"/>
      <c r="AB83" s="199">
        <v>28.274985000000001</v>
      </c>
      <c r="AC83" s="199">
        <v>85</v>
      </c>
      <c r="AD83" s="199">
        <v>83.956500000000005</v>
      </c>
    </row>
    <row r="84" spans="21:30" ht="20.149999999999999" customHeight="1" x14ac:dyDescent="0.35">
      <c r="U84" s="199">
        <v>27.412514999999999</v>
      </c>
      <c r="V84" s="199">
        <v>80.583300000000008</v>
      </c>
      <c r="W84" s="199">
        <v>16.333729000000002</v>
      </c>
      <c r="X84" s="199">
        <v>5</v>
      </c>
      <c r="Y84" s="199">
        <v>43</v>
      </c>
      <c r="Z84" s="199"/>
      <c r="AA84" s="199"/>
      <c r="AB84" s="200">
        <v>27.412514999999999</v>
      </c>
      <c r="AC84" s="200">
        <v>43</v>
      </c>
      <c r="AD84" s="200">
        <v>80.583300000000008</v>
      </c>
    </row>
    <row r="85" spans="21:30" ht="20.149999999999999" customHeight="1" x14ac:dyDescent="0.35">
      <c r="U85" s="199">
        <v>27.300014999999998</v>
      </c>
      <c r="V85" s="199">
        <v>49.5</v>
      </c>
      <c r="W85" s="199">
        <v>15.458575000000002</v>
      </c>
      <c r="X85" s="199">
        <v>36</v>
      </c>
      <c r="Y85" s="199">
        <v>73</v>
      </c>
      <c r="Z85" s="199"/>
      <c r="AA85" s="199"/>
      <c r="AB85" s="199">
        <v>27.300014999999998</v>
      </c>
      <c r="AC85" s="199">
        <v>73</v>
      </c>
      <c r="AD85" s="199">
        <v>49.5</v>
      </c>
    </row>
    <row r="86" spans="21:30" ht="20.149999999999999" customHeight="1" x14ac:dyDescent="0.35">
      <c r="U86" s="199">
        <v>28.537515000000003</v>
      </c>
      <c r="V86" s="199">
        <v>39.416699999999999</v>
      </c>
      <c r="W86" s="199">
        <v>14.041257</v>
      </c>
      <c r="X86" s="199">
        <v>31</v>
      </c>
      <c r="Y86" s="199">
        <v>69</v>
      </c>
      <c r="Z86" s="199"/>
      <c r="AA86" s="199"/>
      <c r="AB86" s="200">
        <v>28.537515000000003</v>
      </c>
      <c r="AC86" s="200">
        <v>69</v>
      </c>
      <c r="AD86" s="200">
        <v>39.416699999999999</v>
      </c>
    </row>
    <row r="87" spans="21:30" ht="20.149999999999999" customHeight="1" x14ac:dyDescent="0.35">
      <c r="U87" s="199">
        <v>29.212515000000003</v>
      </c>
      <c r="V87" s="199">
        <v>49.391300000000001</v>
      </c>
      <c r="W87" s="199">
        <v>12.348099999999999</v>
      </c>
      <c r="X87" s="199">
        <v>14</v>
      </c>
      <c r="Y87" s="199">
        <v>79</v>
      </c>
      <c r="Z87" s="199"/>
      <c r="AA87" s="199"/>
      <c r="AB87" s="199">
        <v>29.212515000000003</v>
      </c>
      <c r="AC87" s="199">
        <v>79</v>
      </c>
      <c r="AD87" s="199">
        <v>49.391300000000001</v>
      </c>
    </row>
    <row r="88" spans="21:30" ht="20.149999999999999" customHeight="1" x14ac:dyDescent="0.35">
      <c r="U88" s="199">
        <v>28.650015</v>
      </c>
      <c r="V88" s="199">
        <v>30.217400000000001</v>
      </c>
      <c r="W88" s="199">
        <v>14.217668</v>
      </c>
      <c r="X88" s="199">
        <v>10</v>
      </c>
      <c r="Y88" s="199">
        <v>73</v>
      </c>
      <c r="Z88" s="199"/>
      <c r="AA88" s="199"/>
      <c r="AB88" s="200">
        <v>28.650015</v>
      </c>
      <c r="AC88" s="200">
        <v>73</v>
      </c>
      <c r="AD88" s="200">
        <v>30.217400000000001</v>
      </c>
    </row>
    <row r="89" spans="21:30" ht="20.149999999999999" customHeight="1" x14ac:dyDescent="0.35">
      <c r="U89" s="199">
        <v>28.574999999999999</v>
      </c>
      <c r="V89" s="199">
        <v>31.416699999999999</v>
      </c>
      <c r="W89" s="199">
        <v>15.208731999999999</v>
      </c>
      <c r="X89" s="199">
        <v>10</v>
      </c>
      <c r="Y89" s="199">
        <v>69</v>
      </c>
      <c r="Z89" s="199"/>
      <c r="AA89" s="199"/>
      <c r="AB89" s="199">
        <v>28.574999999999999</v>
      </c>
      <c r="AC89" s="199">
        <v>69</v>
      </c>
      <c r="AD89" s="199">
        <v>31.416699999999999</v>
      </c>
    </row>
    <row r="90" spans="21:30" ht="20.149999999999999" customHeight="1" x14ac:dyDescent="0.35">
      <c r="U90" s="199">
        <v>27.750014999999998</v>
      </c>
      <c r="V90" s="199">
        <v>64.666700000000006</v>
      </c>
      <c r="W90" s="199">
        <v>11.583495999999998</v>
      </c>
      <c r="X90" s="199">
        <v>13</v>
      </c>
      <c r="Y90" s="199">
        <v>84</v>
      </c>
      <c r="Z90" s="199"/>
      <c r="AA90" s="199"/>
      <c r="AB90" s="200">
        <v>27.750014999999998</v>
      </c>
      <c r="AC90" s="200">
        <v>84</v>
      </c>
      <c r="AD90" s="200">
        <v>64.666700000000006</v>
      </c>
    </row>
    <row r="91" spans="21:30" ht="20.149999999999999" customHeight="1" x14ac:dyDescent="0.35">
      <c r="U91" s="199">
        <v>25.387515</v>
      </c>
      <c r="V91" s="199">
        <v>91.833299999999994</v>
      </c>
      <c r="W91" s="199">
        <v>14.582282000000001</v>
      </c>
      <c r="X91" s="199">
        <v>17</v>
      </c>
      <c r="Y91" s="199">
        <v>87</v>
      </c>
      <c r="Z91" s="199"/>
      <c r="AA91" s="199"/>
      <c r="AB91" s="199">
        <v>25.387515</v>
      </c>
      <c r="AC91" s="199">
        <v>87</v>
      </c>
      <c r="AD91" s="199">
        <v>91.833299999999994</v>
      </c>
    </row>
    <row r="92" spans="21:30" ht="20.149999999999999" customHeight="1" x14ac:dyDescent="0.35">
      <c r="U92" s="199">
        <v>18.45</v>
      </c>
      <c r="V92" s="199">
        <v>68.625</v>
      </c>
      <c r="W92" s="199">
        <v>17.333435999999999</v>
      </c>
      <c r="X92" s="199">
        <v>10</v>
      </c>
      <c r="Y92" s="199">
        <v>39</v>
      </c>
      <c r="Z92" s="199"/>
      <c r="AA92" s="199"/>
      <c r="AB92" s="200">
        <v>18.45</v>
      </c>
      <c r="AC92" s="200">
        <v>39</v>
      </c>
      <c r="AD92" s="200">
        <v>68.625</v>
      </c>
    </row>
    <row r="93" spans="21:30" ht="20.149999999999999" customHeight="1" x14ac:dyDescent="0.35">
      <c r="U93" s="199">
        <v>16.050015000000002</v>
      </c>
      <c r="V93" s="199">
        <v>65.375</v>
      </c>
      <c r="W93" s="199">
        <v>13.208781999999999</v>
      </c>
      <c r="X93" s="199">
        <v>12</v>
      </c>
      <c r="Y93" s="199">
        <v>46</v>
      </c>
      <c r="Z93" s="199"/>
      <c r="AA93" s="199"/>
      <c r="AB93" s="199">
        <v>16.050015000000002</v>
      </c>
      <c r="AC93" s="199">
        <v>46</v>
      </c>
      <c r="AD93" s="199">
        <v>65.375</v>
      </c>
    </row>
    <row r="94" spans="21:30" ht="20.149999999999999" customHeight="1" x14ac:dyDescent="0.35">
      <c r="U94" s="199">
        <v>17.287514999999999</v>
      </c>
      <c r="V94" s="199">
        <v>48</v>
      </c>
      <c r="W94" s="199">
        <v>12.208271000000002</v>
      </c>
      <c r="X94" s="199">
        <v>7</v>
      </c>
      <c r="Y94" s="199">
        <v>65</v>
      </c>
      <c r="Z94" s="199"/>
      <c r="AA94" s="199"/>
      <c r="AB94" s="200">
        <v>17.287514999999999</v>
      </c>
      <c r="AC94" s="200">
        <v>65</v>
      </c>
      <c r="AD94" s="200">
        <v>48</v>
      </c>
    </row>
    <row r="95" spans="21:30" ht="20.149999999999999" customHeight="1" x14ac:dyDescent="0.35">
      <c r="U95" s="199">
        <v>21.787514999999999</v>
      </c>
      <c r="V95" s="199">
        <v>42.625</v>
      </c>
      <c r="W95" s="199">
        <v>25.833257</v>
      </c>
      <c r="X95" s="199">
        <v>10</v>
      </c>
      <c r="Y95" s="199">
        <v>79</v>
      </c>
      <c r="Z95" s="199"/>
      <c r="AA95" s="199"/>
      <c r="AB95" s="199">
        <v>21.787514999999999</v>
      </c>
      <c r="AC95" s="199">
        <v>79</v>
      </c>
      <c r="AD95" s="199">
        <v>42.625</v>
      </c>
    </row>
    <row r="96" spans="21:30" ht="20.149999999999999" customHeight="1" x14ac:dyDescent="0.35">
      <c r="U96" s="199">
        <v>24.224984999999997</v>
      </c>
      <c r="V96" s="199">
        <v>64.208299999999994</v>
      </c>
      <c r="W96" s="199">
        <v>26.000488999999998</v>
      </c>
      <c r="X96" s="199">
        <v>11</v>
      </c>
      <c r="Y96" s="199">
        <v>85</v>
      </c>
      <c r="Z96" s="199"/>
      <c r="AA96" s="199"/>
      <c r="AB96" s="200">
        <v>24.224984999999997</v>
      </c>
      <c r="AC96" s="200">
        <v>85</v>
      </c>
      <c r="AD96" s="200">
        <v>64.208299999999994</v>
      </c>
    </row>
    <row r="97" spans="21:30" ht="20.149999999999999" customHeight="1" x14ac:dyDescent="0.35">
      <c r="U97" s="199">
        <v>22.237515000000002</v>
      </c>
      <c r="V97" s="199">
        <v>47.083300000000001</v>
      </c>
      <c r="W97" s="199">
        <v>17.625221</v>
      </c>
      <c r="X97" s="199">
        <v>13</v>
      </c>
      <c r="Y97" s="199">
        <v>83</v>
      </c>
      <c r="Z97" s="199"/>
      <c r="AA97" s="199"/>
      <c r="AB97" s="199">
        <v>22.237515000000002</v>
      </c>
      <c r="AC97" s="199">
        <v>83</v>
      </c>
      <c r="AD97" s="199">
        <v>47.083300000000001</v>
      </c>
    </row>
    <row r="98" spans="21:30" ht="20.149999999999999" customHeight="1" x14ac:dyDescent="0.35">
      <c r="U98" s="199">
        <v>22.987485</v>
      </c>
      <c r="V98" s="199">
        <v>60.291700000000006</v>
      </c>
      <c r="W98" s="199">
        <v>10.874904000000001</v>
      </c>
      <c r="X98" s="199">
        <v>19</v>
      </c>
      <c r="Y98" s="199">
        <v>81</v>
      </c>
      <c r="Z98" s="199"/>
      <c r="AA98" s="199"/>
      <c r="AB98" s="200">
        <v>22.987485</v>
      </c>
      <c r="AC98" s="200">
        <v>81</v>
      </c>
      <c r="AD98" s="200">
        <v>60.291700000000006</v>
      </c>
    </row>
    <row r="99" spans="21:30" ht="20.149999999999999" customHeight="1" x14ac:dyDescent="0.35">
      <c r="U99" s="199">
        <v>23.475014999999999</v>
      </c>
      <c r="V99" s="199">
        <v>83.625</v>
      </c>
      <c r="W99" s="199">
        <v>15.208463999999999</v>
      </c>
      <c r="X99" s="199">
        <v>45</v>
      </c>
      <c r="Y99" s="199">
        <v>63</v>
      </c>
      <c r="Z99" s="199"/>
      <c r="AA99" s="199"/>
      <c r="AB99" s="199">
        <v>23.475014999999999</v>
      </c>
      <c r="AC99" s="199">
        <v>63</v>
      </c>
      <c r="AD99" s="199">
        <v>83.625</v>
      </c>
    </row>
    <row r="100" spans="21:30" ht="20.149999999999999" customHeight="1" x14ac:dyDescent="0.35">
      <c r="U100" s="199">
        <v>24.337485000000001</v>
      </c>
      <c r="V100" s="199">
        <v>87.75</v>
      </c>
      <c r="W100" s="199">
        <v>8.9165609999999997</v>
      </c>
      <c r="X100" s="199">
        <v>48</v>
      </c>
      <c r="Y100" s="199">
        <v>62</v>
      </c>
      <c r="Z100" s="199"/>
      <c r="AA100" s="199"/>
      <c r="AB100" s="200">
        <v>24.337485000000001</v>
      </c>
      <c r="AC100" s="200">
        <v>62</v>
      </c>
      <c r="AD100" s="200">
        <v>87.75</v>
      </c>
    </row>
    <row r="101" spans="21:30" ht="20.149999999999999" customHeight="1" x14ac:dyDescent="0.35">
      <c r="U101" s="199">
        <v>25.687485000000002</v>
      </c>
      <c r="V101" s="199">
        <v>85.75</v>
      </c>
      <c r="W101" s="199">
        <v>9.8333890000000004</v>
      </c>
      <c r="X101" s="199">
        <v>30</v>
      </c>
      <c r="Y101" s="199">
        <v>72</v>
      </c>
      <c r="Z101" s="199"/>
      <c r="AA101" s="199"/>
      <c r="AB101" s="199">
        <v>25.687485000000002</v>
      </c>
      <c r="AC101" s="199">
        <v>72</v>
      </c>
      <c r="AD101" s="199">
        <v>85.75</v>
      </c>
    </row>
    <row r="102" spans="21:30" ht="20.149999999999999" customHeight="1" x14ac:dyDescent="0.35">
      <c r="U102" s="199">
        <v>25.500015000000001</v>
      </c>
      <c r="V102" s="199">
        <v>71.695599999999999</v>
      </c>
      <c r="W102" s="199">
        <v>21.739757999999998</v>
      </c>
      <c r="X102" s="199">
        <v>13</v>
      </c>
      <c r="Y102" s="199">
        <v>78</v>
      </c>
      <c r="Z102" s="199"/>
      <c r="AA102" s="199"/>
      <c r="AB102" s="200">
        <v>25.500015000000001</v>
      </c>
      <c r="AC102" s="200">
        <v>78</v>
      </c>
      <c r="AD102" s="200">
        <v>71.695599999999999</v>
      </c>
    </row>
    <row r="103" spans="21:30" ht="20.149999999999999" customHeight="1" x14ac:dyDescent="0.35">
      <c r="U103" s="199">
        <v>24.449984999999998</v>
      </c>
      <c r="V103" s="199">
        <v>73.916700000000006</v>
      </c>
      <c r="W103" s="199">
        <v>18.416892999999998</v>
      </c>
      <c r="X103" s="199">
        <v>4</v>
      </c>
      <c r="Y103" s="199">
        <v>44</v>
      </c>
      <c r="Z103" s="199"/>
      <c r="AA103" s="199"/>
      <c r="AB103" s="199">
        <v>24.449984999999998</v>
      </c>
      <c r="AC103" s="199">
        <v>44</v>
      </c>
      <c r="AD103" s="199">
        <v>73.916700000000006</v>
      </c>
    </row>
    <row r="104" spans="21:30" ht="20.149999999999999" customHeight="1" x14ac:dyDescent="0.35">
      <c r="U104" s="199">
        <v>26.512515</v>
      </c>
      <c r="V104" s="199">
        <v>81.916699999999992</v>
      </c>
      <c r="W104" s="199">
        <v>16.791338999999997</v>
      </c>
      <c r="X104" s="199">
        <v>6</v>
      </c>
      <c r="Y104" s="199">
        <v>52</v>
      </c>
      <c r="Z104" s="199"/>
      <c r="AA104" s="199"/>
      <c r="AB104" s="200">
        <v>26.512515</v>
      </c>
      <c r="AC104" s="200">
        <v>52</v>
      </c>
      <c r="AD104" s="200">
        <v>81.916699999999992</v>
      </c>
    </row>
    <row r="105" spans="21:30" ht="20.149999999999999" customHeight="1" x14ac:dyDescent="0.35">
      <c r="U105" s="199">
        <v>24.787485</v>
      </c>
      <c r="V105" s="199">
        <v>54.041700000000006</v>
      </c>
      <c r="W105" s="199">
        <v>7.4169</v>
      </c>
      <c r="X105" s="199">
        <v>11</v>
      </c>
      <c r="Y105" s="199">
        <v>62</v>
      </c>
      <c r="Z105" s="199"/>
      <c r="AA105" s="199"/>
      <c r="AB105" s="199">
        <v>24.787485</v>
      </c>
      <c r="AC105" s="199">
        <v>62</v>
      </c>
      <c r="AD105" s="199">
        <v>54.041700000000006</v>
      </c>
    </row>
    <row r="106" spans="21:30" ht="20.149999999999999" customHeight="1" x14ac:dyDescent="0.35">
      <c r="U106" s="199">
        <v>22.800014999999998</v>
      </c>
      <c r="V106" s="199">
        <v>67.125</v>
      </c>
      <c r="W106" s="199">
        <v>15.167124999999999</v>
      </c>
      <c r="X106" s="199">
        <v>38</v>
      </c>
      <c r="Y106" s="199">
        <v>66</v>
      </c>
      <c r="Z106" s="199"/>
      <c r="AA106" s="199"/>
      <c r="AB106" s="200">
        <v>22.800014999999998</v>
      </c>
      <c r="AC106" s="200">
        <v>66</v>
      </c>
      <c r="AD106" s="200">
        <v>67.125</v>
      </c>
    </row>
    <row r="107" spans="21:30" ht="20.149999999999999" customHeight="1" x14ac:dyDescent="0.35">
      <c r="U107" s="199">
        <v>23.025015</v>
      </c>
      <c r="V107" s="199">
        <v>88.833300000000008</v>
      </c>
      <c r="W107" s="199">
        <v>22.834136000000001</v>
      </c>
      <c r="X107" s="199">
        <v>35</v>
      </c>
      <c r="Y107" s="199">
        <v>66</v>
      </c>
      <c r="Z107" s="199"/>
      <c r="AA107" s="199"/>
      <c r="AB107" s="199">
        <v>23.025015</v>
      </c>
      <c r="AC107" s="199">
        <v>66</v>
      </c>
      <c r="AD107" s="199">
        <v>88.833300000000008</v>
      </c>
    </row>
    <row r="108" spans="21:30" ht="20.149999999999999" customHeight="1" x14ac:dyDescent="0.35">
      <c r="U108" s="199">
        <v>24.037514999999999</v>
      </c>
      <c r="V108" s="199">
        <v>47.958300000000001</v>
      </c>
      <c r="W108" s="199">
        <v>20.334232</v>
      </c>
      <c r="X108" s="199">
        <v>14</v>
      </c>
      <c r="Y108" s="199">
        <v>77</v>
      </c>
      <c r="Z108" s="199"/>
      <c r="AA108" s="199"/>
      <c r="AB108" s="200">
        <v>24.037514999999999</v>
      </c>
      <c r="AC108" s="200">
        <v>77</v>
      </c>
      <c r="AD108" s="200">
        <v>47.958300000000001</v>
      </c>
    </row>
    <row r="109" spans="21:30" ht="20.149999999999999" customHeight="1" x14ac:dyDescent="0.35">
      <c r="U109" s="199">
        <v>23.962499999999999</v>
      </c>
      <c r="V109" s="199">
        <v>54.25</v>
      </c>
      <c r="W109" s="199">
        <v>10.958988999999999</v>
      </c>
      <c r="X109" s="199">
        <v>13</v>
      </c>
      <c r="Y109" s="199">
        <v>82</v>
      </c>
      <c r="Z109" s="199"/>
      <c r="AA109" s="199"/>
      <c r="AB109" s="199">
        <v>23.962499999999999</v>
      </c>
      <c r="AC109" s="199">
        <v>82</v>
      </c>
      <c r="AD109" s="199">
        <v>54.25</v>
      </c>
    </row>
    <row r="110" spans="21:30" ht="20.149999999999999" customHeight="1" x14ac:dyDescent="0.35">
      <c r="U110" s="199">
        <v>24.378254999999999</v>
      </c>
      <c r="V110" s="199">
        <v>66.583299999999994</v>
      </c>
      <c r="W110" s="199">
        <v>10.584057</v>
      </c>
      <c r="X110" s="199">
        <v>5</v>
      </c>
      <c r="Y110" s="199">
        <v>43</v>
      </c>
      <c r="Z110" s="199"/>
      <c r="AA110" s="199"/>
      <c r="AB110" s="200">
        <v>24.378254999999999</v>
      </c>
      <c r="AC110" s="200">
        <v>43</v>
      </c>
      <c r="AD110" s="200">
        <v>66.583299999999994</v>
      </c>
    </row>
    <row r="111" spans="21:30" ht="20.149999999999999" customHeight="1" x14ac:dyDescent="0.35">
      <c r="U111" s="199">
        <v>21.412485</v>
      </c>
      <c r="V111" s="199">
        <v>61.416699999999999</v>
      </c>
      <c r="W111" s="199">
        <v>16.208974999999999</v>
      </c>
      <c r="X111" s="199">
        <v>9</v>
      </c>
      <c r="Y111" s="199">
        <v>74</v>
      </c>
      <c r="Z111" s="199"/>
      <c r="AA111" s="199"/>
      <c r="AB111" s="199">
        <v>21.412485</v>
      </c>
      <c r="AC111" s="199">
        <v>74</v>
      </c>
      <c r="AD111" s="199">
        <v>61.416699999999999</v>
      </c>
    </row>
    <row r="112" spans="21:30" ht="20.149999999999999" customHeight="1" x14ac:dyDescent="0.35">
      <c r="U112" s="199">
        <v>19.237500000000001</v>
      </c>
      <c r="V112" s="199">
        <v>40.708299999999994</v>
      </c>
      <c r="W112" s="199">
        <v>21.792286000000001</v>
      </c>
      <c r="X112" s="199">
        <v>14</v>
      </c>
      <c r="Y112" s="199">
        <v>73</v>
      </c>
      <c r="Z112" s="199"/>
      <c r="AA112" s="199"/>
      <c r="AB112" s="200">
        <v>19.237500000000001</v>
      </c>
      <c r="AC112" s="200">
        <v>73</v>
      </c>
      <c r="AD112" s="200">
        <v>40.708299999999994</v>
      </c>
    </row>
    <row r="113" spans="21:30" ht="20.149999999999999" customHeight="1" x14ac:dyDescent="0.35">
      <c r="U113" s="199">
        <v>19.012499999999999</v>
      </c>
      <c r="V113" s="199">
        <v>72.958299999999994</v>
      </c>
      <c r="W113" s="199">
        <v>14.707906999999999</v>
      </c>
      <c r="X113" s="199">
        <v>30</v>
      </c>
      <c r="Y113" s="199">
        <v>56</v>
      </c>
      <c r="Z113" s="199"/>
      <c r="AA113" s="199"/>
      <c r="AB113" s="199">
        <v>19.012499999999999</v>
      </c>
      <c r="AC113" s="199">
        <v>56</v>
      </c>
      <c r="AD113" s="199">
        <v>72.958299999999994</v>
      </c>
    </row>
    <row r="114" spans="21:30" ht="20.149999999999999" customHeight="1" x14ac:dyDescent="0.35">
      <c r="U114" s="199">
        <v>18.975014999999999</v>
      </c>
      <c r="V114" s="199">
        <v>88.791699999999992</v>
      </c>
      <c r="W114" s="199">
        <v>15.458575000000002</v>
      </c>
      <c r="X114" s="199">
        <v>32</v>
      </c>
      <c r="Y114" s="199">
        <v>55</v>
      </c>
      <c r="Z114" s="199"/>
      <c r="AA114" s="199"/>
      <c r="AB114" s="200">
        <v>18.975014999999999</v>
      </c>
      <c r="AC114" s="200">
        <v>55</v>
      </c>
      <c r="AD114" s="200">
        <v>88.791699999999992</v>
      </c>
    </row>
    <row r="115" spans="21:30" ht="20.149999999999999" customHeight="1" x14ac:dyDescent="0.35">
      <c r="U115" s="199">
        <v>20.849985</v>
      </c>
      <c r="V115" s="199">
        <v>81.083300000000008</v>
      </c>
      <c r="W115" s="199">
        <v>12.875725000000001</v>
      </c>
      <c r="X115" s="199">
        <v>14</v>
      </c>
      <c r="Y115" s="199">
        <v>70</v>
      </c>
      <c r="Z115" s="199"/>
      <c r="AA115" s="199"/>
      <c r="AB115" s="199">
        <v>20.849985</v>
      </c>
      <c r="AC115" s="199">
        <v>70</v>
      </c>
      <c r="AD115" s="199">
        <v>81.083300000000008</v>
      </c>
    </row>
    <row r="116" spans="21:30" ht="20.149999999999999" customHeight="1" x14ac:dyDescent="0.35">
      <c r="U116" s="199">
        <v>21.225014999999999</v>
      </c>
      <c r="V116" s="199">
        <v>77.666700000000006</v>
      </c>
      <c r="W116" s="199">
        <v>12.417311</v>
      </c>
      <c r="X116" s="199">
        <v>14</v>
      </c>
      <c r="Y116" s="199">
        <v>80</v>
      </c>
      <c r="Z116" s="199"/>
      <c r="AA116" s="199"/>
      <c r="AB116" s="200">
        <v>21.225014999999999</v>
      </c>
      <c r="AC116" s="200">
        <v>80</v>
      </c>
      <c r="AD116" s="200">
        <v>77.666700000000006</v>
      </c>
    </row>
    <row r="117" spans="21:30" ht="20.149999999999999" customHeight="1" x14ac:dyDescent="0.35">
      <c r="U117" s="199">
        <v>21.787514999999999</v>
      </c>
      <c r="V117" s="199">
        <v>72.916700000000006</v>
      </c>
      <c r="W117" s="199">
        <v>21.875500000000002</v>
      </c>
      <c r="X117" s="199">
        <v>8</v>
      </c>
      <c r="Y117" s="199">
        <v>70</v>
      </c>
      <c r="Z117" s="199"/>
      <c r="AA117" s="199"/>
      <c r="AB117" s="199">
        <v>21.787514999999999</v>
      </c>
      <c r="AC117" s="199">
        <v>70</v>
      </c>
      <c r="AD117" s="199">
        <v>72.916700000000006</v>
      </c>
    </row>
    <row r="118" spans="21:30" ht="20.149999999999999" customHeight="1" x14ac:dyDescent="0.35">
      <c r="U118" s="199">
        <v>21.15</v>
      </c>
      <c r="V118" s="199">
        <v>83.541699999999992</v>
      </c>
      <c r="W118" s="199">
        <v>20.917399999999997</v>
      </c>
      <c r="X118" s="199">
        <v>5</v>
      </c>
      <c r="Y118" s="199">
        <v>48</v>
      </c>
      <c r="Z118" s="199"/>
      <c r="AA118" s="199"/>
      <c r="AB118" s="200">
        <v>21.15</v>
      </c>
      <c r="AC118" s="200">
        <v>48</v>
      </c>
      <c r="AD118" s="200">
        <v>83.541699999999992</v>
      </c>
    </row>
    <row r="119" spans="21:30" ht="20.149999999999999" customHeight="1" x14ac:dyDescent="0.35">
      <c r="U119" s="199">
        <v>14.887485</v>
      </c>
      <c r="V119" s="199">
        <v>70.083300000000008</v>
      </c>
      <c r="W119" s="199">
        <v>21.500836000000003</v>
      </c>
      <c r="X119" s="199">
        <v>9</v>
      </c>
      <c r="Y119" s="199">
        <v>66</v>
      </c>
      <c r="Z119" s="199"/>
      <c r="AA119" s="199"/>
      <c r="AB119" s="199">
        <v>14.887485</v>
      </c>
      <c r="AC119" s="199">
        <v>66</v>
      </c>
      <c r="AD119" s="199">
        <v>70.083300000000008</v>
      </c>
    </row>
    <row r="120" spans="21:30" ht="20.149999999999999" customHeight="1" x14ac:dyDescent="0.35">
      <c r="U120" s="199">
        <v>11.437514999999999</v>
      </c>
      <c r="V120" s="199">
        <v>45.708300000000001</v>
      </c>
      <c r="W120" s="199">
        <v>16.084220999999999</v>
      </c>
      <c r="X120" s="199">
        <v>1</v>
      </c>
      <c r="Y120" s="199">
        <v>11</v>
      </c>
      <c r="Z120" s="199"/>
      <c r="AA120" s="199"/>
      <c r="AB120" s="200">
        <v>11.437514999999999</v>
      </c>
      <c r="AC120" s="200">
        <v>11</v>
      </c>
      <c r="AD120" s="200">
        <v>45.708300000000001</v>
      </c>
    </row>
    <row r="121" spans="21:30" ht="20.149999999999999" customHeight="1" x14ac:dyDescent="0.35">
      <c r="U121" s="199">
        <v>14.362514999999998</v>
      </c>
      <c r="V121" s="199">
        <v>50.333300000000001</v>
      </c>
      <c r="W121" s="199">
        <v>15.750025000000001</v>
      </c>
      <c r="X121" s="199">
        <v>18</v>
      </c>
      <c r="Y121" s="199">
        <v>49</v>
      </c>
      <c r="Z121" s="199"/>
      <c r="AA121" s="199"/>
      <c r="AB121" s="199">
        <v>14.362514999999998</v>
      </c>
      <c r="AC121" s="199">
        <v>49</v>
      </c>
      <c r="AD121" s="199">
        <v>50.333300000000001</v>
      </c>
    </row>
    <row r="122" spans="21:30" ht="20.149999999999999" customHeight="1" x14ac:dyDescent="0.35">
      <c r="U122" s="199">
        <v>15.3</v>
      </c>
      <c r="V122" s="199">
        <v>76.208299999999994</v>
      </c>
      <c r="W122" s="199">
        <v>7.125718</v>
      </c>
      <c r="X122" s="199">
        <v>7</v>
      </c>
      <c r="Y122" s="199">
        <v>66</v>
      </c>
      <c r="Z122" s="199"/>
      <c r="AA122" s="199"/>
      <c r="AB122" s="200">
        <v>15.3</v>
      </c>
      <c r="AC122" s="200">
        <v>66</v>
      </c>
      <c r="AD122" s="200">
        <v>76.208299999999994</v>
      </c>
    </row>
    <row r="123" spans="21:30" ht="20.149999999999999" customHeight="1" x14ac:dyDescent="0.35">
      <c r="U123" s="199">
        <v>18.037485</v>
      </c>
      <c r="V123" s="199">
        <v>73</v>
      </c>
      <c r="W123" s="199">
        <v>12.291418</v>
      </c>
      <c r="X123" s="199">
        <v>8</v>
      </c>
      <c r="Y123" s="199">
        <v>73</v>
      </c>
      <c r="Z123" s="199"/>
      <c r="AA123" s="199"/>
      <c r="AB123" s="199">
        <v>18.037485</v>
      </c>
      <c r="AC123" s="199">
        <v>73</v>
      </c>
      <c r="AD123" s="199">
        <v>73</v>
      </c>
    </row>
    <row r="124" spans="21:30" ht="20.149999999999999" customHeight="1" x14ac:dyDescent="0.35">
      <c r="U124" s="199">
        <v>16.987500000000001</v>
      </c>
      <c r="V124" s="199">
        <v>69.708299999999994</v>
      </c>
      <c r="W124" s="199">
        <v>22.958689</v>
      </c>
      <c r="X124" s="199">
        <v>7</v>
      </c>
      <c r="Y124" s="199">
        <v>76</v>
      </c>
      <c r="Z124" s="199"/>
      <c r="AA124" s="199"/>
      <c r="AB124" s="200">
        <v>16.987500000000001</v>
      </c>
      <c r="AC124" s="200">
        <v>76</v>
      </c>
      <c r="AD124" s="200">
        <v>69.708299999999994</v>
      </c>
    </row>
    <row r="125" spans="21:30" ht="20.149999999999999" customHeight="1" x14ac:dyDescent="0.35">
      <c r="U125" s="199">
        <v>18.374984999999999</v>
      </c>
      <c r="V125" s="199">
        <v>73.708300000000008</v>
      </c>
      <c r="W125" s="199">
        <v>22.042732000000001</v>
      </c>
      <c r="X125" s="199">
        <v>6</v>
      </c>
      <c r="Y125" s="199">
        <v>73</v>
      </c>
      <c r="Z125" s="199"/>
      <c r="AA125" s="199"/>
      <c r="AB125" s="199">
        <v>18.374984999999999</v>
      </c>
      <c r="AC125" s="199">
        <v>73</v>
      </c>
      <c r="AD125" s="199">
        <v>73.708300000000008</v>
      </c>
    </row>
    <row r="126" spans="21:30" ht="20.149999999999999" customHeight="1" x14ac:dyDescent="0.35">
      <c r="U126" s="199">
        <v>18.149985000000001</v>
      </c>
      <c r="V126" s="199">
        <v>44.416699999999999</v>
      </c>
      <c r="W126" s="199">
        <v>19.791263999999998</v>
      </c>
      <c r="X126" s="199">
        <v>9</v>
      </c>
      <c r="Y126" s="199">
        <v>72</v>
      </c>
      <c r="Z126" s="199"/>
      <c r="AA126" s="199"/>
      <c r="AB126" s="200">
        <v>18.149985000000001</v>
      </c>
      <c r="AC126" s="200">
        <v>72</v>
      </c>
      <c r="AD126" s="200">
        <v>44.416699999999999</v>
      </c>
    </row>
    <row r="127" spans="21:30" ht="20.149999999999999" customHeight="1" x14ac:dyDescent="0.35">
      <c r="U127" s="199">
        <v>14.700014999999999</v>
      </c>
      <c r="V127" s="199">
        <v>59</v>
      </c>
      <c r="W127" s="199">
        <v>15.292482</v>
      </c>
      <c r="X127" s="199">
        <v>23</v>
      </c>
      <c r="Y127" s="199">
        <v>55</v>
      </c>
      <c r="Z127" s="199"/>
      <c r="AA127" s="199"/>
      <c r="AB127" s="199">
        <v>14.700014999999999</v>
      </c>
      <c r="AC127" s="199">
        <v>55</v>
      </c>
      <c r="AD127" s="199">
        <v>59</v>
      </c>
    </row>
    <row r="128" spans="21:30" ht="20.149999999999999" customHeight="1" x14ac:dyDescent="0.35">
      <c r="U128" s="199">
        <v>15.674985</v>
      </c>
      <c r="V128" s="199">
        <v>54.125</v>
      </c>
      <c r="W128" s="199">
        <v>10.750150000000001</v>
      </c>
      <c r="X128" s="199">
        <v>19</v>
      </c>
      <c r="Y128" s="199">
        <v>54</v>
      </c>
      <c r="Z128" s="199"/>
      <c r="AA128" s="199"/>
      <c r="AB128" s="200">
        <v>15.674985</v>
      </c>
      <c r="AC128" s="200">
        <v>54</v>
      </c>
      <c r="AD128" s="200">
        <v>54.125</v>
      </c>
    </row>
    <row r="129" spans="21:30" ht="20.149999999999999" customHeight="1" x14ac:dyDescent="0.35">
      <c r="U129" s="199">
        <v>17.775000000000002</v>
      </c>
      <c r="V129" s="199">
        <v>63.166699999999999</v>
      </c>
      <c r="W129" s="199">
        <v>5.0007124999999997</v>
      </c>
      <c r="X129" s="199">
        <v>7</v>
      </c>
      <c r="Y129" s="199">
        <v>73</v>
      </c>
      <c r="Z129" s="199"/>
      <c r="AA129" s="199"/>
      <c r="AB129" s="199">
        <v>17.775000000000002</v>
      </c>
      <c r="AC129" s="199">
        <v>73</v>
      </c>
      <c r="AD129" s="199">
        <v>63.166699999999999</v>
      </c>
    </row>
    <row r="130" spans="21:30" ht="20.149999999999999" customHeight="1" x14ac:dyDescent="0.35">
      <c r="U130" s="199">
        <v>18.374984999999999</v>
      </c>
      <c r="V130" s="199">
        <v>58.875</v>
      </c>
      <c r="W130" s="199">
        <v>11.792</v>
      </c>
      <c r="X130" s="199">
        <v>8</v>
      </c>
      <c r="Y130" s="199">
        <v>77</v>
      </c>
      <c r="Z130" s="199"/>
      <c r="AA130" s="199"/>
      <c r="AB130" s="200">
        <v>18.374984999999999</v>
      </c>
      <c r="AC130" s="200">
        <v>77</v>
      </c>
      <c r="AD130" s="200">
        <v>58.875</v>
      </c>
    </row>
    <row r="131" spans="21:30" ht="20.149999999999999" customHeight="1" x14ac:dyDescent="0.35">
      <c r="U131" s="199">
        <v>18</v>
      </c>
      <c r="V131" s="199">
        <v>48.916699999999999</v>
      </c>
      <c r="W131" s="199">
        <v>7.7499569999999993</v>
      </c>
      <c r="X131" s="199">
        <v>6</v>
      </c>
      <c r="Y131" s="199">
        <v>76</v>
      </c>
      <c r="Z131" s="199"/>
      <c r="AA131" s="199"/>
      <c r="AB131" s="199">
        <v>18</v>
      </c>
      <c r="AC131" s="199">
        <v>76</v>
      </c>
      <c r="AD131" s="199">
        <v>48.916699999999999</v>
      </c>
    </row>
    <row r="132" spans="21:30" ht="20.149999999999999" customHeight="1" x14ac:dyDescent="0.35">
      <c r="U132" s="199">
        <v>17.100000000000001</v>
      </c>
      <c r="V132" s="199">
        <v>63.291699999999992</v>
      </c>
      <c r="W132" s="199">
        <v>8.0830140000000004</v>
      </c>
      <c r="X132" s="199">
        <v>4</v>
      </c>
      <c r="Y132" s="199">
        <v>55</v>
      </c>
      <c r="Z132" s="199"/>
      <c r="AA132" s="199"/>
      <c r="AB132" s="200">
        <v>17.100000000000001</v>
      </c>
      <c r="AC132" s="200">
        <v>55</v>
      </c>
      <c r="AD132" s="200">
        <v>63.291699999999992</v>
      </c>
    </row>
    <row r="133" spans="21:30" ht="20.149999999999999" customHeight="1" x14ac:dyDescent="0.35">
      <c r="U133" s="199">
        <v>14.587515</v>
      </c>
      <c r="V133" s="199">
        <v>74.75</v>
      </c>
      <c r="W133" s="199">
        <v>12.707689</v>
      </c>
      <c r="X133" s="199">
        <v>9</v>
      </c>
      <c r="Y133" s="199">
        <v>59</v>
      </c>
      <c r="Z133" s="199"/>
      <c r="AA133" s="199"/>
      <c r="AB133" s="199">
        <v>14.587515</v>
      </c>
      <c r="AC133" s="199">
        <v>59</v>
      </c>
      <c r="AD133" s="199">
        <v>74.75</v>
      </c>
    </row>
    <row r="134" spans="21:30" ht="20.149999999999999" customHeight="1" x14ac:dyDescent="0.35">
      <c r="U134" s="199">
        <v>16.050015000000002</v>
      </c>
      <c r="V134" s="199">
        <v>86.333300000000008</v>
      </c>
      <c r="W134" s="199">
        <v>12.041575</v>
      </c>
      <c r="X134" s="199">
        <v>26</v>
      </c>
      <c r="Y134" s="199">
        <v>56</v>
      </c>
      <c r="Z134" s="199"/>
      <c r="AA134" s="199"/>
      <c r="AB134" s="200">
        <v>16.050015000000002</v>
      </c>
      <c r="AC134" s="200">
        <v>56</v>
      </c>
      <c r="AD134" s="200">
        <v>86.333300000000008</v>
      </c>
    </row>
    <row r="135" spans="21:30" ht="20.149999999999999" customHeight="1" x14ac:dyDescent="0.35">
      <c r="U135" s="199">
        <v>19.837484999999997</v>
      </c>
      <c r="V135" s="199">
        <v>92.25</v>
      </c>
      <c r="W135" s="199">
        <v>9.0416499999999989</v>
      </c>
      <c r="X135" s="199">
        <v>20</v>
      </c>
      <c r="Y135" s="199">
        <v>54</v>
      </c>
      <c r="Z135" s="199"/>
      <c r="AA135" s="199"/>
      <c r="AB135" s="199">
        <v>19.837484999999997</v>
      </c>
      <c r="AC135" s="199">
        <v>54</v>
      </c>
      <c r="AD135" s="199">
        <v>92.25</v>
      </c>
    </row>
    <row r="136" spans="21:30" ht="20.149999999999999" customHeight="1" x14ac:dyDescent="0.35">
      <c r="U136" s="199">
        <v>23.85</v>
      </c>
      <c r="V136" s="199">
        <v>86.708300000000008</v>
      </c>
      <c r="W136" s="199">
        <v>10.249593000000001</v>
      </c>
      <c r="X136" s="199">
        <v>12</v>
      </c>
      <c r="Y136" s="199">
        <v>78</v>
      </c>
      <c r="Z136" s="199"/>
      <c r="AA136" s="199"/>
      <c r="AB136" s="200">
        <v>23.85</v>
      </c>
      <c r="AC136" s="200">
        <v>78</v>
      </c>
      <c r="AD136" s="200">
        <v>86.708300000000008</v>
      </c>
    </row>
    <row r="137" spans="21:30" ht="20.149999999999999" customHeight="1" x14ac:dyDescent="0.35">
      <c r="U137" s="199">
        <v>23.85</v>
      </c>
      <c r="V137" s="199">
        <v>78.791699999999992</v>
      </c>
      <c r="W137" s="199">
        <v>8.5003570000000011</v>
      </c>
      <c r="X137" s="199">
        <v>9</v>
      </c>
      <c r="Y137" s="199">
        <v>75</v>
      </c>
      <c r="Z137" s="199"/>
      <c r="AA137" s="199"/>
      <c r="AB137" s="199">
        <v>23.85</v>
      </c>
      <c r="AC137" s="199">
        <v>75</v>
      </c>
      <c r="AD137" s="199">
        <v>78.791699999999992</v>
      </c>
    </row>
    <row r="138" spans="21:30" ht="20.149999999999999" customHeight="1" x14ac:dyDescent="0.35">
      <c r="U138" s="199">
        <v>20.550014999999998</v>
      </c>
      <c r="V138" s="199">
        <v>83.791700000000006</v>
      </c>
      <c r="W138" s="199">
        <v>18.582718</v>
      </c>
      <c r="X138" s="199">
        <v>3</v>
      </c>
      <c r="Y138" s="199">
        <v>33</v>
      </c>
      <c r="Z138" s="199"/>
      <c r="AA138" s="199"/>
      <c r="AB138" s="200">
        <v>20.550014999999998</v>
      </c>
      <c r="AC138" s="200">
        <v>33</v>
      </c>
      <c r="AD138" s="200">
        <v>83.791700000000006</v>
      </c>
    </row>
    <row r="139" spans="21:30" ht="20.149999999999999" customHeight="1" x14ac:dyDescent="0.35">
      <c r="U139" s="199">
        <v>15.375014999999999</v>
      </c>
      <c r="V139" s="199">
        <v>87</v>
      </c>
      <c r="W139" s="199">
        <v>13.499964</v>
      </c>
      <c r="X139" s="199">
        <v>3</v>
      </c>
      <c r="Y139" s="199">
        <v>58</v>
      </c>
      <c r="Z139" s="199"/>
      <c r="AA139" s="199"/>
      <c r="AB139" s="199">
        <v>15.375014999999999</v>
      </c>
      <c r="AC139" s="199">
        <v>58</v>
      </c>
      <c r="AD139" s="199">
        <v>87</v>
      </c>
    </row>
    <row r="140" spans="21:30" ht="20.149999999999999" customHeight="1" x14ac:dyDescent="0.35">
      <c r="U140" s="199">
        <v>12.337515</v>
      </c>
      <c r="V140" s="199">
        <v>82.958299999999994</v>
      </c>
      <c r="W140" s="199">
        <v>7.2502710000000006</v>
      </c>
      <c r="X140" s="199">
        <v>5</v>
      </c>
      <c r="Y140" s="199">
        <v>63</v>
      </c>
      <c r="Z140" s="199"/>
      <c r="AA140" s="199"/>
      <c r="AB140" s="200">
        <v>12.337515</v>
      </c>
      <c r="AC140" s="200">
        <v>63</v>
      </c>
      <c r="AD140" s="200">
        <v>82.958299999999994</v>
      </c>
    </row>
    <row r="141" spans="21:30" ht="20.149999999999999" customHeight="1" x14ac:dyDescent="0.35">
      <c r="U141" s="199">
        <v>14.812514999999999</v>
      </c>
      <c r="V141" s="199">
        <v>71.958299999999994</v>
      </c>
      <c r="W141" s="199">
        <v>8.3758710000000001</v>
      </c>
      <c r="X141" s="199">
        <v>19</v>
      </c>
      <c r="Y141" s="199">
        <v>54</v>
      </c>
      <c r="Z141" s="199"/>
      <c r="AA141" s="199"/>
      <c r="AB141" s="199">
        <v>14.812514999999999</v>
      </c>
      <c r="AC141" s="199">
        <v>54</v>
      </c>
      <c r="AD141" s="199">
        <v>71.958299999999994</v>
      </c>
    </row>
    <row r="142" spans="21:30" ht="20.149999999999999" customHeight="1" x14ac:dyDescent="0.35">
      <c r="U142" s="199">
        <v>20.849985</v>
      </c>
      <c r="V142" s="199">
        <v>62.666699999999999</v>
      </c>
      <c r="W142" s="199">
        <v>8.0835499999999989</v>
      </c>
      <c r="X142" s="199">
        <v>16</v>
      </c>
      <c r="Y142" s="199">
        <v>55</v>
      </c>
      <c r="Z142" s="199"/>
      <c r="AA142" s="199"/>
      <c r="AB142" s="200">
        <v>20.849985</v>
      </c>
      <c r="AC142" s="200">
        <v>55</v>
      </c>
      <c r="AD142" s="200">
        <v>62.666699999999999</v>
      </c>
    </row>
    <row r="143" spans="21:30" ht="20.149999999999999" customHeight="1" x14ac:dyDescent="0.35">
      <c r="U143" s="199">
        <v>20.137499999999999</v>
      </c>
      <c r="V143" s="199">
        <v>74.958299999999994</v>
      </c>
      <c r="W143" s="199">
        <v>9.9165360000000007</v>
      </c>
      <c r="X143" s="199">
        <v>4</v>
      </c>
      <c r="Y143" s="199">
        <v>51</v>
      </c>
      <c r="Z143" s="199"/>
      <c r="AA143" s="199"/>
      <c r="AB143" s="199">
        <v>20.137499999999999</v>
      </c>
      <c r="AC143" s="199">
        <v>51</v>
      </c>
      <c r="AD143" s="199">
        <v>74.958299999999994</v>
      </c>
    </row>
    <row r="144" spans="21:30" ht="20.149999999999999" customHeight="1" x14ac:dyDescent="0.35">
      <c r="U144" s="199">
        <v>18.750015000000001</v>
      </c>
      <c r="V144" s="199">
        <v>81</v>
      </c>
      <c r="W144" s="199">
        <v>15.667413999999999</v>
      </c>
      <c r="X144" s="199">
        <v>1</v>
      </c>
      <c r="Y144" s="199">
        <v>31</v>
      </c>
      <c r="Z144" s="199"/>
      <c r="AA144" s="199"/>
      <c r="AB144" s="200">
        <v>18.750015000000001</v>
      </c>
      <c r="AC144" s="200">
        <v>31</v>
      </c>
      <c r="AD144" s="200">
        <v>81</v>
      </c>
    </row>
    <row r="145" spans="21:30" ht="20.149999999999999" customHeight="1" x14ac:dyDescent="0.35">
      <c r="U145" s="199">
        <v>19.837484999999997</v>
      </c>
      <c r="V145" s="199">
        <v>74.083299999999994</v>
      </c>
      <c r="W145" s="199">
        <v>13.875164</v>
      </c>
      <c r="X145" s="199">
        <v>2</v>
      </c>
      <c r="Y145" s="199">
        <v>49</v>
      </c>
      <c r="Z145" s="199"/>
      <c r="AA145" s="199"/>
      <c r="AB145" s="199">
        <v>19.837484999999997</v>
      </c>
      <c r="AC145" s="199">
        <v>49</v>
      </c>
      <c r="AD145" s="199">
        <v>74.083299999999994</v>
      </c>
    </row>
    <row r="146" spans="21:30" ht="20.149999999999999" customHeight="1" x14ac:dyDescent="0.35">
      <c r="U146" s="199">
        <v>16.799985</v>
      </c>
      <c r="V146" s="199">
        <v>69.625</v>
      </c>
      <c r="W146" s="199">
        <v>10.333611000000001</v>
      </c>
      <c r="X146" s="199">
        <v>11</v>
      </c>
      <c r="Y146" s="199">
        <v>19</v>
      </c>
      <c r="Z146" s="199"/>
      <c r="AA146" s="199"/>
      <c r="AB146" s="200">
        <v>16.799985</v>
      </c>
      <c r="AC146" s="200">
        <v>19</v>
      </c>
      <c r="AD146" s="200">
        <v>69.625</v>
      </c>
    </row>
    <row r="147" spans="21:30" ht="20.149999999999999" customHeight="1" x14ac:dyDescent="0.35">
      <c r="U147" s="199">
        <v>16.875</v>
      </c>
      <c r="V147" s="199">
        <v>67.75</v>
      </c>
      <c r="W147" s="199">
        <v>13.376014</v>
      </c>
      <c r="X147" s="199">
        <v>22</v>
      </c>
      <c r="Y147" s="199">
        <v>34</v>
      </c>
      <c r="Z147" s="199"/>
      <c r="AA147" s="199"/>
      <c r="AB147" s="199">
        <v>16.875</v>
      </c>
      <c r="AC147" s="199">
        <v>34</v>
      </c>
      <c r="AD147" s="199">
        <v>67.75</v>
      </c>
    </row>
    <row r="148" spans="21:30" ht="20.149999999999999" customHeight="1" x14ac:dyDescent="0.35">
      <c r="U148" s="199">
        <v>16.912485</v>
      </c>
      <c r="V148" s="199">
        <v>65.375</v>
      </c>
      <c r="W148" s="199">
        <v>16.125492999999999</v>
      </c>
      <c r="X148" s="199">
        <v>25</v>
      </c>
      <c r="Y148" s="199">
        <v>36</v>
      </c>
      <c r="Z148" s="199"/>
      <c r="AA148" s="199"/>
      <c r="AB148" s="200">
        <v>16.912485</v>
      </c>
      <c r="AC148" s="200">
        <v>36</v>
      </c>
      <c r="AD148" s="200">
        <v>65.375</v>
      </c>
    </row>
    <row r="149" spans="21:30" ht="20.149999999999999" customHeight="1" x14ac:dyDescent="0.35">
      <c r="U149" s="199">
        <v>20.662514999999999</v>
      </c>
      <c r="V149" s="199">
        <v>72.958299999999994</v>
      </c>
      <c r="W149" s="199">
        <v>15.416164</v>
      </c>
      <c r="X149" s="199">
        <v>16</v>
      </c>
      <c r="Y149" s="199">
        <v>45</v>
      </c>
      <c r="Z149" s="199"/>
      <c r="AA149" s="199"/>
      <c r="AB149" s="199">
        <v>20.662514999999999</v>
      </c>
      <c r="AC149" s="199">
        <v>45</v>
      </c>
      <c r="AD149" s="199">
        <v>72.958299999999994</v>
      </c>
    </row>
    <row r="150" spans="21:30" ht="20.149999999999999" customHeight="1" x14ac:dyDescent="0.35">
      <c r="U150" s="199">
        <v>22.656510000000001</v>
      </c>
      <c r="V150" s="199">
        <v>81.875</v>
      </c>
      <c r="W150" s="199">
        <v>14.333845999999999</v>
      </c>
      <c r="X150" s="199">
        <v>5</v>
      </c>
      <c r="Y150" s="199">
        <v>72</v>
      </c>
      <c r="Z150" s="199"/>
      <c r="AA150" s="199"/>
      <c r="AB150" s="200">
        <v>22.656510000000001</v>
      </c>
      <c r="AC150" s="200">
        <v>72</v>
      </c>
      <c r="AD150" s="200">
        <v>81.875</v>
      </c>
    </row>
    <row r="151" spans="21:30" ht="20.149999999999999" customHeight="1" x14ac:dyDescent="0.35">
      <c r="U151" s="199">
        <v>20.624984999999999</v>
      </c>
      <c r="V151" s="199">
        <v>68.5</v>
      </c>
      <c r="W151" s="199">
        <v>8.7920750000000005</v>
      </c>
      <c r="X151" s="199">
        <v>2</v>
      </c>
      <c r="Y151" s="199">
        <v>56</v>
      </c>
      <c r="Z151" s="199"/>
      <c r="AA151" s="199"/>
      <c r="AB151" s="199">
        <v>20.624984999999999</v>
      </c>
      <c r="AC151" s="199">
        <v>56</v>
      </c>
      <c r="AD151" s="199">
        <v>68.5</v>
      </c>
    </row>
    <row r="152" spans="21:30" ht="20.149999999999999" customHeight="1" x14ac:dyDescent="0.35">
      <c r="U152" s="199">
        <v>14.625</v>
      </c>
      <c r="V152" s="199">
        <v>63.666699999999999</v>
      </c>
      <c r="W152" s="199">
        <v>7.4590429999999994</v>
      </c>
      <c r="X152" s="199">
        <v>4</v>
      </c>
      <c r="Y152" s="199">
        <v>69</v>
      </c>
      <c r="Z152" s="199"/>
      <c r="AA152" s="199"/>
      <c r="AB152" s="200">
        <v>14.625</v>
      </c>
      <c r="AC152" s="200">
        <v>69</v>
      </c>
      <c r="AD152" s="200">
        <v>63.666699999999999</v>
      </c>
    </row>
    <row r="153" spans="21:30" ht="20.149999999999999" customHeight="1" x14ac:dyDescent="0.35">
      <c r="U153" s="199">
        <v>14.0625</v>
      </c>
      <c r="V153" s="199">
        <v>67.708299999999994</v>
      </c>
      <c r="W153" s="199">
        <v>13.875164</v>
      </c>
      <c r="X153" s="199">
        <v>4</v>
      </c>
      <c r="Y153" s="199">
        <v>71</v>
      </c>
      <c r="Z153" s="199"/>
      <c r="AA153" s="199"/>
      <c r="AB153" s="199">
        <v>14.0625</v>
      </c>
      <c r="AC153" s="199">
        <v>71</v>
      </c>
      <c r="AD153" s="199">
        <v>67.708299999999994</v>
      </c>
    </row>
    <row r="154" spans="21:30" ht="20.149999999999999" customHeight="1" x14ac:dyDescent="0.35">
      <c r="U154" s="199">
        <v>14.137514999999999</v>
      </c>
      <c r="V154" s="199">
        <v>30.5</v>
      </c>
      <c r="W154" s="199">
        <v>19.583229000000003</v>
      </c>
      <c r="X154" s="199">
        <v>5</v>
      </c>
      <c r="Y154" s="199">
        <v>73</v>
      </c>
      <c r="Z154" s="199"/>
      <c r="AA154" s="199"/>
      <c r="AB154" s="200">
        <v>14.137514999999999</v>
      </c>
      <c r="AC154" s="200">
        <v>73</v>
      </c>
      <c r="AD154" s="200">
        <v>30.5</v>
      </c>
    </row>
    <row r="155" spans="21:30" ht="20.149999999999999" customHeight="1" x14ac:dyDescent="0.35">
      <c r="U155" s="199">
        <v>13.462515000000002</v>
      </c>
      <c r="V155" s="199">
        <v>35.416699999999999</v>
      </c>
      <c r="W155" s="199">
        <v>16.959106999999999</v>
      </c>
      <c r="X155" s="199">
        <v>14</v>
      </c>
      <c r="Y155" s="199">
        <v>58</v>
      </c>
      <c r="Z155" s="199"/>
      <c r="AA155" s="199"/>
      <c r="AB155" s="199">
        <v>13.462515000000002</v>
      </c>
      <c r="AC155" s="199">
        <v>58</v>
      </c>
      <c r="AD155" s="199">
        <v>35.416699999999999</v>
      </c>
    </row>
    <row r="156" spans="21:30" ht="20.149999999999999" customHeight="1" x14ac:dyDescent="0.35">
      <c r="U156" s="199">
        <v>14.887485</v>
      </c>
      <c r="V156" s="199">
        <v>45.625</v>
      </c>
      <c r="W156" s="199">
        <v>8.2505140000000008</v>
      </c>
      <c r="X156" s="199">
        <v>13</v>
      </c>
      <c r="Y156" s="199">
        <v>57</v>
      </c>
      <c r="Z156" s="199"/>
      <c r="AA156" s="199"/>
      <c r="AB156" s="200">
        <v>14.887485</v>
      </c>
      <c r="AC156" s="200">
        <v>57</v>
      </c>
      <c r="AD156" s="200">
        <v>45.625</v>
      </c>
    </row>
    <row r="157" spans="21:30" ht="20.149999999999999" customHeight="1" x14ac:dyDescent="0.35">
      <c r="U157" s="199">
        <v>17.362485</v>
      </c>
      <c r="V157" s="199">
        <v>65.25</v>
      </c>
      <c r="W157" s="199">
        <v>9.292364000000001</v>
      </c>
      <c r="X157" s="199">
        <v>5</v>
      </c>
      <c r="Y157" s="199">
        <v>72</v>
      </c>
      <c r="Z157" s="199"/>
      <c r="AA157" s="199"/>
      <c r="AB157" s="199">
        <v>17.362485</v>
      </c>
      <c r="AC157" s="199">
        <v>72</v>
      </c>
      <c r="AD157" s="199">
        <v>65.25</v>
      </c>
    </row>
    <row r="158" spans="21:30" ht="20.149999999999999" customHeight="1" x14ac:dyDescent="0.35">
      <c r="U158" s="199">
        <v>20.8125</v>
      </c>
      <c r="V158" s="199">
        <v>60</v>
      </c>
      <c r="W158" s="199">
        <v>8.1670320000000007</v>
      </c>
      <c r="X158" s="199">
        <v>3</v>
      </c>
      <c r="Y158" s="199">
        <v>49</v>
      </c>
      <c r="Z158" s="199"/>
      <c r="AA158" s="199"/>
      <c r="AB158" s="200">
        <v>20.8125</v>
      </c>
      <c r="AC158" s="200">
        <v>49</v>
      </c>
      <c r="AD158" s="200">
        <v>60</v>
      </c>
    </row>
    <row r="159" spans="21:30" ht="20.149999999999999" customHeight="1" x14ac:dyDescent="0.35">
      <c r="U159" s="199">
        <v>18.45</v>
      </c>
      <c r="V159" s="199">
        <v>59.791700000000006</v>
      </c>
      <c r="W159" s="199">
        <v>12.583136</v>
      </c>
      <c r="X159" s="199">
        <v>1</v>
      </c>
      <c r="Y159" s="199">
        <v>13</v>
      </c>
      <c r="Z159" s="199"/>
      <c r="AA159" s="199"/>
      <c r="AB159" s="199">
        <v>18.45</v>
      </c>
      <c r="AC159" s="199">
        <v>13</v>
      </c>
      <c r="AD159" s="199">
        <v>59.791700000000006</v>
      </c>
    </row>
    <row r="160" spans="21:30" ht="20.149999999999999" customHeight="1" x14ac:dyDescent="0.35">
      <c r="U160" s="199">
        <v>11.962484999999999</v>
      </c>
      <c r="V160" s="199">
        <v>62.208300000000008</v>
      </c>
      <c r="W160" s="199">
        <v>9.1667389999999997</v>
      </c>
      <c r="X160" s="199">
        <v>3</v>
      </c>
      <c r="Y160" s="199">
        <v>63</v>
      </c>
      <c r="Z160" s="199"/>
      <c r="AA160" s="199"/>
      <c r="AB160" s="200">
        <v>11.962484999999999</v>
      </c>
      <c r="AC160" s="200">
        <v>63</v>
      </c>
      <c r="AD160" s="200">
        <v>62.208300000000008</v>
      </c>
    </row>
    <row r="161" spans="21:30" ht="20.149999999999999" customHeight="1" x14ac:dyDescent="0.35">
      <c r="U161" s="199">
        <v>13.087485000000001</v>
      </c>
      <c r="V161" s="199">
        <v>56.833299999999994</v>
      </c>
      <c r="W161" s="199">
        <v>10.042161</v>
      </c>
      <c r="X161" s="199">
        <v>5</v>
      </c>
      <c r="Y161" s="199">
        <v>67</v>
      </c>
      <c r="Z161" s="199"/>
      <c r="AA161" s="199"/>
      <c r="AB161" s="199">
        <v>13.087485000000001</v>
      </c>
      <c r="AC161" s="199">
        <v>67</v>
      </c>
      <c r="AD161" s="199">
        <v>56.833299999999994</v>
      </c>
    </row>
    <row r="162" spans="21:30" ht="20.149999999999999" customHeight="1" x14ac:dyDescent="0.35">
      <c r="U162" s="199">
        <v>12.375000000000002</v>
      </c>
      <c r="V162" s="199">
        <v>60.5</v>
      </c>
      <c r="W162" s="199">
        <v>9.4171180000000003</v>
      </c>
      <c r="X162" s="199">
        <v>10</v>
      </c>
      <c r="Y162" s="199">
        <v>54</v>
      </c>
      <c r="Z162" s="199"/>
      <c r="AA162" s="199"/>
      <c r="AB162" s="200">
        <v>12.375000000000002</v>
      </c>
      <c r="AC162" s="200">
        <v>54</v>
      </c>
      <c r="AD162" s="200">
        <v>60.5</v>
      </c>
    </row>
    <row r="163" spans="21:30" ht="20.149999999999999" customHeight="1" x14ac:dyDescent="0.35">
      <c r="U163" s="199">
        <v>9.9374850000000006</v>
      </c>
      <c r="V163" s="199">
        <v>65.458300000000008</v>
      </c>
      <c r="W163" s="199">
        <v>10.374949999999998</v>
      </c>
      <c r="X163" s="199">
        <v>8</v>
      </c>
      <c r="Y163" s="199">
        <v>47</v>
      </c>
      <c r="Z163" s="199"/>
      <c r="AA163" s="199"/>
      <c r="AB163" s="199">
        <v>9.9374850000000006</v>
      </c>
      <c r="AC163" s="199">
        <v>47</v>
      </c>
      <c r="AD163" s="199">
        <v>65.458300000000008</v>
      </c>
    </row>
    <row r="164" spans="21:30" ht="20.149999999999999" customHeight="1" x14ac:dyDescent="0.35">
      <c r="U164" s="199">
        <v>10.724985</v>
      </c>
      <c r="V164" s="199">
        <v>74.791700000000006</v>
      </c>
      <c r="W164" s="199">
        <v>10.958988999999999</v>
      </c>
      <c r="X164" s="199">
        <v>3</v>
      </c>
      <c r="Y164" s="199">
        <v>63</v>
      </c>
      <c r="Z164" s="199"/>
      <c r="AA164" s="199"/>
      <c r="AB164" s="200">
        <v>10.724985</v>
      </c>
      <c r="AC164" s="200">
        <v>63</v>
      </c>
      <c r="AD164" s="200">
        <v>74.791700000000006</v>
      </c>
    </row>
    <row r="165" spans="21:30" ht="20.149999999999999" customHeight="1" x14ac:dyDescent="0.35">
      <c r="U165" s="199">
        <v>12.712499999999999</v>
      </c>
      <c r="V165" s="199">
        <v>49.458300000000001</v>
      </c>
      <c r="W165" s="199">
        <v>20.458449999999999</v>
      </c>
      <c r="X165" s="199">
        <v>3</v>
      </c>
      <c r="Y165" s="199">
        <v>67</v>
      </c>
      <c r="Z165" s="199"/>
      <c r="AA165" s="199"/>
      <c r="AB165" s="199">
        <v>12.712499999999999</v>
      </c>
      <c r="AC165" s="199">
        <v>67</v>
      </c>
      <c r="AD165" s="199">
        <v>49.458300000000001</v>
      </c>
    </row>
    <row r="166" spans="21:30" ht="20.149999999999999" customHeight="1" x14ac:dyDescent="0.35">
      <c r="U166" s="199">
        <v>14.2875</v>
      </c>
      <c r="V166" s="199">
        <v>50.708299999999994</v>
      </c>
      <c r="W166" s="199">
        <v>18.041961000000001</v>
      </c>
      <c r="X166" s="199">
        <v>4</v>
      </c>
      <c r="Y166" s="199">
        <v>71</v>
      </c>
      <c r="Z166" s="199"/>
      <c r="AA166" s="199"/>
      <c r="AB166" s="200">
        <v>14.2875</v>
      </c>
      <c r="AC166" s="200">
        <v>71</v>
      </c>
      <c r="AD166" s="200">
        <v>50.708299999999994</v>
      </c>
    </row>
    <row r="167" spans="21:30" ht="20.149999999999999" customHeight="1" x14ac:dyDescent="0.35">
      <c r="U167" s="199">
        <v>19.012499999999999</v>
      </c>
      <c r="V167" s="199">
        <v>47.166699999999999</v>
      </c>
      <c r="W167" s="199">
        <v>11.250104</v>
      </c>
      <c r="X167" s="199">
        <v>4</v>
      </c>
      <c r="Y167" s="199">
        <v>71</v>
      </c>
      <c r="Z167" s="199"/>
      <c r="AA167" s="199"/>
      <c r="AB167" s="199">
        <v>19.012499999999999</v>
      </c>
      <c r="AC167" s="199">
        <v>71</v>
      </c>
      <c r="AD167" s="199">
        <v>47.166699999999999</v>
      </c>
    </row>
    <row r="168" spans="21:30" ht="20.149999999999999" customHeight="1" x14ac:dyDescent="0.35">
      <c r="U168" s="199">
        <v>16.875</v>
      </c>
      <c r="V168" s="199">
        <v>68.833299999999994</v>
      </c>
      <c r="W168" s="199">
        <v>13.833556999999999</v>
      </c>
      <c r="X168" s="199">
        <v>4</v>
      </c>
      <c r="Y168" s="199">
        <v>68</v>
      </c>
      <c r="Z168" s="199"/>
      <c r="AA168" s="199"/>
      <c r="AB168" s="200">
        <v>16.875</v>
      </c>
      <c r="AC168" s="200">
        <v>68</v>
      </c>
      <c r="AD168" s="200">
        <v>68.833299999999994</v>
      </c>
    </row>
    <row r="169" spans="21:30" ht="20.149999999999999" customHeight="1" x14ac:dyDescent="0.35">
      <c r="U169" s="199">
        <v>11.624984999999999</v>
      </c>
      <c r="V169" s="199">
        <v>73.583299999999994</v>
      </c>
      <c r="W169" s="199">
        <v>9.5829429999999984</v>
      </c>
      <c r="X169" s="199">
        <v>6</v>
      </c>
      <c r="Y169" s="199">
        <v>49</v>
      </c>
      <c r="Z169" s="199"/>
      <c r="AA169" s="199"/>
      <c r="AB169" s="199">
        <v>11.624984999999999</v>
      </c>
      <c r="AC169" s="199">
        <v>49</v>
      </c>
      <c r="AD169" s="199">
        <v>73.583299999999994</v>
      </c>
    </row>
    <row r="170" spans="21:30" ht="20.149999999999999" customHeight="1" x14ac:dyDescent="0.35">
      <c r="U170" s="199">
        <v>10.724985</v>
      </c>
      <c r="V170" s="199">
        <v>67.041700000000006</v>
      </c>
      <c r="W170" s="199">
        <v>8.0003360000000008</v>
      </c>
      <c r="X170" s="199">
        <v>4</v>
      </c>
      <c r="Y170" s="199">
        <v>44</v>
      </c>
      <c r="Z170" s="199"/>
      <c r="AA170" s="199"/>
      <c r="AB170" s="200">
        <v>10.724985</v>
      </c>
      <c r="AC170" s="200">
        <v>44</v>
      </c>
      <c r="AD170" s="200">
        <v>67.041700000000006</v>
      </c>
    </row>
    <row r="171" spans="21:30" ht="20.149999999999999" customHeight="1" x14ac:dyDescent="0.35">
      <c r="U171" s="199">
        <v>12.450015</v>
      </c>
      <c r="V171" s="199">
        <v>66.666700000000006</v>
      </c>
      <c r="W171" s="199">
        <v>6.8339999999999996</v>
      </c>
      <c r="X171" s="199">
        <v>5</v>
      </c>
      <c r="Y171" s="199">
        <v>63</v>
      </c>
      <c r="Z171" s="199"/>
      <c r="AA171" s="199"/>
      <c r="AB171" s="199">
        <v>12.450015</v>
      </c>
      <c r="AC171" s="199">
        <v>63</v>
      </c>
      <c r="AD171" s="199">
        <v>66.666700000000006</v>
      </c>
    </row>
    <row r="172" spans="21:30" ht="20.149999999999999" customHeight="1" x14ac:dyDescent="0.35">
      <c r="U172" s="199">
        <v>17.362485</v>
      </c>
      <c r="V172" s="199">
        <v>74.625</v>
      </c>
      <c r="W172" s="199">
        <v>10.416824999999999</v>
      </c>
      <c r="X172" s="199">
        <v>4</v>
      </c>
      <c r="Y172" s="199">
        <v>71</v>
      </c>
      <c r="Z172" s="199"/>
      <c r="AA172" s="199"/>
      <c r="AB172" s="200">
        <v>17.362485</v>
      </c>
      <c r="AC172" s="200">
        <v>71</v>
      </c>
      <c r="AD172" s="200">
        <v>74.625</v>
      </c>
    </row>
    <row r="173" spans="21:30" ht="20.149999999999999" customHeight="1" x14ac:dyDescent="0.35">
      <c r="U173" s="199">
        <v>19.274985000000001</v>
      </c>
      <c r="V173" s="199">
        <v>77.041700000000006</v>
      </c>
      <c r="W173" s="199">
        <v>11.458675000000001</v>
      </c>
      <c r="X173" s="199">
        <v>2</v>
      </c>
      <c r="Y173" s="199">
        <v>51</v>
      </c>
      <c r="Z173" s="199"/>
      <c r="AA173" s="199"/>
      <c r="AB173" s="199">
        <v>19.274985000000001</v>
      </c>
      <c r="AC173" s="199">
        <v>51</v>
      </c>
      <c r="AD173" s="199">
        <v>77.041700000000006</v>
      </c>
    </row>
    <row r="174" spans="21:30" ht="20.149999999999999" customHeight="1" x14ac:dyDescent="0.35">
      <c r="U174" s="199">
        <v>19.049985</v>
      </c>
      <c r="V174" s="199">
        <v>70.75</v>
      </c>
      <c r="W174" s="199">
        <v>11.541554</v>
      </c>
      <c r="X174" s="199">
        <v>5</v>
      </c>
      <c r="Y174" s="199">
        <v>57</v>
      </c>
      <c r="Z174" s="199"/>
      <c r="AA174" s="199"/>
      <c r="AB174" s="200">
        <v>19.049985</v>
      </c>
      <c r="AC174" s="200">
        <v>57</v>
      </c>
      <c r="AD174" s="200">
        <v>70.75</v>
      </c>
    </row>
    <row r="175" spans="21:30" ht="20.149999999999999" customHeight="1" x14ac:dyDescent="0.35">
      <c r="U175" s="199">
        <v>16.799985</v>
      </c>
      <c r="V175" s="199">
        <v>70.333299999999994</v>
      </c>
      <c r="W175" s="199">
        <v>15.999867999999999</v>
      </c>
      <c r="X175" s="199">
        <v>3</v>
      </c>
      <c r="Y175" s="199">
        <v>41</v>
      </c>
      <c r="Z175" s="199"/>
      <c r="AA175" s="199"/>
      <c r="AB175" s="199">
        <v>16.799985</v>
      </c>
      <c r="AC175" s="199">
        <v>41</v>
      </c>
      <c r="AD175" s="199">
        <v>70.333299999999994</v>
      </c>
    </row>
    <row r="176" spans="21:30" ht="20.149999999999999" customHeight="1" x14ac:dyDescent="0.35">
      <c r="U176" s="199">
        <v>13.612499999999999</v>
      </c>
      <c r="V176" s="199">
        <v>57.333300000000001</v>
      </c>
      <c r="W176" s="199">
        <v>14.875674999999999</v>
      </c>
      <c r="X176" s="199">
        <v>3</v>
      </c>
      <c r="Y176" s="199">
        <v>17</v>
      </c>
      <c r="Z176" s="199"/>
      <c r="AA176" s="199"/>
      <c r="AB176" s="200">
        <v>13.612499999999999</v>
      </c>
      <c r="AC176" s="200">
        <v>17</v>
      </c>
      <c r="AD176" s="200">
        <v>57.333300000000001</v>
      </c>
    </row>
    <row r="177" spans="21:30" ht="20.149999999999999" customHeight="1" x14ac:dyDescent="0.35">
      <c r="U177" s="199">
        <v>12.365235</v>
      </c>
      <c r="V177" s="199">
        <v>48.333300000000001</v>
      </c>
      <c r="W177" s="199">
        <v>14.041257</v>
      </c>
      <c r="X177" s="199">
        <v>6</v>
      </c>
      <c r="Y177" s="199">
        <v>9</v>
      </c>
      <c r="Z177" s="199"/>
      <c r="AA177" s="199"/>
      <c r="AB177" s="199">
        <v>12.365235</v>
      </c>
      <c r="AC177" s="199">
        <v>9</v>
      </c>
      <c r="AD177" s="199">
        <v>48.333300000000001</v>
      </c>
    </row>
    <row r="178" spans="21:30" ht="20.149999999999999" customHeight="1" x14ac:dyDescent="0.35">
      <c r="U178" s="199">
        <v>14.478255000000001</v>
      </c>
      <c r="V178" s="199">
        <v>51.333300000000001</v>
      </c>
      <c r="W178" s="199">
        <v>6.3337310999999996</v>
      </c>
      <c r="X178" s="199">
        <v>9</v>
      </c>
      <c r="Y178" s="199">
        <v>18</v>
      </c>
      <c r="Z178" s="199"/>
      <c r="AA178" s="199"/>
      <c r="AB178" s="200">
        <v>14.478255000000001</v>
      </c>
      <c r="AC178" s="200">
        <v>18</v>
      </c>
      <c r="AD178" s="200">
        <v>51.333300000000001</v>
      </c>
    </row>
    <row r="179" spans="21:30" ht="20.149999999999999" customHeight="1" x14ac:dyDescent="0.35">
      <c r="U179" s="199">
        <v>14.625</v>
      </c>
      <c r="V179" s="199">
        <v>65.833299999999994</v>
      </c>
      <c r="W179" s="199">
        <v>7.2083960000000005</v>
      </c>
      <c r="X179" s="199">
        <v>2</v>
      </c>
      <c r="Y179" s="199">
        <v>21</v>
      </c>
      <c r="Z179" s="199"/>
      <c r="AA179" s="199"/>
      <c r="AB179" s="199">
        <v>14.625</v>
      </c>
      <c r="AC179" s="199">
        <v>21</v>
      </c>
      <c r="AD179" s="199">
        <v>65.833299999999994</v>
      </c>
    </row>
    <row r="180" spans="21:30" ht="20.149999999999999" customHeight="1" x14ac:dyDescent="0.35">
      <c r="U180" s="199">
        <v>13.460850000000001</v>
      </c>
      <c r="V180" s="199">
        <v>63.416700000000006</v>
      </c>
      <c r="W180" s="199">
        <v>9.6669609999999988</v>
      </c>
      <c r="X180" s="199">
        <v>5</v>
      </c>
      <c r="Y180" s="199">
        <v>41</v>
      </c>
      <c r="Z180" s="199"/>
      <c r="AA180" s="199"/>
      <c r="AB180" s="200">
        <v>13.460850000000001</v>
      </c>
      <c r="AC180" s="200">
        <v>41</v>
      </c>
      <c r="AD180" s="200">
        <v>63.416700000000006</v>
      </c>
    </row>
    <row r="181" spans="21:30" ht="20.149999999999999" customHeight="1" x14ac:dyDescent="0.35">
      <c r="U181" s="199">
        <v>11.174985</v>
      </c>
      <c r="V181" s="199">
        <v>49.791699999999999</v>
      </c>
      <c r="W181" s="199">
        <v>17.542007000000002</v>
      </c>
      <c r="X181" s="199">
        <v>5</v>
      </c>
      <c r="Y181" s="199">
        <v>43</v>
      </c>
      <c r="Z181" s="199"/>
      <c r="AA181" s="199"/>
      <c r="AB181" s="199">
        <v>11.174985</v>
      </c>
      <c r="AC181" s="199">
        <v>43</v>
      </c>
      <c r="AD181" s="199">
        <v>49.791699999999999</v>
      </c>
    </row>
    <row r="182" spans="21:30" ht="20.149999999999999" customHeight="1" x14ac:dyDescent="0.35">
      <c r="U182" s="199">
        <v>14.025015000000002</v>
      </c>
      <c r="V182" s="199">
        <v>43.416700000000006</v>
      </c>
      <c r="W182" s="199">
        <v>12.415904000000001</v>
      </c>
      <c r="X182" s="199">
        <v>10</v>
      </c>
      <c r="Y182" s="199">
        <v>50</v>
      </c>
      <c r="Z182" s="199"/>
      <c r="AA182" s="199"/>
      <c r="AB182" s="200">
        <v>14.025015000000002</v>
      </c>
      <c r="AC182" s="200">
        <v>50</v>
      </c>
      <c r="AD182" s="200">
        <v>43.416700000000006</v>
      </c>
    </row>
    <row r="183" spans="21:30" ht="20.149999999999999" customHeight="1" x14ac:dyDescent="0.35">
      <c r="U183" s="199">
        <v>18.45</v>
      </c>
      <c r="V183" s="199">
        <v>39.625</v>
      </c>
      <c r="W183" s="199">
        <v>6.8747360000000004</v>
      </c>
      <c r="X183" s="199">
        <v>13</v>
      </c>
      <c r="Y183" s="199">
        <v>36</v>
      </c>
      <c r="Z183" s="199"/>
      <c r="AA183" s="199"/>
      <c r="AB183" s="199">
        <v>18.45</v>
      </c>
      <c r="AC183" s="199">
        <v>36</v>
      </c>
      <c r="AD183" s="199">
        <v>39.625</v>
      </c>
    </row>
    <row r="184" spans="21:30" ht="20.149999999999999" customHeight="1" x14ac:dyDescent="0.35">
      <c r="U184" s="199">
        <v>15.487515</v>
      </c>
      <c r="V184" s="199">
        <v>44.458300000000001</v>
      </c>
      <c r="W184" s="199">
        <v>7.7091539999999998</v>
      </c>
      <c r="X184" s="199">
        <v>7</v>
      </c>
      <c r="Y184" s="199">
        <v>13</v>
      </c>
      <c r="Z184" s="199"/>
      <c r="AA184" s="199"/>
      <c r="AB184" s="200">
        <v>15.487515</v>
      </c>
      <c r="AC184" s="200">
        <v>13</v>
      </c>
      <c r="AD184" s="200">
        <v>44.458300000000001</v>
      </c>
    </row>
    <row r="185" spans="21:30" ht="20.149999999999999" customHeight="1" x14ac:dyDescent="0.35">
      <c r="U185" s="199">
        <v>16.35651</v>
      </c>
      <c r="V185" s="199">
        <v>68.25</v>
      </c>
      <c r="W185" s="199">
        <v>15.333486000000001</v>
      </c>
      <c r="X185" s="199">
        <v>3</v>
      </c>
      <c r="Y185" s="199">
        <v>13</v>
      </c>
      <c r="Z185" s="199"/>
      <c r="AA185" s="199"/>
      <c r="AB185" s="199">
        <v>16.35651</v>
      </c>
      <c r="AC185" s="199">
        <v>13</v>
      </c>
      <c r="AD185" s="199">
        <v>68.25</v>
      </c>
    </row>
    <row r="186" spans="21:30" ht="20.149999999999999" customHeight="1" x14ac:dyDescent="0.35">
      <c r="U186" s="199">
        <v>8.8363800000000001</v>
      </c>
      <c r="V186" s="199">
        <v>63.791699999999999</v>
      </c>
      <c r="W186" s="199">
        <v>5.4591064000000005</v>
      </c>
      <c r="X186" s="199">
        <v>2</v>
      </c>
      <c r="Y186" s="199">
        <v>25</v>
      </c>
      <c r="Z186" s="199"/>
      <c r="AA186" s="199"/>
      <c r="AB186" s="200">
        <v>8.8363800000000001</v>
      </c>
      <c r="AC186" s="200">
        <v>25</v>
      </c>
      <c r="AD186" s="200">
        <v>63.791699999999999</v>
      </c>
    </row>
    <row r="187" spans="21:30" ht="20.149999999999999" customHeight="1" x14ac:dyDescent="0.35">
      <c r="U187" s="199">
        <v>9</v>
      </c>
      <c r="V187" s="199">
        <v>59.041699999999999</v>
      </c>
      <c r="W187" s="199">
        <v>8.4592860000000005</v>
      </c>
      <c r="X187" s="199">
        <v>2</v>
      </c>
      <c r="Y187" s="199">
        <v>29</v>
      </c>
      <c r="Z187" s="199"/>
      <c r="AA187" s="199"/>
      <c r="AB187" s="199">
        <v>9</v>
      </c>
      <c r="AC187" s="199">
        <v>29</v>
      </c>
      <c r="AD187" s="199">
        <v>59.041699999999999</v>
      </c>
    </row>
    <row r="188" spans="21:30" ht="20.149999999999999" customHeight="1" x14ac:dyDescent="0.35">
      <c r="U188" s="199">
        <v>10.213065</v>
      </c>
      <c r="V188" s="199">
        <v>74.333300000000008</v>
      </c>
      <c r="W188" s="199">
        <v>10.042161</v>
      </c>
      <c r="X188" s="199">
        <v>2</v>
      </c>
      <c r="Y188" s="199">
        <v>30</v>
      </c>
      <c r="Z188" s="199"/>
      <c r="AA188" s="199"/>
      <c r="AB188" s="200">
        <v>10.213065</v>
      </c>
      <c r="AC188" s="200">
        <v>30</v>
      </c>
      <c r="AD188" s="200">
        <v>74.333300000000008</v>
      </c>
    </row>
    <row r="189" spans="21:30" ht="20.149999999999999" customHeight="1" x14ac:dyDescent="0.35">
      <c r="U189" s="199">
        <v>9.1956600000000002</v>
      </c>
      <c r="V189" s="199">
        <v>65.125</v>
      </c>
      <c r="W189" s="199">
        <v>10.666400000000001</v>
      </c>
      <c r="X189" s="199">
        <v>2</v>
      </c>
      <c r="Y189" s="199">
        <v>30</v>
      </c>
      <c r="Z189" s="199"/>
      <c r="AA189" s="199"/>
      <c r="AB189" s="199">
        <v>9.1956600000000002</v>
      </c>
      <c r="AC189" s="199">
        <v>30</v>
      </c>
      <c r="AD189" s="199">
        <v>65.125</v>
      </c>
    </row>
    <row r="190" spans="21:30" ht="20.149999999999999" customHeight="1" x14ac:dyDescent="0.35">
      <c r="U190" s="199">
        <v>8.843490000000001</v>
      </c>
      <c r="V190" s="199">
        <v>75.791699999999992</v>
      </c>
      <c r="W190" s="199">
        <v>15.083643</v>
      </c>
      <c r="X190" s="199">
        <v>3</v>
      </c>
      <c r="Y190" s="199">
        <v>27</v>
      </c>
      <c r="Z190" s="199"/>
      <c r="AA190" s="199"/>
      <c r="AB190" s="200">
        <v>8.843490000000001</v>
      </c>
      <c r="AC190" s="200">
        <v>27</v>
      </c>
      <c r="AD190" s="200">
        <v>75.791699999999992</v>
      </c>
    </row>
    <row r="191" spans="21:30" ht="20.149999999999999" customHeight="1" x14ac:dyDescent="0.35">
      <c r="U191" s="199">
        <v>7.4250000000000007</v>
      </c>
      <c r="V191" s="199">
        <v>60.916699999999999</v>
      </c>
      <c r="W191" s="199">
        <v>11.250104</v>
      </c>
      <c r="X191" s="199">
        <v>1</v>
      </c>
      <c r="Y191" s="199">
        <v>18</v>
      </c>
      <c r="Z191" s="199"/>
      <c r="AA191" s="199"/>
      <c r="AB191" s="199">
        <v>7.4250000000000007</v>
      </c>
      <c r="AC191" s="199">
        <v>18</v>
      </c>
      <c r="AD191" s="199">
        <v>60.916699999999999</v>
      </c>
    </row>
    <row r="192" spans="21:30" ht="20.149999999999999" customHeight="1" x14ac:dyDescent="0.35">
      <c r="U192" s="199">
        <v>6.2249850000000002</v>
      </c>
      <c r="V192" s="199">
        <v>57.833300000000001</v>
      </c>
      <c r="W192" s="199">
        <v>12.292557</v>
      </c>
      <c r="X192" s="199">
        <v>1</v>
      </c>
      <c r="Y192" s="199">
        <v>15</v>
      </c>
      <c r="Z192" s="199"/>
      <c r="AA192" s="199"/>
      <c r="AB192" s="200">
        <v>6.2249850000000002</v>
      </c>
      <c r="AC192" s="200">
        <v>15</v>
      </c>
      <c r="AD192" s="200">
        <v>57.833300000000001</v>
      </c>
    </row>
    <row r="193" spans="21:30" ht="20.149999999999999" customHeight="1" x14ac:dyDescent="0.35">
      <c r="U193" s="199">
        <v>6.7874850000000002</v>
      </c>
      <c r="V193" s="199">
        <v>63.583300000000001</v>
      </c>
      <c r="W193" s="199">
        <v>18.916578999999999</v>
      </c>
      <c r="X193" s="199">
        <v>1</v>
      </c>
      <c r="Y193" s="199">
        <v>26</v>
      </c>
      <c r="Z193" s="199"/>
      <c r="AA193" s="199"/>
      <c r="AB193" s="199">
        <v>6.7874850000000002</v>
      </c>
      <c r="AC193" s="199">
        <v>26</v>
      </c>
      <c r="AD193" s="199">
        <v>63.583300000000001</v>
      </c>
    </row>
    <row r="194" spans="21:30" ht="20.149999999999999" customHeight="1" x14ac:dyDescent="0.35">
      <c r="U194" s="199">
        <v>7.6090949999999999</v>
      </c>
      <c r="V194" s="199">
        <v>55.916699999999999</v>
      </c>
      <c r="W194" s="199">
        <v>13.417017999999999</v>
      </c>
      <c r="X194" s="199">
        <v>1</v>
      </c>
      <c r="Y194" s="199">
        <v>24</v>
      </c>
      <c r="Z194" s="199"/>
      <c r="AA194" s="199"/>
      <c r="AB194" s="200">
        <v>7.6090949999999999</v>
      </c>
      <c r="AC194" s="200">
        <v>24</v>
      </c>
      <c r="AD194" s="200">
        <v>55.916699999999999</v>
      </c>
    </row>
    <row r="195" spans="21:30" ht="20.149999999999999" customHeight="1" x14ac:dyDescent="0.35">
      <c r="U195" s="199">
        <v>7.7727149999999998</v>
      </c>
      <c r="V195" s="199">
        <v>63.166699999999999</v>
      </c>
      <c r="W195" s="199">
        <v>9.7909110000000013</v>
      </c>
      <c r="X195" s="199">
        <v>1</v>
      </c>
      <c r="Y195" s="199">
        <v>23</v>
      </c>
      <c r="Z195" s="199"/>
      <c r="AA195" s="199"/>
      <c r="AB195" s="199">
        <v>7.7727149999999998</v>
      </c>
      <c r="AC195" s="199">
        <v>23</v>
      </c>
      <c r="AD195" s="199">
        <v>63.166699999999999</v>
      </c>
    </row>
    <row r="196" spans="21:30" ht="20.149999999999999" customHeight="1" x14ac:dyDescent="0.35">
      <c r="U196" s="199">
        <v>7.4250000000000007</v>
      </c>
      <c r="V196" s="199">
        <v>47.625</v>
      </c>
      <c r="W196" s="199">
        <v>16.124689</v>
      </c>
      <c r="X196" s="199">
        <v>1</v>
      </c>
      <c r="Y196" s="199">
        <v>27</v>
      </c>
      <c r="Z196" s="199"/>
      <c r="AA196" s="199"/>
      <c r="AB196" s="200">
        <v>7.4250000000000007</v>
      </c>
      <c r="AC196" s="200">
        <v>27</v>
      </c>
      <c r="AD196" s="200">
        <v>47.625</v>
      </c>
    </row>
    <row r="197" spans="21:30" ht="20.149999999999999" customHeight="1" x14ac:dyDescent="0.35">
      <c r="U197" s="199">
        <v>7.2391500000000004</v>
      </c>
      <c r="V197" s="199">
        <v>59.125000000000007</v>
      </c>
      <c r="W197" s="199">
        <v>12.249810999999999</v>
      </c>
      <c r="X197" s="199">
        <v>1</v>
      </c>
      <c r="Y197" s="199">
        <v>27</v>
      </c>
      <c r="Z197" s="199"/>
      <c r="AA197" s="199"/>
      <c r="AB197" s="199">
        <v>7.2391500000000004</v>
      </c>
      <c r="AC197" s="199">
        <v>27</v>
      </c>
      <c r="AD197" s="199">
        <v>59.125000000000007</v>
      </c>
    </row>
    <row r="198" spans="21:30" ht="20.149999999999999" customHeight="1" x14ac:dyDescent="0.35">
      <c r="U198" s="199">
        <v>10.499985000000001</v>
      </c>
      <c r="V198" s="199">
        <v>58.5</v>
      </c>
      <c r="W198" s="199">
        <v>13.958914</v>
      </c>
      <c r="X198" s="199">
        <v>4</v>
      </c>
      <c r="Y198" s="199">
        <v>21</v>
      </c>
      <c r="Z198" s="199"/>
      <c r="AA198" s="199"/>
      <c r="AB198" s="200">
        <v>10.499985000000001</v>
      </c>
      <c r="AC198" s="200">
        <v>21</v>
      </c>
      <c r="AD198" s="200">
        <v>58.5</v>
      </c>
    </row>
    <row r="199" spans="21:30" ht="20.149999999999999" customHeight="1" x14ac:dyDescent="0.35">
      <c r="U199" s="199">
        <v>10.425015</v>
      </c>
      <c r="V199" s="199">
        <v>60.416699999999999</v>
      </c>
      <c r="W199" s="199">
        <v>16.417211000000002</v>
      </c>
      <c r="X199" s="199">
        <v>5</v>
      </c>
      <c r="Y199" s="199">
        <v>19</v>
      </c>
      <c r="Z199" s="199"/>
      <c r="AA199" s="199"/>
      <c r="AB199" s="199">
        <v>10.425015</v>
      </c>
      <c r="AC199" s="199">
        <v>19</v>
      </c>
      <c r="AD199" s="199">
        <v>60.416699999999999</v>
      </c>
    </row>
    <row r="200" spans="21:30" ht="20.149999999999999" customHeight="1" x14ac:dyDescent="0.35">
      <c r="U200" s="199">
        <v>7.9124849999999993</v>
      </c>
      <c r="V200" s="199">
        <v>65.125</v>
      </c>
      <c r="W200" s="199">
        <v>14.458867999999999</v>
      </c>
      <c r="X200" s="199">
        <v>2</v>
      </c>
      <c r="Y200" s="199">
        <v>18</v>
      </c>
      <c r="Z200" s="199"/>
      <c r="AA200" s="199"/>
      <c r="AB200" s="200">
        <v>7.9124849999999993</v>
      </c>
      <c r="AC200" s="200">
        <v>18</v>
      </c>
      <c r="AD200" s="200">
        <v>65.125</v>
      </c>
    </row>
    <row r="201" spans="21:30" ht="20.149999999999999" customHeight="1" x14ac:dyDescent="0.35">
      <c r="U201" s="199">
        <v>9.7500149999999994</v>
      </c>
      <c r="V201" s="199">
        <v>65.041700000000006</v>
      </c>
      <c r="W201" s="199">
        <v>8.7501999999999995</v>
      </c>
      <c r="X201" s="199">
        <v>0</v>
      </c>
      <c r="Y201" s="199">
        <v>13</v>
      </c>
      <c r="Z201" s="199"/>
      <c r="AA201" s="199"/>
      <c r="AB201" s="199">
        <v>9.7500149999999994</v>
      </c>
      <c r="AC201" s="199">
        <v>13</v>
      </c>
      <c r="AD201" s="199">
        <v>65.041700000000006</v>
      </c>
    </row>
    <row r="202" spans="21:30" ht="20.149999999999999" customHeight="1" x14ac:dyDescent="0.35">
      <c r="U202" s="199">
        <v>13.147829999999999</v>
      </c>
      <c r="V202" s="199">
        <v>70.708300000000008</v>
      </c>
      <c r="W202" s="199">
        <v>7.6257390000000003</v>
      </c>
      <c r="X202" s="199">
        <v>2</v>
      </c>
      <c r="Y202" s="199">
        <v>31</v>
      </c>
      <c r="Z202" s="199"/>
      <c r="AA202" s="199"/>
      <c r="AB202" s="200">
        <v>13.147829999999999</v>
      </c>
      <c r="AC202" s="200">
        <v>31</v>
      </c>
      <c r="AD202" s="200">
        <v>70.708300000000008</v>
      </c>
    </row>
    <row r="203" spans="21:30" ht="20.149999999999999" customHeight="1" x14ac:dyDescent="0.35">
      <c r="U203" s="199">
        <v>11.775015</v>
      </c>
      <c r="V203" s="199">
        <v>69.125</v>
      </c>
      <c r="W203" s="199">
        <v>14.875406999999999</v>
      </c>
      <c r="X203" s="199">
        <v>2</v>
      </c>
      <c r="Y203" s="199">
        <v>37</v>
      </c>
      <c r="Z203" s="199"/>
      <c r="AA203" s="199"/>
      <c r="AB203" s="199">
        <v>11.775015</v>
      </c>
      <c r="AC203" s="199">
        <v>37</v>
      </c>
      <c r="AD203" s="199">
        <v>69.125</v>
      </c>
    </row>
    <row r="204" spans="21:30" ht="20.149999999999999" customHeight="1" x14ac:dyDescent="0.35">
      <c r="U204" s="199">
        <v>7.9874999999999998</v>
      </c>
      <c r="V204" s="199">
        <v>58.041699999999999</v>
      </c>
      <c r="W204" s="199">
        <v>8.9177</v>
      </c>
      <c r="X204" s="199">
        <v>2</v>
      </c>
      <c r="Y204" s="199">
        <v>29</v>
      </c>
      <c r="Z204" s="199"/>
      <c r="AA204" s="199"/>
      <c r="AB204" s="200">
        <v>7.9874999999999998</v>
      </c>
      <c r="AC204" s="200">
        <v>29</v>
      </c>
      <c r="AD204" s="200">
        <v>58.041699999999999</v>
      </c>
    </row>
    <row r="205" spans="21:30" ht="20.149999999999999" customHeight="1" x14ac:dyDescent="0.35">
      <c r="U205" s="199">
        <v>2.6608679999999998</v>
      </c>
      <c r="V205" s="199">
        <v>50</v>
      </c>
      <c r="W205" s="199">
        <v>8.7918070000000004</v>
      </c>
      <c r="X205" s="199">
        <v>2</v>
      </c>
      <c r="Y205" s="199">
        <v>18</v>
      </c>
      <c r="Z205" s="199"/>
      <c r="AA205" s="199"/>
      <c r="AB205" s="199">
        <v>2.6608679999999998</v>
      </c>
      <c r="AC205" s="199">
        <v>18</v>
      </c>
      <c r="AD205" s="199">
        <v>50</v>
      </c>
    </row>
    <row r="206" spans="21:30" ht="20.149999999999999" customHeight="1" x14ac:dyDescent="0.35">
      <c r="U206" s="199">
        <v>4.3434765000000004</v>
      </c>
      <c r="V206" s="199">
        <v>55.083300000000001</v>
      </c>
      <c r="W206" s="199">
        <v>11.334456999999999</v>
      </c>
      <c r="X206" s="199">
        <v>3</v>
      </c>
      <c r="Y206" s="199">
        <v>17</v>
      </c>
      <c r="Z206" s="199"/>
      <c r="AA206" s="199"/>
      <c r="AB206" s="200">
        <v>4.3434765000000004</v>
      </c>
      <c r="AC206" s="200">
        <v>17</v>
      </c>
      <c r="AD206" s="200">
        <v>55.083300000000001</v>
      </c>
    </row>
    <row r="207" spans="21:30" ht="20.149999999999999" customHeight="1" x14ac:dyDescent="0.35">
      <c r="U207" s="199">
        <v>4.3826084999999999</v>
      </c>
      <c r="V207" s="199">
        <v>75.708299999999994</v>
      </c>
      <c r="W207" s="199">
        <v>6.0841560999999995</v>
      </c>
      <c r="X207" s="199">
        <v>2</v>
      </c>
      <c r="Y207" s="199">
        <v>27</v>
      </c>
      <c r="Z207" s="199"/>
      <c r="AA207" s="199"/>
      <c r="AB207" s="199">
        <v>4.3826084999999999</v>
      </c>
      <c r="AC207" s="199">
        <v>27</v>
      </c>
      <c r="AD207" s="199">
        <v>75.708299999999994</v>
      </c>
    </row>
    <row r="208" spans="21:30" ht="20.149999999999999" customHeight="1" x14ac:dyDescent="0.35">
      <c r="U208" s="199">
        <v>10.056510000000001</v>
      </c>
      <c r="V208" s="199">
        <v>54.083300000000001</v>
      </c>
      <c r="W208" s="199">
        <v>13.417285999999999</v>
      </c>
      <c r="X208" s="199">
        <v>4</v>
      </c>
      <c r="Y208" s="199">
        <v>36</v>
      </c>
      <c r="Z208" s="199"/>
      <c r="AA208" s="199"/>
      <c r="AB208" s="200">
        <v>10.056510000000001</v>
      </c>
      <c r="AC208" s="200">
        <v>36</v>
      </c>
      <c r="AD208" s="200">
        <v>54.083300000000001</v>
      </c>
    </row>
    <row r="209" spans="21:30" ht="20.149999999999999" customHeight="1" x14ac:dyDescent="0.35">
      <c r="U209" s="199">
        <v>9.7874999999999996</v>
      </c>
      <c r="V209" s="199">
        <v>40.291700000000006</v>
      </c>
      <c r="W209" s="199">
        <v>12.292020999999998</v>
      </c>
      <c r="X209" s="199">
        <v>1</v>
      </c>
      <c r="Y209" s="199">
        <v>9</v>
      </c>
      <c r="Z209" s="199"/>
      <c r="AA209" s="199"/>
      <c r="AB209" s="199">
        <v>9.7874999999999996</v>
      </c>
      <c r="AC209" s="199">
        <v>9</v>
      </c>
      <c r="AD209" s="199">
        <v>40.291700000000006</v>
      </c>
    </row>
    <row r="210" spans="21:30" ht="20.149999999999999" customHeight="1" x14ac:dyDescent="0.35">
      <c r="U210" s="199">
        <v>8.7750000000000004</v>
      </c>
      <c r="V210" s="199">
        <v>58.333300000000001</v>
      </c>
      <c r="W210" s="199">
        <v>11.958093</v>
      </c>
      <c r="X210" s="199">
        <v>0</v>
      </c>
      <c r="Y210" s="199">
        <v>8</v>
      </c>
      <c r="Z210" s="199"/>
      <c r="AA210" s="199"/>
      <c r="AB210" s="200">
        <v>8.7750000000000004</v>
      </c>
      <c r="AC210" s="200">
        <v>8</v>
      </c>
      <c r="AD210" s="200">
        <v>58.333300000000001</v>
      </c>
    </row>
    <row r="211" spans="21:30" ht="20.149999999999999" customHeight="1" x14ac:dyDescent="0.35">
      <c r="U211" s="199">
        <v>9.156509999999999</v>
      </c>
      <c r="V211" s="199">
        <v>54.25</v>
      </c>
      <c r="W211" s="199">
        <v>11.667245999999999</v>
      </c>
      <c r="X211" s="199">
        <v>1</v>
      </c>
      <c r="Y211" s="199">
        <v>23</v>
      </c>
      <c r="Z211" s="199"/>
      <c r="AA211" s="199"/>
      <c r="AB211" s="199">
        <v>9.156509999999999</v>
      </c>
      <c r="AC211" s="199">
        <v>23</v>
      </c>
      <c r="AD211" s="199">
        <v>54.25</v>
      </c>
    </row>
    <row r="212" spans="21:30" ht="20.149999999999999" customHeight="1" x14ac:dyDescent="0.35">
      <c r="U212" s="199">
        <v>8.843490000000001</v>
      </c>
      <c r="V212" s="199">
        <v>46.583300000000001</v>
      </c>
      <c r="W212" s="199">
        <v>11.291979</v>
      </c>
      <c r="X212" s="199">
        <v>2</v>
      </c>
      <c r="Y212" s="199">
        <v>20</v>
      </c>
      <c r="Z212" s="199"/>
      <c r="AA212" s="199"/>
      <c r="AB212" s="200">
        <v>8.843490000000001</v>
      </c>
      <c r="AC212" s="200">
        <v>20</v>
      </c>
      <c r="AD212" s="200">
        <v>46.583300000000001</v>
      </c>
    </row>
    <row r="213" spans="21:30" ht="20.149999999999999" customHeight="1" x14ac:dyDescent="0.35">
      <c r="U213" s="199">
        <v>9.7434899999999995</v>
      </c>
      <c r="V213" s="199">
        <v>48.083300000000001</v>
      </c>
      <c r="W213" s="199">
        <v>11.042470999999999</v>
      </c>
      <c r="X213" s="199">
        <v>3</v>
      </c>
      <c r="Y213" s="199">
        <v>19</v>
      </c>
      <c r="Z213" s="199"/>
      <c r="AA213" s="199"/>
      <c r="AB213" s="199">
        <v>9.7434899999999995</v>
      </c>
      <c r="AC213" s="199">
        <v>19</v>
      </c>
      <c r="AD213" s="199">
        <v>48.083300000000001</v>
      </c>
    </row>
    <row r="214" spans="21:30" ht="20.149999999999999" customHeight="1" x14ac:dyDescent="0.35">
      <c r="U214" s="199">
        <v>8.1374849999999999</v>
      </c>
      <c r="V214" s="199">
        <v>55.083300000000001</v>
      </c>
      <c r="W214" s="199">
        <v>10.500038999999999</v>
      </c>
      <c r="X214" s="199">
        <v>1</v>
      </c>
      <c r="Y214" s="199">
        <v>29</v>
      </c>
      <c r="Z214" s="199"/>
      <c r="AA214" s="199"/>
      <c r="AB214" s="200">
        <v>8.1374849999999999</v>
      </c>
      <c r="AC214" s="200">
        <v>29</v>
      </c>
      <c r="AD214" s="200">
        <v>55.083300000000001</v>
      </c>
    </row>
    <row r="215" spans="21:30" ht="20.149999999999999" customHeight="1" x14ac:dyDescent="0.35">
      <c r="U215" s="199">
        <v>8.6478300000000008</v>
      </c>
      <c r="V215" s="199">
        <v>49.125</v>
      </c>
      <c r="W215" s="199">
        <v>13.79195</v>
      </c>
      <c r="X215" s="199">
        <v>1</v>
      </c>
      <c r="Y215" s="199">
        <v>26</v>
      </c>
      <c r="Z215" s="199"/>
      <c r="AA215" s="199"/>
      <c r="AB215" s="199">
        <v>8.6478300000000008</v>
      </c>
      <c r="AC215" s="199">
        <v>26</v>
      </c>
      <c r="AD215" s="199">
        <v>49.125</v>
      </c>
    </row>
    <row r="216" spans="21:30" ht="20.149999999999999" customHeight="1" x14ac:dyDescent="0.35">
      <c r="U216" s="199">
        <v>11.700000000000001</v>
      </c>
      <c r="V216" s="199">
        <v>65.75</v>
      </c>
      <c r="W216" s="199">
        <v>9.0840610000000002</v>
      </c>
      <c r="X216" s="199">
        <v>1</v>
      </c>
      <c r="Y216" s="199">
        <v>29</v>
      </c>
      <c r="Z216" s="199"/>
      <c r="AA216" s="199"/>
      <c r="AB216" s="200">
        <v>11.700000000000001</v>
      </c>
      <c r="AC216" s="200">
        <v>29</v>
      </c>
      <c r="AD216" s="200">
        <v>65.75</v>
      </c>
    </row>
    <row r="217" spans="21:30" ht="20.149999999999999" customHeight="1" x14ac:dyDescent="0.35">
      <c r="U217" s="199">
        <v>8.4130650000000013</v>
      </c>
      <c r="V217" s="199">
        <v>75.75</v>
      </c>
      <c r="W217" s="199">
        <v>13.20905</v>
      </c>
      <c r="X217" s="199">
        <v>1</v>
      </c>
      <c r="Y217" s="199">
        <v>30</v>
      </c>
      <c r="Z217" s="199"/>
      <c r="AA217" s="199"/>
      <c r="AB217" s="199">
        <v>8.4130650000000013</v>
      </c>
      <c r="AC217" s="199">
        <v>30</v>
      </c>
      <c r="AD217" s="199">
        <v>75.75</v>
      </c>
    </row>
    <row r="218" spans="21:30" ht="20.149999999999999" customHeight="1" x14ac:dyDescent="0.35">
      <c r="U218" s="199">
        <v>9.50868</v>
      </c>
      <c r="V218" s="199">
        <v>63.083299999999994</v>
      </c>
      <c r="W218" s="199">
        <v>12.374632</v>
      </c>
      <c r="X218" s="199">
        <v>2</v>
      </c>
      <c r="Y218" s="199">
        <v>32</v>
      </c>
      <c r="Z218" s="199"/>
      <c r="AA218" s="199"/>
      <c r="AB218" s="200">
        <v>9.50868</v>
      </c>
      <c r="AC218" s="200">
        <v>32</v>
      </c>
      <c r="AD218" s="200">
        <v>63.083299999999994</v>
      </c>
    </row>
    <row r="219" spans="21:30" ht="20.149999999999999" customHeight="1" x14ac:dyDescent="0.35">
      <c r="U219" s="199">
        <v>10.499985000000001</v>
      </c>
      <c r="V219" s="199">
        <v>75.5</v>
      </c>
      <c r="W219" s="199">
        <v>15.29275</v>
      </c>
      <c r="X219" s="199">
        <v>2</v>
      </c>
      <c r="Y219" s="199">
        <v>18</v>
      </c>
      <c r="Z219" s="199"/>
      <c r="AA219" s="199"/>
      <c r="AB219" s="199">
        <v>10.499985000000001</v>
      </c>
      <c r="AC219" s="199">
        <v>18</v>
      </c>
      <c r="AD219" s="199">
        <v>75.5</v>
      </c>
    </row>
    <row r="220" spans="21:30" ht="20.149999999999999" customHeight="1" x14ac:dyDescent="0.35">
      <c r="U220" s="199">
        <v>12.862485</v>
      </c>
      <c r="V220" s="199">
        <v>75.291699999999992</v>
      </c>
      <c r="W220" s="199">
        <v>13.499629000000001</v>
      </c>
      <c r="X220" s="199">
        <v>7</v>
      </c>
      <c r="Y220" s="199">
        <v>25</v>
      </c>
      <c r="Z220" s="199"/>
      <c r="AA220" s="199"/>
      <c r="AB220" s="200">
        <v>12.862485</v>
      </c>
      <c r="AC220" s="200">
        <v>25</v>
      </c>
      <c r="AD220" s="200">
        <v>75.291699999999992</v>
      </c>
    </row>
    <row r="221" spans="21:30" ht="20.149999999999999" customHeight="1" x14ac:dyDescent="0.35">
      <c r="U221" s="199">
        <v>12.225014999999999</v>
      </c>
      <c r="V221" s="199">
        <v>59.208300000000001</v>
      </c>
      <c r="W221" s="199">
        <v>12.875725000000001</v>
      </c>
      <c r="X221" s="199">
        <v>2</v>
      </c>
      <c r="Y221" s="199">
        <v>32</v>
      </c>
      <c r="Z221" s="199"/>
      <c r="AA221" s="199"/>
      <c r="AB221" s="199">
        <v>12.225014999999999</v>
      </c>
      <c r="AC221" s="199">
        <v>32</v>
      </c>
      <c r="AD221" s="199">
        <v>59.208300000000001</v>
      </c>
    </row>
    <row r="222" spans="21:30" ht="20.149999999999999" customHeight="1" x14ac:dyDescent="0.35">
      <c r="U222" s="199">
        <v>9.9374850000000006</v>
      </c>
      <c r="V222" s="199">
        <v>57.041699999999992</v>
      </c>
      <c r="W222" s="199">
        <v>10.125107</v>
      </c>
      <c r="X222" s="199">
        <v>1</v>
      </c>
      <c r="Y222" s="199">
        <v>29</v>
      </c>
      <c r="Z222" s="199"/>
      <c r="AA222" s="199"/>
      <c r="AB222" s="200">
        <v>9.9374850000000006</v>
      </c>
      <c r="AC222" s="200">
        <v>29</v>
      </c>
      <c r="AD222" s="200">
        <v>57.041699999999992</v>
      </c>
    </row>
    <row r="223" spans="21:30" ht="20.149999999999999" customHeight="1" x14ac:dyDescent="0.35">
      <c r="U223" s="199">
        <v>6.0652349999999995</v>
      </c>
      <c r="V223" s="199">
        <v>42.416699999999999</v>
      </c>
      <c r="W223" s="199">
        <v>13.417285999999999</v>
      </c>
      <c r="X223" s="199">
        <v>1</v>
      </c>
      <c r="Y223" s="199">
        <v>31</v>
      </c>
      <c r="Z223" s="199"/>
      <c r="AA223" s="199"/>
      <c r="AB223" s="199">
        <v>6.0652349999999995</v>
      </c>
      <c r="AC223" s="199">
        <v>31</v>
      </c>
      <c r="AD223" s="199">
        <v>42.416699999999999</v>
      </c>
    </row>
    <row r="224" spans="21:30" ht="20.149999999999999" customHeight="1" x14ac:dyDescent="0.35">
      <c r="U224" s="199">
        <v>6.49566</v>
      </c>
      <c r="V224" s="199">
        <v>42.375</v>
      </c>
      <c r="W224" s="199">
        <v>11.041332000000001</v>
      </c>
      <c r="X224" s="199">
        <v>1</v>
      </c>
      <c r="Y224" s="199">
        <v>30</v>
      </c>
      <c r="Z224" s="199"/>
      <c r="AA224" s="199"/>
      <c r="AB224" s="200">
        <v>6.49566</v>
      </c>
      <c r="AC224" s="200">
        <v>30</v>
      </c>
      <c r="AD224" s="200">
        <v>42.375</v>
      </c>
    </row>
    <row r="225" spans="21:30" ht="20.149999999999999" customHeight="1" x14ac:dyDescent="0.35">
      <c r="U225" s="199">
        <v>8.5090950000000003</v>
      </c>
      <c r="V225" s="199">
        <v>41.5</v>
      </c>
      <c r="W225" s="199">
        <v>8.4166070000000008</v>
      </c>
      <c r="X225" s="199">
        <v>3</v>
      </c>
      <c r="Y225" s="199">
        <v>32</v>
      </c>
      <c r="Z225" s="199"/>
      <c r="AA225" s="199"/>
      <c r="AB225" s="199">
        <v>8.5090950000000003</v>
      </c>
      <c r="AC225" s="199">
        <v>32</v>
      </c>
      <c r="AD225" s="199">
        <v>41.5</v>
      </c>
    </row>
    <row r="226" spans="21:30" ht="20.149999999999999" customHeight="1" x14ac:dyDescent="0.35">
      <c r="U226" s="199">
        <v>10.012499999999999</v>
      </c>
      <c r="V226" s="199">
        <v>72.958299999999994</v>
      </c>
      <c r="W226" s="199">
        <v>14.167418</v>
      </c>
      <c r="X226" s="199">
        <v>6</v>
      </c>
      <c r="Y226" s="199">
        <v>24</v>
      </c>
      <c r="Z226" s="199"/>
      <c r="AA226" s="199"/>
      <c r="AB226" s="200">
        <v>10.012499999999999</v>
      </c>
      <c r="AC226" s="200">
        <v>24</v>
      </c>
      <c r="AD226" s="200">
        <v>72.958299999999994</v>
      </c>
    </row>
    <row r="227" spans="21:30" ht="20.149999999999999" customHeight="1" x14ac:dyDescent="0.35">
      <c r="U227" s="199">
        <v>14.243490000000001</v>
      </c>
      <c r="V227" s="199">
        <v>81.75</v>
      </c>
      <c r="W227" s="199">
        <v>14.916411</v>
      </c>
      <c r="X227" s="199">
        <v>8</v>
      </c>
      <c r="Y227" s="199">
        <v>24</v>
      </c>
      <c r="Z227" s="199"/>
      <c r="AA227" s="199"/>
      <c r="AB227" s="199">
        <v>14.243490000000001</v>
      </c>
      <c r="AC227" s="199">
        <v>24</v>
      </c>
      <c r="AD227" s="199">
        <v>81.75</v>
      </c>
    </row>
    <row r="228" spans="21:30" ht="20.149999999999999" customHeight="1" x14ac:dyDescent="0.35">
      <c r="U228" s="199">
        <v>18.675000000000001</v>
      </c>
      <c r="V228" s="199">
        <v>71.208300000000008</v>
      </c>
      <c r="W228" s="199">
        <v>13.999917999999999</v>
      </c>
      <c r="X228" s="199">
        <v>4</v>
      </c>
      <c r="Y228" s="199">
        <v>34</v>
      </c>
      <c r="Z228" s="199"/>
      <c r="AA228" s="199"/>
      <c r="AB228" s="200">
        <v>18.675000000000001</v>
      </c>
      <c r="AC228" s="200">
        <v>34</v>
      </c>
      <c r="AD228" s="200">
        <v>71.208300000000008</v>
      </c>
    </row>
    <row r="229" spans="21:30" ht="20.149999999999999" customHeight="1" x14ac:dyDescent="0.35">
      <c r="U229" s="199">
        <v>11.973915000000002</v>
      </c>
      <c r="V229" s="199">
        <v>57.833300000000001</v>
      </c>
      <c r="W229" s="199">
        <v>15.834043000000001</v>
      </c>
      <c r="X229" s="199">
        <v>3</v>
      </c>
      <c r="Y229" s="199">
        <v>34</v>
      </c>
      <c r="Z229" s="199"/>
      <c r="AA229" s="199"/>
      <c r="AB229" s="199">
        <v>11.973915000000002</v>
      </c>
      <c r="AC229" s="199">
        <v>34</v>
      </c>
      <c r="AD229" s="199">
        <v>57.833300000000001</v>
      </c>
    </row>
    <row r="230" spans="21:30" ht="20.149999999999999" customHeight="1" x14ac:dyDescent="0.35">
      <c r="U230" s="199">
        <v>14.321745</v>
      </c>
      <c r="V230" s="199">
        <v>57.541699999999999</v>
      </c>
      <c r="W230" s="199">
        <v>9.6256889999999995</v>
      </c>
      <c r="X230" s="199">
        <v>4</v>
      </c>
      <c r="Y230" s="199">
        <v>38</v>
      </c>
      <c r="Z230" s="199"/>
      <c r="AA230" s="199"/>
      <c r="AB230" s="200">
        <v>14.321745</v>
      </c>
      <c r="AC230" s="200">
        <v>38</v>
      </c>
      <c r="AD230" s="200">
        <v>57.541699999999999</v>
      </c>
    </row>
    <row r="231" spans="21:30" ht="20.149999999999999" customHeight="1" x14ac:dyDescent="0.35">
      <c r="U231" s="199">
        <v>19.612485</v>
      </c>
      <c r="V231" s="199">
        <v>65.458300000000008</v>
      </c>
      <c r="W231" s="199">
        <v>15.624936</v>
      </c>
      <c r="X231" s="199">
        <v>5</v>
      </c>
      <c r="Y231" s="199">
        <v>44</v>
      </c>
      <c r="Z231" s="199"/>
      <c r="AA231" s="199"/>
      <c r="AB231" s="199">
        <v>19.612485</v>
      </c>
      <c r="AC231" s="199">
        <v>44</v>
      </c>
      <c r="AD231" s="199">
        <v>65.458300000000008</v>
      </c>
    </row>
    <row r="232" spans="21:30" ht="20.149999999999999" customHeight="1" x14ac:dyDescent="0.35">
      <c r="U232" s="199">
        <v>23.475014999999999</v>
      </c>
      <c r="V232" s="199">
        <v>72.291700000000006</v>
      </c>
      <c r="W232" s="199">
        <v>9.3336359999999985</v>
      </c>
      <c r="X232" s="199">
        <v>12</v>
      </c>
      <c r="Y232" s="199">
        <v>47</v>
      </c>
      <c r="Z232" s="199"/>
      <c r="AA232" s="199"/>
      <c r="AB232" s="200">
        <v>23.475014999999999</v>
      </c>
      <c r="AC232" s="200">
        <v>47</v>
      </c>
      <c r="AD232" s="200">
        <v>72.291700000000006</v>
      </c>
    </row>
    <row r="233" spans="21:30" ht="20.149999999999999" customHeight="1" x14ac:dyDescent="0.35">
      <c r="U233" s="199">
        <v>17.962515</v>
      </c>
      <c r="V233" s="199">
        <v>67.416699999999992</v>
      </c>
      <c r="W233" s="199">
        <v>6.9992890000000001</v>
      </c>
      <c r="X233" s="199">
        <v>11</v>
      </c>
      <c r="Y233" s="199">
        <v>22</v>
      </c>
      <c r="Z233" s="199"/>
      <c r="AA233" s="199"/>
      <c r="AB233" s="199">
        <v>17.962515</v>
      </c>
      <c r="AC233" s="199">
        <v>22</v>
      </c>
      <c r="AD233" s="199">
        <v>67.416699999999992</v>
      </c>
    </row>
    <row r="234" spans="21:30" ht="20.149999999999999" customHeight="1" x14ac:dyDescent="0.35">
      <c r="U234" s="199">
        <v>12.834764999999999</v>
      </c>
      <c r="V234" s="199">
        <v>77</v>
      </c>
      <c r="W234" s="199">
        <v>16.666518</v>
      </c>
      <c r="X234" s="199">
        <v>13</v>
      </c>
      <c r="Y234" s="199">
        <v>23</v>
      </c>
      <c r="Z234" s="199"/>
      <c r="AA234" s="199"/>
      <c r="AB234" s="200">
        <v>12.834764999999999</v>
      </c>
      <c r="AC234" s="200">
        <v>23</v>
      </c>
      <c r="AD234" s="200">
        <v>77</v>
      </c>
    </row>
    <row r="235" spans="21:30" ht="20.149999999999999" customHeight="1" x14ac:dyDescent="0.35">
      <c r="U235" s="199">
        <v>13.649985000000001</v>
      </c>
      <c r="V235" s="199">
        <v>47</v>
      </c>
      <c r="W235" s="199">
        <v>18.542249999999999</v>
      </c>
      <c r="X235" s="199">
        <v>4</v>
      </c>
      <c r="Y235" s="199">
        <v>18</v>
      </c>
      <c r="Z235" s="199"/>
      <c r="AA235" s="199"/>
      <c r="AB235" s="199">
        <v>13.649985000000001</v>
      </c>
      <c r="AC235" s="199">
        <v>18</v>
      </c>
      <c r="AD235" s="199">
        <v>47</v>
      </c>
    </row>
    <row r="236" spans="21:30" ht="20.149999999999999" customHeight="1" x14ac:dyDescent="0.35">
      <c r="U236" s="199">
        <v>8.1999899999999997</v>
      </c>
      <c r="V236" s="199">
        <v>45.541699999999999</v>
      </c>
      <c r="W236" s="199">
        <v>9.8331210000000002</v>
      </c>
      <c r="X236" s="199">
        <v>1</v>
      </c>
      <c r="Y236" s="199">
        <v>28</v>
      </c>
      <c r="Z236" s="199"/>
      <c r="AA236" s="199"/>
      <c r="AB236" s="200">
        <v>8.1999899999999997</v>
      </c>
      <c r="AC236" s="200">
        <v>28</v>
      </c>
      <c r="AD236" s="200">
        <v>45.541699999999999</v>
      </c>
    </row>
    <row r="237" spans="21:30" ht="20.149999999999999" customHeight="1" x14ac:dyDescent="0.35">
      <c r="U237" s="199">
        <v>9.978254999999999</v>
      </c>
      <c r="V237" s="199">
        <v>60.5</v>
      </c>
      <c r="W237" s="199">
        <v>16.958235999999999</v>
      </c>
      <c r="X237" s="199">
        <v>3</v>
      </c>
      <c r="Y237" s="199">
        <v>36</v>
      </c>
      <c r="Z237" s="199"/>
      <c r="AA237" s="199"/>
      <c r="AB237" s="199">
        <v>9.978254999999999</v>
      </c>
      <c r="AC237" s="199">
        <v>36</v>
      </c>
      <c r="AD237" s="199">
        <v>60.5</v>
      </c>
    </row>
    <row r="238" spans="21:30" ht="20.149999999999999" customHeight="1" x14ac:dyDescent="0.35">
      <c r="U238" s="199">
        <v>13.304340000000002</v>
      </c>
      <c r="V238" s="199">
        <v>77.166700000000006</v>
      </c>
      <c r="W238" s="199">
        <v>14.125810999999999</v>
      </c>
      <c r="X238" s="199">
        <v>2</v>
      </c>
      <c r="Y238" s="199">
        <v>34</v>
      </c>
      <c r="Z238" s="199"/>
      <c r="AA238" s="199"/>
      <c r="AB238" s="200">
        <v>13.304340000000002</v>
      </c>
      <c r="AC238" s="200">
        <v>34</v>
      </c>
      <c r="AD238" s="200">
        <v>77.166700000000006</v>
      </c>
    </row>
    <row r="239" spans="21:30" ht="20.149999999999999" customHeight="1" x14ac:dyDescent="0.35">
      <c r="U239" s="199">
        <v>16.395659999999999</v>
      </c>
      <c r="V239" s="199">
        <v>76.125</v>
      </c>
      <c r="W239" s="199">
        <v>5.6254874999999993</v>
      </c>
      <c r="X239" s="199">
        <v>2</v>
      </c>
      <c r="Y239" s="199">
        <v>27</v>
      </c>
      <c r="Z239" s="199"/>
      <c r="AA239" s="199"/>
      <c r="AB239" s="199">
        <v>16.395659999999999</v>
      </c>
      <c r="AC239" s="199">
        <v>27</v>
      </c>
      <c r="AD239" s="199">
        <v>76.125</v>
      </c>
    </row>
    <row r="240" spans="21:30" ht="20.149999999999999" customHeight="1" x14ac:dyDescent="0.35">
      <c r="U240" s="199">
        <v>12.712499999999999</v>
      </c>
      <c r="V240" s="199">
        <v>85</v>
      </c>
      <c r="W240" s="199">
        <v>25.166338999999997</v>
      </c>
      <c r="X240" s="199">
        <v>8</v>
      </c>
      <c r="Y240" s="199">
        <v>31</v>
      </c>
      <c r="Z240" s="199"/>
      <c r="AA240" s="199"/>
      <c r="AB240" s="200">
        <v>12.712499999999999</v>
      </c>
      <c r="AC240" s="200">
        <v>31</v>
      </c>
      <c r="AD240" s="200">
        <v>85</v>
      </c>
    </row>
    <row r="241" spans="21:30" ht="20.149999999999999" customHeight="1" x14ac:dyDescent="0.35">
      <c r="U241" s="199">
        <v>15.45651</v>
      </c>
      <c r="V241" s="199">
        <v>56.176499999999997</v>
      </c>
      <c r="W241" s="199">
        <v>20.412153</v>
      </c>
      <c r="X241" s="199">
        <v>14</v>
      </c>
      <c r="Y241" s="199">
        <v>34</v>
      </c>
      <c r="Z241" s="199"/>
      <c r="AA241" s="199"/>
      <c r="AB241" s="199">
        <v>15.45651</v>
      </c>
      <c r="AC241" s="199">
        <v>34</v>
      </c>
      <c r="AD241" s="199">
        <v>56.176499999999997</v>
      </c>
    </row>
    <row r="242" spans="21:30" ht="20.149999999999999" customHeight="1" x14ac:dyDescent="0.35">
      <c r="U242" s="199">
        <v>18.327285</v>
      </c>
      <c r="V242" s="199">
        <v>55.458300000000008</v>
      </c>
      <c r="W242" s="199">
        <v>10.708275</v>
      </c>
      <c r="X242" s="199">
        <v>2</v>
      </c>
      <c r="Y242" s="199">
        <v>27</v>
      </c>
      <c r="Z242" s="199"/>
      <c r="AA242" s="199"/>
      <c r="AB242" s="200">
        <v>18.327285</v>
      </c>
      <c r="AC242" s="200">
        <v>27</v>
      </c>
      <c r="AD242" s="200">
        <v>55.458300000000008</v>
      </c>
    </row>
    <row r="243" spans="21:30" ht="20.149999999999999" customHeight="1" x14ac:dyDescent="0.35">
      <c r="U243" s="199">
        <v>12.000014999999999</v>
      </c>
      <c r="V243" s="199">
        <v>54.833299999999994</v>
      </c>
      <c r="W243" s="199">
        <v>8.3755360000000003</v>
      </c>
      <c r="X243" s="199">
        <v>3</v>
      </c>
      <c r="Y243" s="199">
        <v>34</v>
      </c>
      <c r="Z243" s="199"/>
      <c r="AA243" s="199"/>
      <c r="AB243" s="199">
        <v>12.000014999999999</v>
      </c>
      <c r="AC243" s="199">
        <v>34</v>
      </c>
      <c r="AD243" s="199">
        <v>54.833299999999994</v>
      </c>
    </row>
    <row r="244" spans="21:30" ht="20.149999999999999" customHeight="1" x14ac:dyDescent="0.35">
      <c r="U244" s="199">
        <v>15.075000000000001</v>
      </c>
      <c r="V244" s="199">
        <v>59.791700000000006</v>
      </c>
      <c r="W244" s="199">
        <v>5.5833310999999997</v>
      </c>
      <c r="X244" s="199">
        <v>5</v>
      </c>
      <c r="Y244" s="199">
        <v>38</v>
      </c>
      <c r="Z244" s="199"/>
      <c r="AA244" s="199"/>
      <c r="AB244" s="200">
        <v>15.075000000000001</v>
      </c>
      <c r="AC244" s="200">
        <v>38</v>
      </c>
      <c r="AD244" s="200">
        <v>59.791700000000006</v>
      </c>
    </row>
    <row r="245" spans="21:30" ht="20.149999999999999" customHeight="1" x14ac:dyDescent="0.35">
      <c r="U245" s="199">
        <v>8.9249850000000013</v>
      </c>
      <c r="V245" s="199">
        <v>63.916700000000006</v>
      </c>
      <c r="W245" s="199">
        <v>9.5003320000000002</v>
      </c>
      <c r="X245" s="199">
        <v>2</v>
      </c>
      <c r="Y245" s="199">
        <v>31</v>
      </c>
      <c r="Z245" s="199"/>
      <c r="AA245" s="199"/>
      <c r="AB245" s="199">
        <v>8.9249850000000013</v>
      </c>
      <c r="AC245" s="199">
        <v>31</v>
      </c>
      <c r="AD245" s="199">
        <v>63.916700000000006</v>
      </c>
    </row>
    <row r="246" spans="21:30" ht="20.149999999999999" customHeight="1" x14ac:dyDescent="0.35">
      <c r="U246" s="199">
        <v>11.775015</v>
      </c>
      <c r="V246" s="199">
        <v>72.708300000000008</v>
      </c>
      <c r="W246" s="199">
        <v>9.3752429999999993</v>
      </c>
      <c r="X246" s="199">
        <v>4</v>
      </c>
      <c r="Y246" s="199">
        <v>35</v>
      </c>
      <c r="Z246" s="199"/>
      <c r="AA246" s="199"/>
      <c r="AB246" s="200">
        <v>11.775015</v>
      </c>
      <c r="AC246" s="200">
        <v>35</v>
      </c>
      <c r="AD246" s="200">
        <v>72.708300000000008</v>
      </c>
    </row>
    <row r="247" spans="21:30" ht="20.149999999999999" customHeight="1" x14ac:dyDescent="0.35">
      <c r="U247" s="199">
        <v>17.287514999999999</v>
      </c>
      <c r="V247" s="199">
        <v>71.666700000000006</v>
      </c>
      <c r="W247" s="199">
        <v>12.416774999999999</v>
      </c>
      <c r="X247" s="199">
        <v>13</v>
      </c>
      <c r="Y247" s="199">
        <v>29</v>
      </c>
      <c r="Z247" s="199"/>
      <c r="AA247" s="199"/>
      <c r="AB247" s="199">
        <v>17.287514999999999</v>
      </c>
      <c r="AC247" s="199">
        <v>29</v>
      </c>
      <c r="AD247" s="199">
        <v>71.666700000000006</v>
      </c>
    </row>
    <row r="248" spans="21:30" ht="20.149999999999999" customHeight="1" x14ac:dyDescent="0.35">
      <c r="U248" s="199">
        <v>16.943490000000001</v>
      </c>
      <c r="V248" s="199">
        <v>74.208300000000008</v>
      </c>
      <c r="W248" s="199">
        <v>13.833289000000001</v>
      </c>
      <c r="X248" s="199">
        <v>2</v>
      </c>
      <c r="Y248" s="199">
        <v>10</v>
      </c>
      <c r="Z248" s="199"/>
      <c r="AA248" s="199"/>
      <c r="AB248" s="200">
        <v>16.943490000000001</v>
      </c>
      <c r="AC248" s="200">
        <v>10</v>
      </c>
      <c r="AD248" s="200">
        <v>74.208300000000008</v>
      </c>
    </row>
    <row r="249" spans="21:30" ht="20.149999999999999" customHeight="1" x14ac:dyDescent="0.35">
      <c r="U249" s="199">
        <v>11.778255</v>
      </c>
      <c r="V249" s="199">
        <v>79.041700000000006</v>
      </c>
      <c r="W249" s="199">
        <v>14.250632</v>
      </c>
      <c r="X249" s="199">
        <v>5</v>
      </c>
      <c r="Y249" s="199">
        <v>33</v>
      </c>
      <c r="Z249" s="199"/>
      <c r="AA249" s="199"/>
      <c r="AB249" s="199">
        <v>11.778255</v>
      </c>
      <c r="AC249" s="199">
        <v>33</v>
      </c>
      <c r="AD249" s="199">
        <v>79.041700000000006</v>
      </c>
    </row>
    <row r="250" spans="21:30" ht="20.149999999999999" customHeight="1" x14ac:dyDescent="0.35">
      <c r="U250" s="199">
        <v>13.1625</v>
      </c>
      <c r="V250" s="199">
        <v>88.695700000000002</v>
      </c>
      <c r="W250" s="199">
        <v>23.044180999999998</v>
      </c>
      <c r="X250" s="199">
        <v>6</v>
      </c>
      <c r="Y250" s="199">
        <v>36</v>
      </c>
      <c r="Z250" s="199"/>
      <c r="AA250" s="199"/>
      <c r="AB250" s="200">
        <v>13.1625</v>
      </c>
      <c r="AC250" s="200">
        <v>36</v>
      </c>
      <c r="AD250" s="200">
        <v>88.695700000000002</v>
      </c>
    </row>
    <row r="251" spans="21:30" ht="20.149999999999999" customHeight="1" x14ac:dyDescent="0.35">
      <c r="U251" s="199">
        <v>13.312485000000001</v>
      </c>
      <c r="V251" s="199">
        <v>91.708299999999994</v>
      </c>
      <c r="W251" s="199">
        <v>6.5003936000000007</v>
      </c>
      <c r="X251" s="199">
        <v>4</v>
      </c>
      <c r="Y251" s="199">
        <v>34</v>
      </c>
      <c r="Z251" s="199"/>
      <c r="AA251" s="199"/>
      <c r="AB251" s="199">
        <v>13.312485000000001</v>
      </c>
      <c r="AC251" s="199">
        <v>34</v>
      </c>
      <c r="AD251" s="199">
        <v>91.708299999999994</v>
      </c>
    </row>
    <row r="252" spans="21:30" ht="20.149999999999999" customHeight="1" x14ac:dyDescent="0.35">
      <c r="U252" s="199">
        <v>17.509095000000002</v>
      </c>
      <c r="V252" s="199">
        <v>93.956500000000005</v>
      </c>
      <c r="W252" s="199">
        <v>12.914116</v>
      </c>
      <c r="X252" s="199">
        <v>1</v>
      </c>
      <c r="Y252" s="199">
        <v>12</v>
      </c>
      <c r="Z252" s="199"/>
      <c r="AA252" s="199"/>
      <c r="AB252" s="200">
        <v>17.509095000000002</v>
      </c>
      <c r="AC252" s="200">
        <v>12</v>
      </c>
      <c r="AD252" s="200">
        <v>93.956500000000005</v>
      </c>
    </row>
    <row r="253" spans="21:30" ht="20.149999999999999" customHeight="1" x14ac:dyDescent="0.35">
      <c r="U253" s="199">
        <v>14.243490000000001</v>
      </c>
      <c r="V253" s="199">
        <v>89.791699999999992</v>
      </c>
      <c r="W253" s="199">
        <v>8.3333930000000009</v>
      </c>
      <c r="X253" s="199">
        <v>5</v>
      </c>
      <c r="Y253" s="199">
        <v>35</v>
      </c>
      <c r="Z253" s="199"/>
      <c r="AA253" s="199"/>
      <c r="AB253" s="199">
        <v>14.243490000000001</v>
      </c>
      <c r="AC253" s="199">
        <v>35</v>
      </c>
      <c r="AD253" s="199">
        <v>89.791699999999992</v>
      </c>
    </row>
    <row r="254" spans="21:30" ht="20.149999999999999" customHeight="1" x14ac:dyDescent="0.35">
      <c r="U254" s="199">
        <v>14.812514999999999</v>
      </c>
      <c r="V254" s="199">
        <v>75.375</v>
      </c>
      <c r="W254" s="199">
        <v>10.291736</v>
      </c>
      <c r="X254" s="199">
        <v>14</v>
      </c>
      <c r="Y254" s="199">
        <v>28</v>
      </c>
      <c r="Z254" s="199"/>
      <c r="AA254" s="199"/>
      <c r="AB254" s="200">
        <v>14.812514999999999</v>
      </c>
      <c r="AC254" s="200">
        <v>28</v>
      </c>
      <c r="AD254" s="200">
        <v>75.375</v>
      </c>
    </row>
    <row r="255" spans="21:30" ht="20.149999999999999" customHeight="1" x14ac:dyDescent="0.35">
      <c r="U255" s="199">
        <v>17.295660000000002</v>
      </c>
      <c r="V255" s="199">
        <v>71.375</v>
      </c>
      <c r="W255" s="199">
        <v>7.7086180000000004</v>
      </c>
      <c r="X255" s="199">
        <v>20</v>
      </c>
      <c r="Y255" s="199">
        <v>29</v>
      </c>
      <c r="Z255" s="199"/>
      <c r="AA255" s="199"/>
      <c r="AB255" s="199">
        <v>17.295660000000002</v>
      </c>
      <c r="AC255" s="199">
        <v>29</v>
      </c>
      <c r="AD255" s="199">
        <v>71.375</v>
      </c>
    </row>
    <row r="256" spans="21:30" ht="20.149999999999999" customHeight="1" x14ac:dyDescent="0.35">
      <c r="U256" s="199">
        <v>14.634765</v>
      </c>
      <c r="V256" s="199">
        <v>69.217399999999998</v>
      </c>
      <c r="W256" s="199">
        <v>5.9571710000000007</v>
      </c>
      <c r="X256" s="199">
        <v>7</v>
      </c>
      <c r="Y256" s="199">
        <v>34</v>
      </c>
      <c r="Z256" s="199"/>
      <c r="AA256" s="199"/>
      <c r="AB256" s="200">
        <v>14.634765</v>
      </c>
      <c r="AC256" s="200">
        <v>34</v>
      </c>
      <c r="AD256" s="200">
        <v>69.217399999999998</v>
      </c>
    </row>
    <row r="257" spans="21:30" ht="20.149999999999999" customHeight="1" x14ac:dyDescent="0.35">
      <c r="U257" s="199">
        <v>14.282594999999999</v>
      </c>
      <c r="V257" s="199">
        <v>71.25</v>
      </c>
      <c r="W257" s="199">
        <v>9.5008680000000005</v>
      </c>
      <c r="X257" s="199">
        <v>6</v>
      </c>
      <c r="Y257" s="199">
        <v>35</v>
      </c>
      <c r="Z257" s="199"/>
      <c r="AA257" s="199"/>
      <c r="AB257" s="199">
        <v>14.282594999999999</v>
      </c>
      <c r="AC257" s="199">
        <v>35</v>
      </c>
      <c r="AD257" s="199">
        <v>71.25</v>
      </c>
    </row>
    <row r="258" spans="21:30" ht="20.149999999999999" customHeight="1" x14ac:dyDescent="0.35">
      <c r="U258" s="199">
        <v>16.434765000000002</v>
      </c>
      <c r="V258" s="199">
        <v>69.708299999999994</v>
      </c>
      <c r="W258" s="199">
        <v>11.209099999999999</v>
      </c>
      <c r="X258" s="199">
        <v>6</v>
      </c>
      <c r="Y258" s="199">
        <v>37</v>
      </c>
      <c r="Z258" s="199"/>
      <c r="AA258" s="199"/>
      <c r="AB258" s="200">
        <v>16.434765000000002</v>
      </c>
      <c r="AC258" s="200">
        <v>37</v>
      </c>
      <c r="AD258" s="200">
        <v>69.708299999999994</v>
      </c>
    </row>
    <row r="259" spans="21:30" ht="20.149999999999999" customHeight="1" x14ac:dyDescent="0.35">
      <c r="U259" s="199">
        <v>18.675000000000001</v>
      </c>
      <c r="V259" s="199">
        <v>70.916700000000006</v>
      </c>
      <c r="W259" s="199">
        <v>18.166782000000001</v>
      </c>
      <c r="X259" s="199">
        <v>8</v>
      </c>
      <c r="Y259" s="199">
        <v>46</v>
      </c>
      <c r="Z259" s="199"/>
      <c r="AA259" s="199"/>
      <c r="AB259" s="199">
        <v>18.675000000000001</v>
      </c>
      <c r="AC259" s="199">
        <v>46</v>
      </c>
      <c r="AD259" s="199">
        <v>70.916700000000006</v>
      </c>
    </row>
    <row r="260" spans="21:30" ht="20.149999999999999" customHeight="1" x14ac:dyDescent="0.35">
      <c r="U260" s="199">
        <v>24.3</v>
      </c>
      <c r="V260" s="199">
        <v>59.041699999999999</v>
      </c>
      <c r="W260" s="199">
        <v>11.000261</v>
      </c>
      <c r="X260" s="199">
        <v>18</v>
      </c>
      <c r="Y260" s="199">
        <v>47</v>
      </c>
      <c r="Z260" s="199"/>
      <c r="AA260" s="199"/>
      <c r="AB260" s="200">
        <v>24.3</v>
      </c>
      <c r="AC260" s="200">
        <v>47</v>
      </c>
      <c r="AD260" s="200">
        <v>59.041699999999999</v>
      </c>
    </row>
    <row r="261" spans="21:30" ht="20.149999999999999" customHeight="1" x14ac:dyDescent="0.35">
      <c r="U261" s="199">
        <v>21.262499999999999</v>
      </c>
      <c r="V261" s="199">
        <v>71.833299999999994</v>
      </c>
      <c r="W261" s="199">
        <v>12.708225000000001</v>
      </c>
      <c r="X261" s="199">
        <v>28</v>
      </c>
      <c r="Y261" s="199">
        <v>34</v>
      </c>
      <c r="Z261" s="199"/>
      <c r="AA261" s="199"/>
      <c r="AB261" s="199">
        <v>21.262499999999999</v>
      </c>
      <c r="AC261" s="199">
        <v>34</v>
      </c>
      <c r="AD261" s="199">
        <v>71.833299999999994</v>
      </c>
    </row>
    <row r="262" spans="21:30" ht="20.149999999999999" customHeight="1" x14ac:dyDescent="0.35">
      <c r="U262" s="199">
        <v>14.9625</v>
      </c>
      <c r="V262" s="199">
        <v>69.5</v>
      </c>
      <c r="W262" s="199">
        <v>11.958361</v>
      </c>
      <c r="X262" s="199">
        <v>21</v>
      </c>
      <c r="Y262" s="199">
        <v>28</v>
      </c>
      <c r="Z262" s="199"/>
      <c r="AA262" s="199"/>
      <c r="AB262" s="200">
        <v>14.9625</v>
      </c>
      <c r="AC262" s="200">
        <v>28</v>
      </c>
      <c r="AD262" s="200">
        <v>69.5</v>
      </c>
    </row>
    <row r="263" spans="21:30" ht="20.149999999999999" customHeight="1" x14ac:dyDescent="0.35">
      <c r="U263" s="199">
        <v>19.369575000000001</v>
      </c>
      <c r="V263" s="199">
        <v>69</v>
      </c>
      <c r="W263" s="199">
        <v>10.166713999999999</v>
      </c>
      <c r="X263" s="199">
        <v>8</v>
      </c>
      <c r="Y263" s="199">
        <v>34</v>
      </c>
      <c r="Z263" s="199"/>
      <c r="AA263" s="199"/>
      <c r="AB263" s="199">
        <v>19.369575000000001</v>
      </c>
      <c r="AC263" s="199">
        <v>34</v>
      </c>
      <c r="AD263" s="199">
        <v>69</v>
      </c>
    </row>
    <row r="264" spans="21:30" ht="20.149999999999999" customHeight="1" x14ac:dyDescent="0.35">
      <c r="U264" s="199">
        <v>19.875014999999998</v>
      </c>
      <c r="V264" s="199">
        <v>88.125</v>
      </c>
      <c r="W264" s="199">
        <v>9.041917999999999</v>
      </c>
      <c r="X264" s="199">
        <v>9</v>
      </c>
      <c r="Y264" s="199">
        <v>45</v>
      </c>
      <c r="Z264" s="199"/>
      <c r="AA264" s="199"/>
      <c r="AB264" s="200">
        <v>19.875014999999998</v>
      </c>
      <c r="AC264" s="200">
        <v>45</v>
      </c>
      <c r="AD264" s="200">
        <v>88.125</v>
      </c>
    </row>
    <row r="265" spans="21:30" ht="20.149999999999999" customHeight="1" x14ac:dyDescent="0.35">
      <c r="U265" s="199">
        <v>15.613065000000001</v>
      </c>
      <c r="V265" s="199">
        <v>90</v>
      </c>
      <c r="W265" s="199">
        <v>6.4590813999999996</v>
      </c>
      <c r="X265" s="199">
        <v>4</v>
      </c>
      <c r="Y265" s="199">
        <v>38</v>
      </c>
      <c r="Z265" s="199"/>
      <c r="AA265" s="199"/>
      <c r="AB265" s="199">
        <v>15.613065000000001</v>
      </c>
      <c r="AC265" s="199">
        <v>38</v>
      </c>
      <c r="AD265" s="199">
        <v>90</v>
      </c>
    </row>
    <row r="266" spans="21:30" ht="20.149999999999999" customHeight="1" x14ac:dyDescent="0.35">
      <c r="U266" s="199">
        <v>12.824999999999999</v>
      </c>
      <c r="V266" s="199">
        <v>90.208299999999994</v>
      </c>
      <c r="W266" s="199">
        <v>8.5843749999999996</v>
      </c>
      <c r="X266" s="199">
        <v>3</v>
      </c>
      <c r="Y266" s="199">
        <v>34</v>
      </c>
      <c r="Z266" s="199"/>
      <c r="AA266" s="199"/>
      <c r="AB266" s="200">
        <v>12.824999999999999</v>
      </c>
      <c r="AC266" s="200">
        <v>34</v>
      </c>
      <c r="AD266" s="200">
        <v>90.208299999999994</v>
      </c>
    </row>
    <row r="267" spans="21:30" ht="20.149999999999999" customHeight="1" x14ac:dyDescent="0.35">
      <c r="U267" s="199">
        <v>11.887514999999999</v>
      </c>
      <c r="V267" s="199">
        <v>97.25</v>
      </c>
      <c r="W267" s="199">
        <v>5.2505689000000002</v>
      </c>
      <c r="X267" s="199">
        <v>6</v>
      </c>
      <c r="Y267" s="199">
        <v>38</v>
      </c>
      <c r="Z267" s="199"/>
      <c r="AA267" s="199"/>
      <c r="AB267" s="199">
        <v>11.887514999999999</v>
      </c>
      <c r="AC267" s="199">
        <v>38</v>
      </c>
      <c r="AD267" s="199">
        <v>97.25</v>
      </c>
    </row>
    <row r="268" spans="21:30" ht="20.149999999999999" customHeight="1" x14ac:dyDescent="0.35">
      <c r="U268" s="199">
        <v>11.962484999999999</v>
      </c>
      <c r="V268" s="199">
        <v>86.25</v>
      </c>
      <c r="W268" s="199">
        <v>5.2516810999999999</v>
      </c>
      <c r="X268" s="199">
        <v>20</v>
      </c>
      <c r="Y268" s="199">
        <v>30</v>
      </c>
      <c r="Z268" s="199"/>
      <c r="AA268" s="199"/>
      <c r="AB268" s="200">
        <v>11.962484999999999</v>
      </c>
      <c r="AC268" s="200">
        <v>30</v>
      </c>
      <c r="AD268" s="200">
        <v>86.25</v>
      </c>
    </row>
    <row r="269" spans="21:30" ht="20.149999999999999" customHeight="1" x14ac:dyDescent="0.35">
      <c r="U269" s="199">
        <v>11.386935000000001</v>
      </c>
      <c r="V269" s="199">
        <v>84.5</v>
      </c>
      <c r="W269" s="199">
        <v>3.3754064000000001</v>
      </c>
      <c r="X269" s="199">
        <v>9</v>
      </c>
      <c r="Y269" s="199">
        <v>24</v>
      </c>
      <c r="Z269" s="199"/>
      <c r="AA269" s="199"/>
      <c r="AB269" s="199">
        <v>11.386935000000001</v>
      </c>
      <c r="AC269" s="199">
        <v>24</v>
      </c>
      <c r="AD269" s="199">
        <v>84.5</v>
      </c>
    </row>
    <row r="270" spans="21:30" ht="20.149999999999999" customHeight="1" x14ac:dyDescent="0.35">
      <c r="U270" s="199">
        <v>11.895660000000001</v>
      </c>
      <c r="V270" s="199">
        <v>84.833299999999994</v>
      </c>
      <c r="W270" s="199">
        <v>7.4169</v>
      </c>
      <c r="X270" s="199">
        <v>4</v>
      </c>
      <c r="Y270" s="199">
        <v>36</v>
      </c>
      <c r="Z270" s="199"/>
      <c r="AA270" s="199"/>
      <c r="AB270" s="200">
        <v>11.895660000000001</v>
      </c>
      <c r="AC270" s="200">
        <v>36</v>
      </c>
      <c r="AD270" s="200">
        <v>84.833299999999994</v>
      </c>
    </row>
    <row r="271" spans="21:30" x14ac:dyDescent="0.35">
      <c r="U271" s="61">
        <v>13.612499999999999</v>
      </c>
      <c r="V271" s="61">
        <v>88.541700000000006</v>
      </c>
      <c r="W271" s="61">
        <v>7.9174569999999997</v>
      </c>
      <c r="X271" s="61">
        <v>6</v>
      </c>
      <c r="Y271" s="61">
        <v>42</v>
      </c>
      <c r="Z271" s="61"/>
      <c r="AA271" s="61"/>
      <c r="AB271" s="61">
        <v>13.612499999999999</v>
      </c>
      <c r="AC271" s="61">
        <v>42</v>
      </c>
      <c r="AD271" s="61">
        <v>88.541700000000006</v>
      </c>
    </row>
    <row r="272" spans="21:30" x14ac:dyDescent="0.35">
      <c r="U272" s="61">
        <v>13.5</v>
      </c>
      <c r="V272" s="61">
        <v>84.875</v>
      </c>
      <c r="W272" s="61">
        <v>9.9581430000000015</v>
      </c>
      <c r="X272" s="61">
        <v>3</v>
      </c>
      <c r="Y272" s="61">
        <v>27</v>
      </c>
      <c r="Z272" s="61"/>
      <c r="AA272" s="61"/>
      <c r="AB272" s="195">
        <v>13.5</v>
      </c>
      <c r="AC272" s="195">
        <v>27</v>
      </c>
      <c r="AD272" s="195">
        <v>84.875</v>
      </c>
    </row>
    <row r="273" spans="21:30" s="4" customFormat="1" x14ac:dyDescent="0.35">
      <c r="U273" s="61">
        <v>12.074985</v>
      </c>
      <c r="V273" s="61">
        <v>69.916699999999992</v>
      </c>
      <c r="W273" s="61">
        <v>11.583161</v>
      </c>
      <c r="X273" s="61">
        <v>4</v>
      </c>
      <c r="Y273" s="61">
        <v>30</v>
      </c>
      <c r="Z273" s="61"/>
      <c r="AA273" s="61"/>
      <c r="AB273" s="61">
        <v>12.074985</v>
      </c>
      <c r="AC273" s="61">
        <v>30</v>
      </c>
      <c r="AD273" s="61">
        <v>69.916699999999992</v>
      </c>
    </row>
    <row r="274" spans="21:30" s="4" customFormat="1" x14ac:dyDescent="0.35">
      <c r="U274" s="61">
        <v>13.5</v>
      </c>
      <c r="V274" s="61">
        <v>64.75</v>
      </c>
      <c r="W274" s="61">
        <v>13.833824999999999</v>
      </c>
      <c r="X274" s="61">
        <v>6</v>
      </c>
      <c r="Y274" s="61">
        <v>38</v>
      </c>
      <c r="Z274" s="61"/>
      <c r="AA274" s="61"/>
      <c r="AB274" s="195">
        <v>13.5</v>
      </c>
      <c r="AC274" s="195">
        <v>38</v>
      </c>
      <c r="AD274" s="195">
        <v>64.75</v>
      </c>
    </row>
    <row r="275" spans="21:30" s="4" customFormat="1" x14ac:dyDescent="0.35">
      <c r="U275" s="61">
        <v>14.175000000000001</v>
      </c>
      <c r="V275" s="61">
        <v>75.375</v>
      </c>
      <c r="W275" s="61">
        <v>19.583832000000001</v>
      </c>
      <c r="X275" s="61">
        <v>18</v>
      </c>
      <c r="Y275" s="61">
        <v>27</v>
      </c>
      <c r="Z275" s="61"/>
      <c r="AA275" s="61"/>
      <c r="AB275" s="61">
        <v>14.175000000000001</v>
      </c>
      <c r="AC275" s="61">
        <v>27</v>
      </c>
      <c r="AD275" s="61">
        <v>75.375</v>
      </c>
    </row>
    <row r="276" spans="21:30" s="4" customFormat="1" x14ac:dyDescent="0.35">
      <c r="U276" s="61">
        <v>17.024984999999997</v>
      </c>
      <c r="V276" s="61">
        <v>79.166700000000006</v>
      </c>
      <c r="W276" s="61">
        <v>14.874870999999999</v>
      </c>
      <c r="X276" s="61">
        <v>33</v>
      </c>
      <c r="Y276" s="61">
        <v>32</v>
      </c>
      <c r="Z276" s="61"/>
      <c r="AA276" s="61"/>
      <c r="AB276" s="195">
        <v>17.024984999999997</v>
      </c>
      <c r="AC276" s="195">
        <v>32</v>
      </c>
      <c r="AD276" s="195">
        <v>79.166700000000006</v>
      </c>
    </row>
    <row r="277" spans="21:30" s="4" customFormat="1" x14ac:dyDescent="0.35">
      <c r="U277" s="61">
        <v>25.799985</v>
      </c>
      <c r="V277" s="61">
        <v>76.083299999999994</v>
      </c>
      <c r="W277" s="61">
        <v>5.5841685999999999</v>
      </c>
      <c r="X277" s="61">
        <v>15</v>
      </c>
      <c r="Y277" s="61">
        <v>48</v>
      </c>
      <c r="Z277" s="61"/>
      <c r="AA277" s="61"/>
      <c r="AB277" s="61">
        <v>25.799985</v>
      </c>
      <c r="AC277" s="61">
        <v>48</v>
      </c>
      <c r="AD277" s="61">
        <v>76.083299999999994</v>
      </c>
    </row>
    <row r="278" spans="21:30" s="4" customFormat="1" x14ac:dyDescent="0.35">
      <c r="U278" s="61">
        <v>18.637515</v>
      </c>
      <c r="V278" s="61">
        <v>71</v>
      </c>
      <c r="W278" s="61">
        <v>13.792218</v>
      </c>
      <c r="X278" s="61">
        <v>3</v>
      </c>
      <c r="Y278" s="61">
        <v>33</v>
      </c>
      <c r="Z278" s="61"/>
      <c r="AA278" s="61"/>
      <c r="AB278" s="195">
        <v>18.637515</v>
      </c>
      <c r="AC278" s="195">
        <v>33</v>
      </c>
      <c r="AD278" s="195">
        <v>71</v>
      </c>
    </row>
    <row r="279" spans="21:30" s="4" customFormat="1" x14ac:dyDescent="0.35">
      <c r="U279" s="61">
        <v>17.587485000000001</v>
      </c>
      <c r="V279" s="61">
        <v>64.791699999999992</v>
      </c>
      <c r="W279" s="61">
        <v>11.87575</v>
      </c>
      <c r="X279" s="61">
        <v>8</v>
      </c>
      <c r="Y279" s="61">
        <v>48</v>
      </c>
      <c r="Z279" s="61"/>
      <c r="AA279" s="61"/>
      <c r="AB279" s="61">
        <v>17.587485000000001</v>
      </c>
      <c r="AC279" s="61">
        <v>48</v>
      </c>
      <c r="AD279" s="61">
        <v>64.791699999999992</v>
      </c>
    </row>
    <row r="280" spans="21:30" s="4" customFormat="1" x14ac:dyDescent="0.35">
      <c r="U280" s="61">
        <v>19.6875</v>
      </c>
      <c r="V280" s="61">
        <v>62.083299999999994</v>
      </c>
      <c r="W280" s="61">
        <v>9.041917999999999</v>
      </c>
      <c r="X280" s="61">
        <v>11</v>
      </c>
      <c r="Y280" s="61">
        <v>51</v>
      </c>
      <c r="Z280" s="61"/>
      <c r="AA280" s="61"/>
      <c r="AB280" s="195">
        <v>19.6875</v>
      </c>
      <c r="AC280" s="195">
        <v>51</v>
      </c>
      <c r="AD280" s="195">
        <v>62.083299999999994</v>
      </c>
    </row>
    <row r="281" spans="21:30" s="4" customFormat="1" x14ac:dyDescent="0.35">
      <c r="U281" s="61">
        <v>15.112485</v>
      </c>
      <c r="V281" s="61">
        <v>68.416699999999992</v>
      </c>
      <c r="W281" s="61">
        <v>1.5002439000000001</v>
      </c>
      <c r="X281" s="61">
        <v>3</v>
      </c>
      <c r="Y281" s="61">
        <v>26</v>
      </c>
      <c r="Z281" s="61"/>
      <c r="AA281" s="61"/>
      <c r="AB281" s="61">
        <v>15.112485</v>
      </c>
      <c r="AC281" s="61">
        <v>26</v>
      </c>
      <c r="AD281" s="61">
        <v>68.416699999999992</v>
      </c>
    </row>
    <row r="282" spans="21:30" s="4" customFormat="1" x14ac:dyDescent="0.35">
      <c r="U282" s="61">
        <v>15.412500000000001</v>
      </c>
      <c r="V282" s="61">
        <v>70.125</v>
      </c>
      <c r="W282" s="61">
        <v>3.0420813999999998</v>
      </c>
      <c r="X282" s="61">
        <v>18</v>
      </c>
      <c r="Y282" s="61">
        <v>32</v>
      </c>
      <c r="Z282" s="61"/>
      <c r="AA282" s="61"/>
      <c r="AB282" s="195">
        <v>15.412500000000001</v>
      </c>
      <c r="AC282" s="195">
        <v>32</v>
      </c>
      <c r="AD282" s="195">
        <v>70.125</v>
      </c>
    </row>
    <row r="283" spans="21:30" s="4" customFormat="1" x14ac:dyDescent="0.35">
      <c r="U283" s="61">
        <v>19.200015</v>
      </c>
      <c r="V283" s="61">
        <v>72.75</v>
      </c>
      <c r="W283" s="61">
        <v>4.2511500000000009</v>
      </c>
      <c r="X283" s="61">
        <v>24</v>
      </c>
      <c r="Y283" s="61">
        <v>34</v>
      </c>
      <c r="Z283" s="61"/>
      <c r="AA283" s="61"/>
      <c r="AB283" s="61">
        <v>19.200015</v>
      </c>
      <c r="AC283" s="61">
        <v>34</v>
      </c>
      <c r="AD283" s="61">
        <v>72.75</v>
      </c>
    </row>
    <row r="284" spans="21:30" s="4" customFormat="1" x14ac:dyDescent="0.35">
      <c r="U284" s="61">
        <v>26.80434</v>
      </c>
      <c r="V284" s="61">
        <v>73.375</v>
      </c>
      <c r="W284" s="61">
        <v>2.8343813999999998</v>
      </c>
      <c r="X284" s="61">
        <v>17</v>
      </c>
      <c r="Y284" s="61">
        <v>50</v>
      </c>
      <c r="Z284" s="61"/>
      <c r="AA284" s="61"/>
      <c r="AB284" s="195">
        <v>26.80434</v>
      </c>
      <c r="AC284" s="195">
        <v>50</v>
      </c>
      <c r="AD284" s="195">
        <v>73.375</v>
      </c>
    </row>
    <row r="285" spans="21:30" s="4" customFormat="1" x14ac:dyDescent="0.35">
      <c r="U285" s="61">
        <v>22.612499999999997</v>
      </c>
      <c r="V285" s="61">
        <v>80.875</v>
      </c>
      <c r="W285" s="61">
        <v>9.5838140000000003</v>
      </c>
      <c r="X285" s="61">
        <v>5</v>
      </c>
      <c r="Y285" s="61">
        <v>36</v>
      </c>
      <c r="Z285" s="61"/>
      <c r="AA285" s="61"/>
      <c r="AB285" s="61">
        <v>22.612499999999997</v>
      </c>
      <c r="AC285" s="61">
        <v>36</v>
      </c>
      <c r="AD285" s="61">
        <v>80.875</v>
      </c>
    </row>
    <row r="286" spans="21:30" s="4" customFormat="1" x14ac:dyDescent="0.35">
      <c r="U286" s="61">
        <v>18.5625</v>
      </c>
      <c r="V286" s="61">
        <v>90.625</v>
      </c>
      <c r="W286" s="61">
        <v>16.626049999999999</v>
      </c>
      <c r="X286" s="61">
        <v>4</v>
      </c>
      <c r="Y286" s="61">
        <v>39</v>
      </c>
      <c r="Z286" s="61"/>
      <c r="AA286" s="61"/>
      <c r="AB286" s="195">
        <v>18.5625</v>
      </c>
      <c r="AC286" s="195">
        <v>39</v>
      </c>
      <c r="AD286" s="195">
        <v>90.625</v>
      </c>
    </row>
    <row r="287" spans="21:30" s="4" customFormat="1" x14ac:dyDescent="0.35">
      <c r="U287" s="61">
        <v>21.037500000000001</v>
      </c>
      <c r="V287" s="61">
        <v>89.666700000000006</v>
      </c>
      <c r="W287" s="61">
        <v>9.4997290000000003</v>
      </c>
      <c r="X287" s="61">
        <v>11</v>
      </c>
      <c r="Y287" s="61">
        <v>55</v>
      </c>
      <c r="Z287" s="61"/>
      <c r="AA287" s="61"/>
      <c r="AB287" s="61">
        <v>21.037500000000001</v>
      </c>
      <c r="AC287" s="61">
        <v>55</v>
      </c>
      <c r="AD287" s="61">
        <v>89.666700000000006</v>
      </c>
    </row>
    <row r="288" spans="21:30" s="4" customFormat="1" x14ac:dyDescent="0.35">
      <c r="U288" s="61">
        <v>20.100014999999999</v>
      </c>
      <c r="V288" s="61">
        <v>71.625</v>
      </c>
      <c r="W288" s="61">
        <v>15.000161</v>
      </c>
      <c r="X288" s="61">
        <v>13</v>
      </c>
      <c r="Y288" s="61">
        <v>50</v>
      </c>
      <c r="Z288" s="61"/>
      <c r="AA288" s="61"/>
      <c r="AB288" s="195">
        <v>20.100014999999999</v>
      </c>
      <c r="AC288" s="195">
        <v>50</v>
      </c>
      <c r="AD288" s="195">
        <v>71.625</v>
      </c>
    </row>
    <row r="289" spans="21:30" s="4" customFormat="1" x14ac:dyDescent="0.35">
      <c r="U289" s="61">
        <v>19.387485000000002</v>
      </c>
      <c r="V289" s="61">
        <v>48.333300000000001</v>
      </c>
      <c r="W289" s="61">
        <v>17.291561000000002</v>
      </c>
      <c r="X289" s="61">
        <v>2</v>
      </c>
      <c r="Y289" s="61">
        <v>13</v>
      </c>
      <c r="Z289" s="61"/>
      <c r="AA289" s="61"/>
      <c r="AB289" s="61">
        <v>19.387485000000002</v>
      </c>
      <c r="AC289" s="61">
        <v>13</v>
      </c>
      <c r="AD289" s="61">
        <v>48.333300000000001</v>
      </c>
    </row>
    <row r="290" spans="21:30" s="4" customFormat="1" x14ac:dyDescent="0.35">
      <c r="U290" s="61">
        <v>20.550014999999998</v>
      </c>
      <c r="V290" s="61">
        <v>48.666699999999999</v>
      </c>
      <c r="W290" s="61">
        <v>18.875039000000001</v>
      </c>
      <c r="X290" s="61">
        <v>31</v>
      </c>
      <c r="Y290" s="61">
        <v>44</v>
      </c>
      <c r="Z290" s="61"/>
      <c r="AA290" s="61"/>
      <c r="AB290" s="195">
        <v>20.550014999999998</v>
      </c>
      <c r="AC290" s="195">
        <v>44</v>
      </c>
      <c r="AD290" s="195">
        <v>48.666699999999999</v>
      </c>
    </row>
    <row r="291" spans="21:30" s="4" customFormat="1" x14ac:dyDescent="0.35">
      <c r="U291" s="61">
        <v>23.062499999999996</v>
      </c>
      <c r="V291" s="61">
        <v>57.958299999999994</v>
      </c>
      <c r="W291" s="61">
        <v>11.750393000000001</v>
      </c>
      <c r="X291" s="61">
        <v>13</v>
      </c>
      <c r="Y291" s="61">
        <v>55</v>
      </c>
      <c r="Z291" s="61"/>
      <c r="AA291" s="61"/>
      <c r="AB291" s="61">
        <v>23.062499999999996</v>
      </c>
      <c r="AC291" s="61">
        <v>55</v>
      </c>
      <c r="AD291" s="61">
        <v>57.958299999999994</v>
      </c>
    </row>
    <row r="292" spans="21:30" s="4" customFormat="1" x14ac:dyDescent="0.35">
      <c r="U292" s="61">
        <v>22.762484999999998</v>
      </c>
      <c r="V292" s="61">
        <v>70.166700000000006</v>
      </c>
      <c r="W292" s="61">
        <v>7.3758290000000004</v>
      </c>
      <c r="X292" s="61">
        <v>8</v>
      </c>
      <c r="Y292" s="61">
        <v>56</v>
      </c>
      <c r="Z292" s="61"/>
      <c r="AA292" s="61"/>
      <c r="AB292" s="195">
        <v>22.762484999999998</v>
      </c>
      <c r="AC292" s="195">
        <v>56</v>
      </c>
      <c r="AD292" s="195">
        <v>70.166700000000006</v>
      </c>
    </row>
    <row r="293" spans="21:30" s="4" customFormat="1" x14ac:dyDescent="0.35">
      <c r="U293" s="61">
        <v>26.774999999999999</v>
      </c>
      <c r="V293" s="61">
        <v>89.52170000000001</v>
      </c>
      <c r="W293" s="61">
        <v>16.303712999999998</v>
      </c>
      <c r="X293" s="61">
        <v>12</v>
      </c>
      <c r="Y293" s="61">
        <v>67</v>
      </c>
      <c r="Z293" s="61"/>
      <c r="AA293" s="61"/>
      <c r="AB293" s="61">
        <v>26.774999999999999</v>
      </c>
      <c r="AC293" s="61">
        <v>67</v>
      </c>
      <c r="AD293" s="61">
        <v>89.52170000000001</v>
      </c>
    </row>
    <row r="294" spans="21:30" s="4" customFormat="1" x14ac:dyDescent="0.35">
      <c r="U294" s="61">
        <v>20.662514999999999</v>
      </c>
      <c r="V294" s="61">
        <v>63.625</v>
      </c>
      <c r="W294" s="61">
        <v>28.292425000000001</v>
      </c>
      <c r="X294" s="61">
        <v>15</v>
      </c>
      <c r="Y294" s="61">
        <v>69</v>
      </c>
      <c r="Z294" s="61"/>
      <c r="AA294" s="61"/>
      <c r="AB294" s="195">
        <v>20.662514999999999</v>
      </c>
      <c r="AC294" s="195">
        <v>69</v>
      </c>
      <c r="AD294" s="195">
        <v>63.625</v>
      </c>
    </row>
    <row r="295" spans="21:30" s="4" customFormat="1" x14ac:dyDescent="0.35">
      <c r="U295" s="61">
        <v>15.150015</v>
      </c>
      <c r="V295" s="61">
        <v>57.416699999999999</v>
      </c>
      <c r="W295" s="61">
        <v>14.833532</v>
      </c>
      <c r="X295" s="61">
        <v>4</v>
      </c>
      <c r="Y295" s="61">
        <v>30</v>
      </c>
      <c r="Z295" s="61"/>
      <c r="AA295" s="61"/>
      <c r="AB295" s="61">
        <v>15.150015</v>
      </c>
      <c r="AC295" s="61">
        <v>30</v>
      </c>
      <c r="AD295" s="61">
        <v>57.416699999999999</v>
      </c>
    </row>
    <row r="296" spans="21:30" s="4" customFormat="1" x14ac:dyDescent="0.35">
      <c r="U296" s="61">
        <v>20.7</v>
      </c>
      <c r="V296" s="61">
        <v>62.916700000000006</v>
      </c>
      <c r="W296" s="61">
        <v>6.2086689000000002</v>
      </c>
      <c r="X296" s="61">
        <v>29</v>
      </c>
      <c r="Y296" s="61">
        <v>51</v>
      </c>
      <c r="Z296" s="61"/>
      <c r="AA296" s="61"/>
      <c r="AB296" s="195">
        <v>20.7</v>
      </c>
      <c r="AC296" s="195">
        <v>51</v>
      </c>
      <c r="AD296" s="195">
        <v>62.916700000000006</v>
      </c>
    </row>
    <row r="297" spans="21:30" s="4" customFormat="1" x14ac:dyDescent="0.35">
      <c r="U297" s="61">
        <v>26.175015000000002</v>
      </c>
      <c r="V297" s="61">
        <v>74.125</v>
      </c>
      <c r="W297" s="61">
        <v>6.6673375000000004</v>
      </c>
      <c r="X297" s="61">
        <v>34</v>
      </c>
      <c r="Y297" s="61">
        <v>50</v>
      </c>
      <c r="Z297" s="61"/>
      <c r="AA297" s="61"/>
      <c r="AB297" s="61">
        <v>26.175015000000002</v>
      </c>
      <c r="AC297" s="61">
        <v>50</v>
      </c>
      <c r="AD297" s="61">
        <v>74.125</v>
      </c>
    </row>
    <row r="298" spans="21:30" s="4" customFormat="1" x14ac:dyDescent="0.35">
      <c r="U298" s="61">
        <v>27.300014999999998</v>
      </c>
      <c r="V298" s="61">
        <v>77.208299999999994</v>
      </c>
      <c r="W298" s="61">
        <v>7.9590639999999997</v>
      </c>
      <c r="X298" s="61">
        <v>15</v>
      </c>
      <c r="Y298" s="61">
        <v>66</v>
      </c>
      <c r="Z298" s="61"/>
      <c r="AA298" s="61"/>
      <c r="AB298" s="195">
        <v>27.300014999999998</v>
      </c>
      <c r="AC298" s="195">
        <v>66</v>
      </c>
      <c r="AD298" s="195">
        <v>77.208299999999994</v>
      </c>
    </row>
    <row r="299" spans="21:30" s="4" customFormat="1" x14ac:dyDescent="0.35">
      <c r="U299" s="61">
        <v>28.425014999999998</v>
      </c>
      <c r="V299" s="61">
        <v>62.291700000000006</v>
      </c>
      <c r="W299" s="61">
        <v>11.166086</v>
      </c>
      <c r="X299" s="61">
        <v>14</v>
      </c>
      <c r="Y299" s="61">
        <v>74</v>
      </c>
      <c r="Z299" s="61"/>
      <c r="AA299" s="61"/>
      <c r="AB299" s="61">
        <v>28.425014999999998</v>
      </c>
      <c r="AC299" s="61">
        <v>74</v>
      </c>
      <c r="AD299" s="61">
        <v>62.291700000000006</v>
      </c>
    </row>
    <row r="300" spans="21:30" s="4" customFormat="1" x14ac:dyDescent="0.35">
      <c r="U300" s="61">
        <v>27.9</v>
      </c>
      <c r="V300" s="61">
        <v>72.041699999999992</v>
      </c>
      <c r="W300" s="61">
        <v>9.9590139999999998</v>
      </c>
      <c r="X300" s="61">
        <v>11</v>
      </c>
      <c r="Y300" s="61">
        <v>67</v>
      </c>
      <c r="Z300" s="61"/>
      <c r="AA300" s="61"/>
      <c r="AB300" s="195">
        <v>27.9</v>
      </c>
      <c r="AC300" s="195">
        <v>67</v>
      </c>
      <c r="AD300" s="195">
        <v>72.041699999999992</v>
      </c>
    </row>
    <row r="301" spans="21:30" s="4" customFormat="1" x14ac:dyDescent="0.35">
      <c r="U301" s="61">
        <v>27.787500000000001</v>
      </c>
      <c r="V301" s="61">
        <v>81.291700000000006</v>
      </c>
      <c r="W301" s="61">
        <v>13.250121</v>
      </c>
      <c r="X301" s="61">
        <v>11</v>
      </c>
      <c r="Y301" s="61">
        <v>70</v>
      </c>
      <c r="Z301" s="61"/>
      <c r="AA301" s="61"/>
      <c r="AB301" s="61">
        <v>27.787500000000001</v>
      </c>
      <c r="AC301" s="61">
        <v>70</v>
      </c>
      <c r="AD301" s="61">
        <v>81.291700000000006</v>
      </c>
    </row>
    <row r="302" spans="21:30" s="4" customFormat="1" x14ac:dyDescent="0.35">
      <c r="U302" s="61">
        <v>22.95</v>
      </c>
      <c r="V302" s="61">
        <v>58.583300000000008</v>
      </c>
      <c r="W302" s="61">
        <v>15.375093</v>
      </c>
      <c r="X302" s="61">
        <v>18</v>
      </c>
      <c r="Y302" s="61">
        <v>74</v>
      </c>
      <c r="Z302" s="61"/>
      <c r="AA302" s="61"/>
      <c r="AB302" s="195">
        <v>22.95</v>
      </c>
      <c r="AC302" s="195">
        <v>74</v>
      </c>
      <c r="AD302" s="195">
        <v>58.583300000000008</v>
      </c>
    </row>
    <row r="303" spans="21:30" s="4" customFormat="1" x14ac:dyDescent="0.35">
      <c r="U303" s="61">
        <v>21.262499999999999</v>
      </c>
      <c r="V303" s="61">
        <v>88.25</v>
      </c>
      <c r="W303" s="61">
        <v>23.541857</v>
      </c>
      <c r="X303" s="61">
        <v>39</v>
      </c>
      <c r="Y303" s="61">
        <v>67</v>
      </c>
      <c r="Z303" s="61"/>
      <c r="AA303" s="61"/>
      <c r="AB303" s="61">
        <v>21.262499999999999</v>
      </c>
      <c r="AC303" s="61">
        <v>67</v>
      </c>
      <c r="AD303" s="61">
        <v>88.25</v>
      </c>
    </row>
    <row r="304" spans="21:30" s="4" customFormat="1" x14ac:dyDescent="0.35">
      <c r="U304" s="61">
        <v>20.325015</v>
      </c>
      <c r="V304" s="61">
        <v>62.375</v>
      </c>
      <c r="W304" s="61">
        <v>11.833339</v>
      </c>
      <c r="X304" s="61">
        <v>23</v>
      </c>
      <c r="Y304" s="61">
        <v>44</v>
      </c>
      <c r="Z304" s="61"/>
      <c r="AA304" s="61"/>
      <c r="AB304" s="195">
        <v>20.325015</v>
      </c>
      <c r="AC304" s="195">
        <v>44</v>
      </c>
      <c r="AD304" s="195">
        <v>62.375</v>
      </c>
    </row>
    <row r="305" spans="21:30" s="4" customFormat="1" x14ac:dyDescent="0.35">
      <c r="U305" s="61">
        <v>24.712515</v>
      </c>
      <c r="V305" s="61">
        <v>70.333299999999994</v>
      </c>
      <c r="W305" s="61">
        <v>7.1254499999999998</v>
      </c>
      <c r="X305" s="61">
        <v>17</v>
      </c>
      <c r="Y305" s="61">
        <v>71</v>
      </c>
      <c r="Z305" s="61"/>
      <c r="AA305" s="61"/>
      <c r="AB305" s="61">
        <v>24.712515</v>
      </c>
      <c r="AC305" s="61">
        <v>71</v>
      </c>
      <c r="AD305" s="61">
        <v>70.333299999999994</v>
      </c>
    </row>
    <row r="306" spans="21:30" s="4" customFormat="1" x14ac:dyDescent="0.35">
      <c r="U306" s="61">
        <v>27.750014999999998</v>
      </c>
      <c r="V306" s="61">
        <v>68.375</v>
      </c>
      <c r="W306" s="61">
        <v>9.0832569999999997</v>
      </c>
      <c r="X306" s="61">
        <v>12</v>
      </c>
      <c r="Y306" s="61">
        <v>77</v>
      </c>
      <c r="Z306" s="61"/>
      <c r="AA306" s="61"/>
      <c r="AB306" s="195">
        <v>27.750014999999998</v>
      </c>
      <c r="AC306" s="195">
        <v>77</v>
      </c>
      <c r="AD306" s="195">
        <v>68.375</v>
      </c>
    </row>
    <row r="307" spans="21:30" s="4" customFormat="1" x14ac:dyDescent="0.35">
      <c r="U307" s="61">
        <v>18.637515</v>
      </c>
      <c r="V307" s="61">
        <v>71.875</v>
      </c>
      <c r="W307" s="61">
        <v>5.5001439000000003</v>
      </c>
      <c r="X307" s="61">
        <v>5</v>
      </c>
      <c r="Y307" s="61">
        <v>48</v>
      </c>
      <c r="Z307" s="61"/>
      <c r="AA307" s="61"/>
      <c r="AB307" s="61">
        <v>18.637515</v>
      </c>
      <c r="AC307" s="61">
        <v>48</v>
      </c>
      <c r="AD307" s="61">
        <v>71.875</v>
      </c>
    </row>
    <row r="308" spans="21:30" s="4" customFormat="1" x14ac:dyDescent="0.35">
      <c r="U308" s="61">
        <v>20.662514999999999</v>
      </c>
      <c r="V308" s="61">
        <v>70.208300000000008</v>
      </c>
      <c r="W308" s="61">
        <v>9.1667389999999997</v>
      </c>
      <c r="X308" s="61">
        <v>12</v>
      </c>
      <c r="Y308" s="61">
        <v>76</v>
      </c>
      <c r="Z308" s="61"/>
      <c r="AA308" s="61"/>
      <c r="AB308" s="195">
        <v>20.662514999999999</v>
      </c>
      <c r="AC308" s="195">
        <v>76</v>
      </c>
      <c r="AD308" s="195">
        <v>70.208300000000008</v>
      </c>
    </row>
    <row r="309" spans="21:30" s="4" customFormat="1" x14ac:dyDescent="0.35">
      <c r="U309" s="61">
        <v>21.562515000000001</v>
      </c>
      <c r="V309" s="61">
        <v>62.250000000000007</v>
      </c>
      <c r="W309" s="61">
        <v>18.209192999999999</v>
      </c>
      <c r="X309" s="61">
        <v>18</v>
      </c>
      <c r="Y309" s="61">
        <v>74</v>
      </c>
      <c r="Z309" s="61"/>
      <c r="AA309" s="61"/>
      <c r="AB309" s="61">
        <v>21.562515000000001</v>
      </c>
      <c r="AC309" s="61">
        <v>74</v>
      </c>
      <c r="AD309" s="61">
        <v>62.250000000000007</v>
      </c>
    </row>
    <row r="310" spans="21:30" s="4" customFormat="1" x14ac:dyDescent="0.35">
      <c r="U310" s="61">
        <v>23.400000000000002</v>
      </c>
      <c r="V310" s="61">
        <v>51.916700000000006</v>
      </c>
      <c r="W310" s="61">
        <v>12.667154</v>
      </c>
      <c r="X310" s="61">
        <v>32</v>
      </c>
      <c r="Y310" s="61">
        <v>62</v>
      </c>
      <c r="Z310" s="61"/>
      <c r="AA310" s="61"/>
      <c r="AB310" s="195">
        <v>23.400000000000002</v>
      </c>
      <c r="AC310" s="195">
        <v>62</v>
      </c>
      <c r="AD310" s="195">
        <v>51.916700000000006</v>
      </c>
    </row>
    <row r="311" spans="21:30" s="4" customFormat="1" x14ac:dyDescent="0.35">
      <c r="U311" s="61">
        <v>23.774985000000001</v>
      </c>
      <c r="V311" s="61">
        <v>73.458299999999994</v>
      </c>
      <c r="W311" s="61">
        <v>6.1676314000000003</v>
      </c>
      <c r="X311" s="61">
        <v>28</v>
      </c>
      <c r="Y311" s="61">
        <v>59</v>
      </c>
      <c r="Z311" s="61"/>
      <c r="AA311" s="61"/>
      <c r="AB311" s="61">
        <v>23.774985000000001</v>
      </c>
      <c r="AC311" s="61">
        <v>59</v>
      </c>
      <c r="AD311" s="61">
        <v>73.458299999999994</v>
      </c>
    </row>
    <row r="312" spans="21:30" s="4" customFormat="1" x14ac:dyDescent="0.35">
      <c r="U312" s="61">
        <v>23.962499999999999</v>
      </c>
      <c r="V312" s="61">
        <v>75.875</v>
      </c>
      <c r="W312" s="61">
        <v>3.8340749999999999</v>
      </c>
      <c r="X312" s="61">
        <v>13</v>
      </c>
      <c r="Y312" s="61">
        <v>74</v>
      </c>
      <c r="Z312" s="61"/>
      <c r="AA312" s="61"/>
      <c r="AB312" s="195">
        <v>23.962499999999999</v>
      </c>
      <c r="AC312" s="195">
        <v>74</v>
      </c>
      <c r="AD312" s="195">
        <v>75.875</v>
      </c>
    </row>
    <row r="313" spans="21:30" s="4" customFormat="1" x14ac:dyDescent="0.35">
      <c r="U313" s="61">
        <v>23.962499999999999</v>
      </c>
      <c r="V313" s="61">
        <v>72.166699999999992</v>
      </c>
      <c r="W313" s="61">
        <v>4.6255125000000001</v>
      </c>
      <c r="X313" s="61">
        <v>14</v>
      </c>
      <c r="Y313" s="61">
        <v>82</v>
      </c>
      <c r="Z313" s="61"/>
      <c r="AA313" s="61"/>
      <c r="AB313" s="61">
        <v>23.962499999999999</v>
      </c>
      <c r="AC313" s="61">
        <v>82</v>
      </c>
      <c r="AD313" s="61">
        <v>72.166699999999992</v>
      </c>
    </row>
    <row r="314" spans="21:30" s="4" customFormat="1" x14ac:dyDescent="0.35">
      <c r="U314" s="61">
        <v>24.412499999999998</v>
      </c>
      <c r="V314" s="61">
        <v>75.833300000000008</v>
      </c>
      <c r="W314" s="61">
        <v>4.1671186000000002</v>
      </c>
      <c r="X314" s="61">
        <v>11</v>
      </c>
      <c r="Y314" s="61">
        <v>73</v>
      </c>
      <c r="Z314" s="61"/>
      <c r="AA314" s="61"/>
      <c r="AB314" s="195">
        <v>24.412499999999998</v>
      </c>
      <c r="AC314" s="195">
        <v>73</v>
      </c>
      <c r="AD314" s="195">
        <v>75.833300000000008</v>
      </c>
    </row>
    <row r="315" spans="21:30" s="4" customFormat="1" x14ac:dyDescent="0.35">
      <c r="U315" s="61">
        <v>24.075000000000003</v>
      </c>
      <c r="V315" s="61">
        <v>81.333299999999994</v>
      </c>
      <c r="W315" s="61">
        <v>12.667489000000002</v>
      </c>
      <c r="X315" s="61">
        <v>14</v>
      </c>
      <c r="Y315" s="61">
        <v>83</v>
      </c>
      <c r="Z315" s="61"/>
      <c r="AA315" s="61"/>
      <c r="AB315" s="61">
        <v>24.075000000000003</v>
      </c>
      <c r="AC315" s="61">
        <v>83</v>
      </c>
      <c r="AD315" s="61">
        <v>81.333299999999994</v>
      </c>
    </row>
    <row r="316" spans="21:30" s="4" customFormat="1" x14ac:dyDescent="0.35">
      <c r="U316" s="61">
        <v>23.062499999999996</v>
      </c>
      <c r="V316" s="61">
        <v>44.625</v>
      </c>
      <c r="W316" s="61">
        <v>21.083224999999999</v>
      </c>
      <c r="X316" s="61">
        <v>14</v>
      </c>
      <c r="Y316" s="61">
        <v>68</v>
      </c>
      <c r="Z316" s="61"/>
      <c r="AA316" s="61"/>
      <c r="AB316" s="195">
        <v>23.062499999999996</v>
      </c>
      <c r="AC316" s="195">
        <v>68</v>
      </c>
      <c r="AD316" s="195">
        <v>44.625</v>
      </c>
    </row>
    <row r="317" spans="21:30" s="4" customFormat="1" x14ac:dyDescent="0.35">
      <c r="U317" s="61">
        <v>23.437484999999999</v>
      </c>
      <c r="V317" s="61">
        <v>55.291699999999999</v>
      </c>
      <c r="W317" s="61">
        <v>14.208154</v>
      </c>
      <c r="X317" s="61">
        <v>18</v>
      </c>
      <c r="Y317" s="61">
        <v>50</v>
      </c>
      <c r="Z317" s="61"/>
      <c r="AA317" s="61"/>
      <c r="AB317" s="61">
        <v>23.437484999999999</v>
      </c>
      <c r="AC317" s="61">
        <v>50</v>
      </c>
      <c r="AD317" s="61">
        <v>55.291699999999999</v>
      </c>
    </row>
    <row r="318" spans="21:30" s="4" customFormat="1" x14ac:dyDescent="0.35">
      <c r="U318" s="61">
        <v>25.3125</v>
      </c>
      <c r="V318" s="61">
        <v>45.833300000000001</v>
      </c>
      <c r="W318" s="61">
        <v>18.875306999999999</v>
      </c>
      <c r="X318" s="61">
        <v>32</v>
      </c>
      <c r="Y318" s="61">
        <v>59</v>
      </c>
      <c r="Z318" s="61"/>
      <c r="AA318" s="61"/>
      <c r="AB318" s="195">
        <v>25.3125</v>
      </c>
      <c r="AC318" s="195">
        <v>59</v>
      </c>
      <c r="AD318" s="195">
        <v>45.833300000000001</v>
      </c>
    </row>
    <row r="319" spans="21:30" s="4" customFormat="1" x14ac:dyDescent="0.35">
      <c r="U319" s="61">
        <v>25.987500000000001</v>
      </c>
      <c r="V319" s="61">
        <v>58.708300000000001</v>
      </c>
      <c r="W319" s="61">
        <v>20.541931999999999</v>
      </c>
      <c r="X319" s="61">
        <v>15</v>
      </c>
      <c r="Y319" s="61">
        <v>64</v>
      </c>
      <c r="Z319" s="61"/>
      <c r="AA319" s="61"/>
      <c r="AB319" s="61">
        <v>25.987500000000001</v>
      </c>
      <c r="AC319" s="61">
        <v>64</v>
      </c>
      <c r="AD319" s="61">
        <v>58.708300000000001</v>
      </c>
    </row>
    <row r="320" spans="21:30" s="4" customFormat="1" x14ac:dyDescent="0.35">
      <c r="U320" s="61">
        <v>25.275015</v>
      </c>
      <c r="V320" s="61">
        <v>68.875</v>
      </c>
      <c r="W320" s="61">
        <v>13.375411</v>
      </c>
      <c r="X320" s="61">
        <v>14</v>
      </c>
      <c r="Y320" s="61">
        <v>69</v>
      </c>
      <c r="Z320" s="61"/>
      <c r="AA320" s="61"/>
      <c r="AB320" s="195">
        <v>25.275015</v>
      </c>
      <c r="AC320" s="195">
        <v>69</v>
      </c>
      <c r="AD320" s="195">
        <v>68.875</v>
      </c>
    </row>
    <row r="321" spans="21:30" s="4" customFormat="1" x14ac:dyDescent="0.35">
      <c r="U321" s="61">
        <v>24.750000000000004</v>
      </c>
      <c r="V321" s="61">
        <v>93</v>
      </c>
      <c r="W321" s="61">
        <v>9.1675430000000002</v>
      </c>
      <c r="X321" s="61">
        <v>11</v>
      </c>
      <c r="Y321" s="61">
        <v>66</v>
      </c>
      <c r="Z321" s="61"/>
      <c r="AA321" s="61"/>
      <c r="AB321" s="61">
        <v>24.750000000000004</v>
      </c>
      <c r="AC321" s="61">
        <v>66</v>
      </c>
      <c r="AD321" s="61">
        <v>93</v>
      </c>
    </row>
    <row r="322" spans="21:30" s="4" customFormat="1" x14ac:dyDescent="0.35">
      <c r="U322" s="61">
        <v>23.887485000000002</v>
      </c>
      <c r="V322" s="61">
        <v>57.583300000000001</v>
      </c>
      <c r="W322" s="61">
        <v>20.459254000000001</v>
      </c>
      <c r="X322" s="61">
        <v>15</v>
      </c>
      <c r="Y322" s="61">
        <v>77</v>
      </c>
      <c r="Z322" s="61"/>
      <c r="AA322" s="61"/>
      <c r="AB322" s="195">
        <v>23.887485000000002</v>
      </c>
      <c r="AC322" s="195">
        <v>77</v>
      </c>
      <c r="AD322" s="195">
        <v>57.583300000000001</v>
      </c>
    </row>
    <row r="323" spans="21:30" s="4" customFormat="1" x14ac:dyDescent="0.35">
      <c r="U323" s="61">
        <v>24.150015</v>
      </c>
      <c r="V323" s="61">
        <v>41</v>
      </c>
      <c r="W323" s="61">
        <v>11.291710999999999</v>
      </c>
      <c r="X323" s="61">
        <v>18</v>
      </c>
      <c r="Y323" s="61">
        <v>80</v>
      </c>
      <c r="Z323" s="61"/>
      <c r="AA323" s="61"/>
      <c r="AB323" s="61">
        <v>24.150015</v>
      </c>
      <c r="AC323" s="61">
        <v>80</v>
      </c>
      <c r="AD323" s="61">
        <v>41</v>
      </c>
    </row>
    <row r="324" spans="21:30" s="4" customFormat="1" x14ac:dyDescent="0.35">
      <c r="U324" s="61">
        <v>27.112500000000001</v>
      </c>
      <c r="V324" s="61">
        <v>50.208299999999994</v>
      </c>
      <c r="W324" s="61">
        <v>15.041232000000001</v>
      </c>
      <c r="X324" s="61">
        <v>45</v>
      </c>
      <c r="Y324" s="61">
        <v>71</v>
      </c>
      <c r="Z324" s="61"/>
      <c r="AA324" s="61"/>
      <c r="AB324" s="195">
        <v>27.112500000000001</v>
      </c>
      <c r="AC324" s="195">
        <v>71</v>
      </c>
      <c r="AD324" s="195">
        <v>50.208299999999994</v>
      </c>
    </row>
    <row r="325" spans="21:30" x14ac:dyDescent="0.35">
      <c r="U325" s="61">
        <v>27.187515000000001</v>
      </c>
      <c r="V325" s="61">
        <v>68.458300000000008</v>
      </c>
      <c r="W325" s="61">
        <v>12.45865</v>
      </c>
      <c r="X325" s="61">
        <v>32</v>
      </c>
      <c r="Y325" s="61">
        <v>62</v>
      </c>
      <c r="Z325" s="61"/>
      <c r="AA325" s="61"/>
      <c r="AB325" s="61">
        <v>27.187515000000001</v>
      </c>
      <c r="AC325" s="61">
        <v>62</v>
      </c>
      <c r="AD325" s="61">
        <v>68.458300000000008</v>
      </c>
    </row>
    <row r="326" spans="21:30" x14ac:dyDescent="0.35">
      <c r="U326" s="61">
        <v>28.425014999999998</v>
      </c>
      <c r="V326" s="61">
        <v>91</v>
      </c>
      <c r="W326" s="61">
        <v>9.2496179999999999</v>
      </c>
      <c r="X326" s="61">
        <v>17</v>
      </c>
      <c r="Y326" s="61">
        <v>69</v>
      </c>
      <c r="Z326" s="61"/>
      <c r="AA326" s="61"/>
      <c r="AB326" s="195">
        <v>28.425014999999998</v>
      </c>
      <c r="AC326" s="195">
        <v>69</v>
      </c>
      <c r="AD326" s="195">
        <v>91</v>
      </c>
    </row>
    <row r="327" spans="21:30" x14ac:dyDescent="0.35">
      <c r="U327" s="61">
        <v>29.700000000000003</v>
      </c>
      <c r="V327" s="61">
        <v>96.25</v>
      </c>
      <c r="W327" s="61">
        <v>7.9590639999999997</v>
      </c>
      <c r="X327" s="61">
        <v>13</v>
      </c>
      <c r="Y327" s="61">
        <v>77</v>
      </c>
      <c r="Z327" s="61"/>
      <c r="AA327" s="61"/>
      <c r="AB327" s="61">
        <v>29.700000000000003</v>
      </c>
      <c r="AC327" s="61">
        <v>77</v>
      </c>
      <c r="AD327" s="61">
        <v>96.25</v>
      </c>
    </row>
    <row r="328" spans="21:30" x14ac:dyDescent="0.35">
      <c r="U328" s="61">
        <v>29.737485</v>
      </c>
      <c r="V328" s="61">
        <v>75.791699999999992</v>
      </c>
      <c r="W328" s="61">
        <v>22.500274999999998</v>
      </c>
      <c r="X328" s="61">
        <v>15</v>
      </c>
      <c r="Y328" s="61">
        <v>85</v>
      </c>
      <c r="Z328" s="61"/>
      <c r="AA328" s="61"/>
      <c r="AB328" s="195">
        <v>29.737485</v>
      </c>
      <c r="AC328" s="195">
        <v>85</v>
      </c>
      <c r="AD328" s="195">
        <v>75.791699999999992</v>
      </c>
    </row>
    <row r="329" spans="21:30" x14ac:dyDescent="0.35">
      <c r="U329" s="61">
        <v>31.874984999999999</v>
      </c>
      <c r="V329" s="61">
        <v>54.916699999999999</v>
      </c>
      <c r="W329" s="61">
        <v>11.209368000000001</v>
      </c>
      <c r="X329" s="61">
        <v>15</v>
      </c>
      <c r="Y329" s="61">
        <v>78</v>
      </c>
      <c r="Z329" s="61"/>
      <c r="AA329" s="61"/>
      <c r="AB329" s="61">
        <v>31.874984999999999</v>
      </c>
      <c r="AC329" s="61">
        <v>78</v>
      </c>
      <c r="AD329" s="61">
        <v>54.916699999999999</v>
      </c>
    </row>
    <row r="330" spans="21:30" x14ac:dyDescent="0.35">
      <c r="U330" s="61">
        <v>30.675015000000002</v>
      </c>
      <c r="V330" s="61">
        <v>64.375</v>
      </c>
      <c r="W330" s="61">
        <v>6.6260186000000001</v>
      </c>
      <c r="X330" s="61">
        <v>17</v>
      </c>
      <c r="Y330" s="61">
        <v>76</v>
      </c>
      <c r="Z330" s="61"/>
      <c r="AA330" s="61"/>
      <c r="AB330" s="195">
        <v>30.675015000000002</v>
      </c>
      <c r="AC330" s="195">
        <v>76</v>
      </c>
      <c r="AD330" s="195">
        <v>64.375</v>
      </c>
    </row>
    <row r="331" spans="21:30" x14ac:dyDescent="0.35">
      <c r="U331" s="61">
        <v>29.512485000000002</v>
      </c>
      <c r="V331" s="61">
        <v>68.166700000000006</v>
      </c>
      <c r="W331" s="61">
        <v>4.5841935999999999</v>
      </c>
      <c r="X331" s="61">
        <v>40</v>
      </c>
      <c r="Y331" s="61">
        <v>55</v>
      </c>
      <c r="Z331" s="61"/>
      <c r="AA331" s="61"/>
      <c r="AB331" s="61">
        <v>29.512485000000002</v>
      </c>
      <c r="AC331" s="61">
        <v>55</v>
      </c>
      <c r="AD331" s="61">
        <v>68.166700000000006</v>
      </c>
    </row>
    <row r="332" spans="21:30" x14ac:dyDescent="0.35">
      <c r="U332" s="61">
        <v>30.037499999999998</v>
      </c>
      <c r="V332" s="61">
        <v>69.833299999999994</v>
      </c>
      <c r="W332" s="61">
        <v>13.999917999999999</v>
      </c>
      <c r="X332" s="61">
        <v>47</v>
      </c>
      <c r="Y332" s="61">
        <v>49</v>
      </c>
      <c r="Z332" s="61"/>
      <c r="AA332" s="61"/>
      <c r="AB332" s="195">
        <v>30.037499999999998</v>
      </c>
      <c r="AC332" s="195">
        <v>49</v>
      </c>
      <c r="AD332" s="195">
        <v>69.833299999999994</v>
      </c>
    </row>
    <row r="333" spans="21:30" x14ac:dyDescent="0.35">
      <c r="U333" s="61">
        <v>32.999985000000002</v>
      </c>
      <c r="V333" s="61">
        <v>74.304299999999998</v>
      </c>
      <c r="W333" s="61">
        <v>9.5221739999999997</v>
      </c>
      <c r="X333" s="61">
        <v>31</v>
      </c>
      <c r="Y333" s="61">
        <v>51</v>
      </c>
      <c r="Z333" s="61"/>
      <c r="AA333" s="61"/>
      <c r="AB333" s="61">
        <v>32.999985000000002</v>
      </c>
      <c r="AC333" s="61">
        <v>51</v>
      </c>
      <c r="AD333" s="61">
        <v>74.304299999999998</v>
      </c>
    </row>
    <row r="334" spans="21:30" x14ac:dyDescent="0.35">
      <c r="U334" s="61">
        <v>34.875</v>
      </c>
      <c r="V334" s="61">
        <v>83.083300000000008</v>
      </c>
      <c r="W334" s="61">
        <v>17.292164</v>
      </c>
      <c r="X334" s="61">
        <v>13</v>
      </c>
      <c r="Y334" s="61">
        <v>66</v>
      </c>
      <c r="Z334" s="61"/>
      <c r="AA334" s="61"/>
      <c r="AB334" s="195">
        <v>34.875</v>
      </c>
      <c r="AC334" s="195">
        <v>66</v>
      </c>
      <c r="AD334" s="195">
        <v>83.083300000000008</v>
      </c>
    </row>
    <row r="335" spans="21:30" x14ac:dyDescent="0.35">
      <c r="U335" s="61">
        <v>34.387515</v>
      </c>
      <c r="V335" s="61">
        <v>61.333300000000001</v>
      </c>
      <c r="W335" s="61">
        <v>18.167586</v>
      </c>
      <c r="X335" s="61">
        <v>10</v>
      </c>
      <c r="Y335" s="61">
        <v>69</v>
      </c>
      <c r="Z335" s="61"/>
      <c r="AA335" s="61"/>
      <c r="AB335" s="61">
        <v>34.387515</v>
      </c>
      <c r="AC335" s="61">
        <v>69</v>
      </c>
      <c r="AD335" s="61">
        <v>61.333300000000001</v>
      </c>
    </row>
    <row r="336" spans="21:30" x14ac:dyDescent="0.35">
      <c r="U336" s="61">
        <v>32.174999999999997</v>
      </c>
      <c r="V336" s="61">
        <v>52.458300000000001</v>
      </c>
      <c r="W336" s="61">
        <v>14.750586</v>
      </c>
      <c r="X336" s="61">
        <v>15</v>
      </c>
      <c r="Y336" s="61">
        <v>85</v>
      </c>
      <c r="Z336" s="61"/>
      <c r="AA336" s="61"/>
      <c r="AB336" s="195">
        <v>32.174999999999997</v>
      </c>
      <c r="AC336" s="195">
        <v>85</v>
      </c>
      <c r="AD336" s="195">
        <v>52.458300000000001</v>
      </c>
    </row>
    <row r="337" spans="21:30" x14ac:dyDescent="0.35">
      <c r="U337" s="61">
        <v>27.9</v>
      </c>
      <c r="V337" s="61">
        <v>62.583299999999994</v>
      </c>
      <c r="W337" s="61">
        <v>6.7505179999999996</v>
      </c>
      <c r="X337" s="61">
        <v>18</v>
      </c>
      <c r="Y337" s="61">
        <v>88</v>
      </c>
      <c r="Z337" s="61"/>
      <c r="AA337" s="61"/>
      <c r="AB337" s="61">
        <v>27.9</v>
      </c>
      <c r="AC337" s="61">
        <v>88</v>
      </c>
      <c r="AD337" s="61">
        <v>62.583299999999994</v>
      </c>
    </row>
    <row r="338" spans="21:30" x14ac:dyDescent="0.35">
      <c r="U338" s="61">
        <v>28.574999999999999</v>
      </c>
      <c r="V338" s="61">
        <v>61.291700000000006</v>
      </c>
      <c r="W338" s="61">
        <v>6.4174810999999998</v>
      </c>
      <c r="X338" s="61">
        <v>37</v>
      </c>
      <c r="Y338" s="61">
        <v>69</v>
      </c>
      <c r="Z338" s="61"/>
      <c r="AA338" s="61"/>
      <c r="AB338" s="195">
        <v>28.574999999999999</v>
      </c>
      <c r="AC338" s="195">
        <v>69</v>
      </c>
      <c r="AD338" s="195">
        <v>61.291700000000006</v>
      </c>
    </row>
    <row r="339" spans="21:30" x14ac:dyDescent="0.35">
      <c r="U339" s="61">
        <v>29.174985000000003</v>
      </c>
      <c r="V339" s="61">
        <v>77.583299999999994</v>
      </c>
      <c r="W339" s="61">
        <v>5.6252060999999998</v>
      </c>
      <c r="X339" s="61">
        <v>34</v>
      </c>
      <c r="Y339" s="61">
        <v>64</v>
      </c>
      <c r="Z339" s="61"/>
      <c r="AA339" s="61"/>
      <c r="AB339" s="61">
        <v>29.174985000000003</v>
      </c>
      <c r="AC339" s="61">
        <v>64</v>
      </c>
      <c r="AD339" s="61">
        <v>77.583299999999994</v>
      </c>
    </row>
    <row r="340" spans="21:30" x14ac:dyDescent="0.35">
      <c r="U340" s="61">
        <v>30.524984999999997</v>
      </c>
      <c r="V340" s="61">
        <v>82.708300000000008</v>
      </c>
      <c r="W340" s="61">
        <v>4.1679561000000005</v>
      </c>
      <c r="X340" s="61">
        <v>13</v>
      </c>
      <c r="Y340" s="61">
        <v>78</v>
      </c>
      <c r="Z340" s="61"/>
      <c r="AA340" s="61"/>
      <c r="AB340" s="195">
        <v>30.524984999999997</v>
      </c>
      <c r="AC340" s="195">
        <v>78</v>
      </c>
      <c r="AD340" s="195">
        <v>82.708300000000008</v>
      </c>
    </row>
    <row r="341" spans="21:30" x14ac:dyDescent="0.35">
      <c r="U341" s="61">
        <v>31.837500000000002</v>
      </c>
      <c r="V341" s="61">
        <v>94.958299999999994</v>
      </c>
      <c r="W341" s="61">
        <v>15.583061000000001</v>
      </c>
      <c r="X341" s="61">
        <v>15</v>
      </c>
      <c r="Y341" s="61">
        <v>81</v>
      </c>
      <c r="Z341" s="61"/>
      <c r="AA341" s="61"/>
      <c r="AB341" s="61">
        <v>31.837500000000002</v>
      </c>
      <c r="AC341" s="61">
        <v>81</v>
      </c>
      <c r="AD341" s="61">
        <v>94.958299999999994</v>
      </c>
    </row>
    <row r="342" spans="21:30" x14ac:dyDescent="0.35">
      <c r="U342" s="61">
        <v>34.912484999999997</v>
      </c>
      <c r="V342" s="61">
        <v>97.041699999999992</v>
      </c>
      <c r="W342" s="61">
        <v>17.833725000000001</v>
      </c>
      <c r="X342" s="61">
        <v>14</v>
      </c>
      <c r="Y342" s="61">
        <v>75</v>
      </c>
      <c r="Z342" s="61"/>
      <c r="AA342" s="61"/>
      <c r="AB342" s="195">
        <v>34.912484999999997</v>
      </c>
      <c r="AC342" s="195">
        <v>75</v>
      </c>
      <c r="AD342" s="195">
        <v>97.041699999999992</v>
      </c>
    </row>
    <row r="343" spans="21:30" x14ac:dyDescent="0.35">
      <c r="U343" s="61">
        <v>36.374984999999995</v>
      </c>
      <c r="V343" s="61">
        <v>57.999999999999993</v>
      </c>
      <c r="W343" s="61">
        <v>16.083886</v>
      </c>
      <c r="X343" s="61">
        <v>11</v>
      </c>
      <c r="Y343" s="61">
        <v>67</v>
      </c>
      <c r="Z343" s="61"/>
      <c r="AA343" s="61"/>
      <c r="AB343" s="61">
        <v>36.374984999999995</v>
      </c>
      <c r="AC343" s="61">
        <v>67</v>
      </c>
      <c r="AD343" s="61">
        <v>57.999999999999993</v>
      </c>
    </row>
    <row r="344" spans="21:30" x14ac:dyDescent="0.35">
      <c r="U344" s="61">
        <v>33.975000000000001</v>
      </c>
      <c r="V344" s="61">
        <v>69.583300000000008</v>
      </c>
      <c r="W344" s="61">
        <v>5.5420189000000004</v>
      </c>
      <c r="X344" s="61">
        <v>16</v>
      </c>
      <c r="Y344" s="61">
        <v>75</v>
      </c>
      <c r="Z344" s="61"/>
      <c r="AA344" s="61"/>
      <c r="AB344" s="195">
        <v>33.975000000000001</v>
      </c>
      <c r="AC344" s="195">
        <v>75</v>
      </c>
      <c r="AD344" s="195">
        <v>69.583300000000008</v>
      </c>
    </row>
    <row r="345" spans="21:30" x14ac:dyDescent="0.35">
      <c r="U345" s="61">
        <v>32.625</v>
      </c>
      <c r="V345" s="61">
        <v>50.749999999999993</v>
      </c>
      <c r="W345" s="61">
        <v>15.625807</v>
      </c>
      <c r="X345" s="61">
        <v>35</v>
      </c>
      <c r="Y345" s="61">
        <v>65</v>
      </c>
      <c r="Z345" s="61"/>
      <c r="AA345" s="61"/>
      <c r="AB345" s="61">
        <v>32.625</v>
      </c>
      <c r="AC345" s="61">
        <v>65</v>
      </c>
      <c r="AD345" s="61">
        <v>50.749999999999993</v>
      </c>
    </row>
    <row r="346" spans="21:30" x14ac:dyDescent="0.35">
      <c r="U346" s="61">
        <v>31.162500000000001</v>
      </c>
      <c r="V346" s="61">
        <v>49</v>
      </c>
      <c r="W346" s="61">
        <v>4.4582938999999993</v>
      </c>
      <c r="X346" s="61">
        <v>29</v>
      </c>
      <c r="Y346" s="61">
        <v>60</v>
      </c>
      <c r="Z346" s="61"/>
      <c r="AA346" s="61"/>
      <c r="AB346" s="195">
        <v>31.162500000000001</v>
      </c>
      <c r="AC346" s="195">
        <v>60</v>
      </c>
      <c r="AD346" s="195">
        <v>49</v>
      </c>
    </row>
    <row r="347" spans="21:30" x14ac:dyDescent="0.35">
      <c r="U347" s="61">
        <v>28.574999999999999</v>
      </c>
      <c r="V347" s="61">
        <v>67.083300000000008</v>
      </c>
      <c r="W347" s="61">
        <v>4.2511500000000009</v>
      </c>
      <c r="X347" s="61">
        <v>17</v>
      </c>
      <c r="Y347" s="61">
        <v>83</v>
      </c>
      <c r="Z347" s="61"/>
      <c r="AA347" s="61"/>
      <c r="AB347" s="61">
        <v>28.574999999999999</v>
      </c>
      <c r="AC347" s="61">
        <v>83</v>
      </c>
      <c r="AD347" s="61">
        <v>67.083300000000008</v>
      </c>
    </row>
    <row r="348" spans="21:30" x14ac:dyDescent="0.35">
      <c r="U348" s="61">
        <v>27.187515000000001</v>
      </c>
      <c r="V348" s="61">
        <v>59</v>
      </c>
      <c r="W348" s="61">
        <v>9.4168500000000002</v>
      </c>
      <c r="X348" s="61">
        <v>15</v>
      </c>
      <c r="Y348" s="61">
        <v>83</v>
      </c>
      <c r="Z348" s="61"/>
      <c r="AA348" s="61"/>
      <c r="AB348" s="195">
        <v>27.187515000000001</v>
      </c>
      <c r="AC348" s="195">
        <v>83</v>
      </c>
      <c r="AD348" s="195">
        <v>59</v>
      </c>
    </row>
    <row r="349" spans="21:30" x14ac:dyDescent="0.35">
      <c r="U349" s="61">
        <v>28.200015</v>
      </c>
      <c r="V349" s="61">
        <v>66.375</v>
      </c>
      <c r="W349" s="61">
        <v>4.0842061000000003</v>
      </c>
      <c r="X349" s="61">
        <v>15</v>
      </c>
      <c r="Y349" s="61">
        <v>88</v>
      </c>
      <c r="Z349" s="61"/>
      <c r="AA349" s="61"/>
      <c r="AB349" s="61">
        <v>28.200015</v>
      </c>
      <c r="AC349" s="61">
        <v>88</v>
      </c>
      <c r="AD349" s="61">
        <v>66.375</v>
      </c>
    </row>
    <row r="350" spans="21:30" x14ac:dyDescent="0.35">
      <c r="U350" s="61">
        <v>28.274985000000001</v>
      </c>
      <c r="V350" s="61">
        <v>63.416700000000006</v>
      </c>
      <c r="W350" s="61">
        <v>17.958814</v>
      </c>
      <c r="X350" s="61">
        <v>11</v>
      </c>
      <c r="Y350" s="61">
        <v>64</v>
      </c>
      <c r="Z350" s="61"/>
      <c r="AA350" s="61"/>
      <c r="AB350" s="195">
        <v>28.274985000000001</v>
      </c>
      <c r="AC350" s="195">
        <v>64</v>
      </c>
      <c r="AD350" s="195">
        <v>63.416700000000006</v>
      </c>
    </row>
    <row r="351" spans="21:30" x14ac:dyDescent="0.35">
      <c r="U351" s="61">
        <v>29.212515000000003</v>
      </c>
      <c r="V351" s="61">
        <v>50.041699999999999</v>
      </c>
      <c r="W351" s="61">
        <v>17.458525000000002</v>
      </c>
      <c r="X351" s="61">
        <v>17</v>
      </c>
      <c r="Y351" s="61">
        <v>80</v>
      </c>
      <c r="Z351" s="61"/>
      <c r="AA351" s="61"/>
      <c r="AB351" s="61">
        <v>29.212515000000003</v>
      </c>
      <c r="AC351" s="61">
        <v>80</v>
      </c>
      <c r="AD351" s="61">
        <v>50.041699999999999</v>
      </c>
    </row>
    <row r="352" spans="21:30" x14ac:dyDescent="0.35">
      <c r="U352" s="61">
        <v>31.350015000000003</v>
      </c>
      <c r="V352" s="61">
        <v>56.083300000000001</v>
      </c>
      <c r="W352" s="61">
        <v>16.292189</v>
      </c>
      <c r="X352" s="61">
        <v>36</v>
      </c>
      <c r="Y352" s="61">
        <v>66</v>
      </c>
      <c r="Z352" s="61"/>
      <c r="AA352" s="61"/>
      <c r="AB352" s="195">
        <v>31.350015000000003</v>
      </c>
      <c r="AC352" s="195">
        <v>66</v>
      </c>
      <c r="AD352" s="195">
        <v>56.083300000000001</v>
      </c>
    </row>
    <row r="353" spans="21:30" x14ac:dyDescent="0.35">
      <c r="U353" s="61">
        <v>31.462515</v>
      </c>
      <c r="V353" s="61">
        <v>58.625000000000007</v>
      </c>
      <c r="W353" s="61">
        <v>11.375193000000001</v>
      </c>
      <c r="X353" s="61">
        <v>33</v>
      </c>
      <c r="Y353" s="61">
        <v>62</v>
      </c>
      <c r="Z353" s="61"/>
      <c r="AA353" s="61"/>
      <c r="AB353" s="61">
        <v>31.462515</v>
      </c>
      <c r="AC353" s="61">
        <v>62</v>
      </c>
      <c r="AD353" s="61">
        <v>58.625000000000007</v>
      </c>
    </row>
    <row r="354" spans="21:30" x14ac:dyDescent="0.35">
      <c r="U354" s="61">
        <v>28.574999999999999</v>
      </c>
      <c r="V354" s="61">
        <v>63.749999999999993</v>
      </c>
      <c r="W354" s="61">
        <v>11.584031999999999</v>
      </c>
      <c r="X354" s="61">
        <v>14</v>
      </c>
      <c r="Y354" s="61">
        <v>66</v>
      </c>
      <c r="Z354" s="61"/>
      <c r="AA354" s="61"/>
      <c r="AB354" s="195">
        <v>28.574999999999999</v>
      </c>
      <c r="AC354" s="195">
        <v>66</v>
      </c>
      <c r="AD354" s="195">
        <v>63.749999999999993</v>
      </c>
    </row>
    <row r="355" spans="21:30" x14ac:dyDescent="0.35">
      <c r="U355" s="61">
        <v>30.637485000000002</v>
      </c>
      <c r="V355" s="61">
        <v>59.541699999999999</v>
      </c>
      <c r="W355" s="61">
        <v>4.1252436000000001</v>
      </c>
      <c r="X355" s="61">
        <v>15</v>
      </c>
      <c r="Y355" s="61">
        <v>81</v>
      </c>
      <c r="Z355" s="61"/>
      <c r="AA355" s="61"/>
      <c r="AB355" s="61">
        <v>30.637485000000002</v>
      </c>
      <c r="AC355" s="61">
        <v>81</v>
      </c>
      <c r="AD355" s="61">
        <v>59.541699999999999</v>
      </c>
    </row>
    <row r="356" spans="21:30" x14ac:dyDescent="0.35">
      <c r="U356" s="61">
        <v>32.999985000000002</v>
      </c>
      <c r="V356" s="61">
        <v>85.833300000000008</v>
      </c>
      <c r="W356" s="61">
        <v>14.8338</v>
      </c>
      <c r="X356" s="61">
        <v>13</v>
      </c>
      <c r="Y356" s="61">
        <v>77</v>
      </c>
      <c r="Z356" s="61"/>
      <c r="AA356" s="61"/>
      <c r="AB356" s="195">
        <v>32.999985000000002</v>
      </c>
      <c r="AC356" s="195">
        <v>77</v>
      </c>
      <c r="AD356" s="195">
        <v>85.833300000000008</v>
      </c>
    </row>
    <row r="357" spans="21:30" x14ac:dyDescent="0.35">
      <c r="U357" s="61">
        <v>32.774985000000001</v>
      </c>
      <c r="V357" s="61">
        <v>75.75</v>
      </c>
      <c r="W357" s="61">
        <v>3.1674249999999997</v>
      </c>
      <c r="X357" s="61">
        <v>15</v>
      </c>
      <c r="Y357" s="61">
        <v>81</v>
      </c>
      <c r="Z357" s="61"/>
      <c r="AA357" s="61"/>
      <c r="AB357" s="61">
        <v>32.774985000000001</v>
      </c>
      <c r="AC357" s="61">
        <v>81</v>
      </c>
      <c r="AD357" s="61">
        <v>75.75</v>
      </c>
    </row>
    <row r="358" spans="21:30" x14ac:dyDescent="0.35">
      <c r="U358" s="61">
        <v>32.587515000000003</v>
      </c>
      <c r="V358" s="61">
        <v>68.625</v>
      </c>
      <c r="W358" s="61">
        <v>18.374482</v>
      </c>
      <c r="X358" s="61">
        <v>19</v>
      </c>
      <c r="Y358" s="61">
        <v>80</v>
      </c>
      <c r="Z358" s="61"/>
      <c r="AA358" s="61"/>
      <c r="AB358" s="195">
        <v>32.587515000000003</v>
      </c>
      <c r="AC358" s="195">
        <v>80</v>
      </c>
      <c r="AD358" s="195">
        <v>68.625</v>
      </c>
    </row>
    <row r="359" spans="21:30" x14ac:dyDescent="0.35">
      <c r="U359" s="61">
        <v>31.274999999999999</v>
      </c>
      <c r="V359" s="61">
        <v>54.25</v>
      </c>
      <c r="W359" s="61">
        <v>12.750368</v>
      </c>
      <c r="X359" s="61">
        <v>36</v>
      </c>
      <c r="Y359" s="61">
        <v>68</v>
      </c>
      <c r="Z359" s="61"/>
      <c r="AA359" s="61"/>
      <c r="AB359" s="61">
        <v>31.274999999999999</v>
      </c>
      <c r="AC359" s="61">
        <v>68</v>
      </c>
      <c r="AD359" s="61">
        <v>54.25</v>
      </c>
    </row>
    <row r="360" spans="21:30" x14ac:dyDescent="0.35">
      <c r="U360" s="61">
        <v>30.6</v>
      </c>
      <c r="V360" s="61">
        <v>68.130400000000009</v>
      </c>
      <c r="W360" s="61">
        <v>10.391097</v>
      </c>
      <c r="X360" s="61">
        <v>38</v>
      </c>
      <c r="Y360" s="61">
        <v>68</v>
      </c>
      <c r="Z360" s="61"/>
      <c r="AA360" s="61"/>
      <c r="AB360" s="195">
        <v>30.6</v>
      </c>
      <c r="AC360" s="195">
        <v>68</v>
      </c>
      <c r="AD360" s="195">
        <v>68.130400000000009</v>
      </c>
    </row>
    <row r="361" spans="21:30" x14ac:dyDescent="0.35">
      <c r="U361" s="61">
        <v>30.712499999999999</v>
      </c>
      <c r="V361" s="61">
        <v>50.695700000000002</v>
      </c>
      <c r="W361" s="61">
        <v>16.044155</v>
      </c>
      <c r="X361" s="61">
        <v>17</v>
      </c>
      <c r="Y361" s="61">
        <v>77</v>
      </c>
      <c r="Z361" s="61"/>
      <c r="AA361" s="61"/>
      <c r="AB361" s="61">
        <v>30.712499999999999</v>
      </c>
      <c r="AC361" s="61">
        <v>77</v>
      </c>
      <c r="AD361" s="61">
        <v>50.695700000000002</v>
      </c>
    </row>
    <row r="362" spans="21:30" x14ac:dyDescent="0.35">
      <c r="U362" s="61">
        <v>33.487515000000002</v>
      </c>
      <c r="V362" s="61">
        <v>76.25</v>
      </c>
      <c r="W362" s="61">
        <v>12.626150000000001</v>
      </c>
      <c r="X362" s="61">
        <v>15</v>
      </c>
      <c r="Y362" s="61">
        <v>78</v>
      </c>
      <c r="Z362" s="61"/>
      <c r="AA362" s="61"/>
      <c r="AB362" s="195">
        <v>33.487515000000002</v>
      </c>
      <c r="AC362" s="195">
        <v>78</v>
      </c>
      <c r="AD362" s="195">
        <v>76.25</v>
      </c>
    </row>
    <row r="363" spans="21:30" x14ac:dyDescent="0.35">
      <c r="U363" s="61">
        <v>32.774985000000001</v>
      </c>
      <c r="V363" s="61">
        <v>50.391300000000008</v>
      </c>
      <c r="W363" s="61">
        <v>19.695386999999997</v>
      </c>
      <c r="X363" s="61">
        <v>17</v>
      </c>
      <c r="Y363" s="61">
        <v>88</v>
      </c>
      <c r="Z363" s="61"/>
      <c r="AA363" s="61"/>
      <c r="AB363" s="61">
        <v>32.774985000000001</v>
      </c>
      <c r="AC363" s="61">
        <v>88</v>
      </c>
      <c r="AD363" s="61">
        <v>50.391300000000008</v>
      </c>
    </row>
    <row r="364" spans="21:30" x14ac:dyDescent="0.35">
      <c r="U364" s="61">
        <v>31.350015000000003</v>
      </c>
      <c r="V364" s="61">
        <v>57.416699999999999</v>
      </c>
      <c r="W364" s="61">
        <v>8.0006040000000009</v>
      </c>
      <c r="X364" s="61">
        <v>21</v>
      </c>
      <c r="Y364" s="61">
        <v>90</v>
      </c>
      <c r="Z364" s="61"/>
      <c r="AA364" s="61"/>
      <c r="AB364" s="195">
        <v>31.350015000000003</v>
      </c>
      <c r="AC364" s="195">
        <v>90</v>
      </c>
      <c r="AD364" s="195">
        <v>57.416699999999999</v>
      </c>
    </row>
    <row r="365" spans="21:30" x14ac:dyDescent="0.35">
      <c r="U365" s="61">
        <v>32.512500000000003</v>
      </c>
      <c r="V365" s="61">
        <v>63.666699999999999</v>
      </c>
      <c r="W365" s="61">
        <v>9.0005790000000001</v>
      </c>
      <c r="X365" s="61">
        <v>25</v>
      </c>
      <c r="Y365" s="61">
        <v>82</v>
      </c>
      <c r="Z365" s="61"/>
      <c r="AA365" s="61"/>
      <c r="AB365" s="61">
        <v>32.512500000000003</v>
      </c>
      <c r="AC365" s="61">
        <v>82</v>
      </c>
      <c r="AD365" s="61">
        <v>63.666699999999999</v>
      </c>
    </row>
    <row r="366" spans="21:30" x14ac:dyDescent="0.35">
      <c r="U366" s="61">
        <v>33.224985000000004</v>
      </c>
      <c r="V366" s="61">
        <v>61.583299999999994</v>
      </c>
      <c r="W366" s="61">
        <v>14.750318</v>
      </c>
      <c r="X366" s="61">
        <v>44</v>
      </c>
      <c r="Y366" s="61">
        <v>58</v>
      </c>
      <c r="Z366" s="61"/>
      <c r="AA366" s="61"/>
      <c r="AB366" s="195">
        <v>33.224985000000004</v>
      </c>
      <c r="AC366" s="195">
        <v>58</v>
      </c>
      <c r="AD366" s="195">
        <v>61.583299999999994</v>
      </c>
    </row>
    <row r="368" spans="21:30" x14ac:dyDescent="0.35">
      <c r="AB368" s="150"/>
      <c r="AC368" s="150"/>
      <c r="AD368" s="150"/>
    </row>
  </sheetData>
  <mergeCells count="1">
    <mergeCell ref="C25:E25"/>
  </mergeCells>
  <printOptions horizontalCentered="1"/>
  <pageMargins left="0.11811023622047245" right="0.11811023622047245" top="0.15748031496062992" bottom="0.15748031496062992" header="0.31496062992125984" footer="0.31496062992125984"/>
  <pageSetup paperSize="9" scale="63" fitToHeight="11" orientation="landscape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DDB1-3B2B-4499-9A33-4C0D8E04D6CB}">
  <sheetPr>
    <pageSetUpPr fitToPage="1"/>
  </sheetPr>
  <dimension ref="A1:Z366"/>
  <sheetViews>
    <sheetView topLeftCell="A14" zoomScale="62" zoomScaleNormal="82" workbookViewId="0">
      <selection activeCell="K22" sqref="K22"/>
    </sheetView>
  </sheetViews>
  <sheetFormatPr defaultColWidth="14.36328125" defaultRowHeight="14.5" x14ac:dyDescent="0.35"/>
  <cols>
    <col min="1" max="2" width="6.36328125" style="24" customWidth="1"/>
    <col min="3" max="3" width="14.36328125" style="4"/>
    <col min="4" max="4" width="14.36328125" style="24"/>
    <col min="5" max="12" width="14.36328125" style="4"/>
    <col min="13" max="13" width="15.26953125" style="4" bestFit="1" customWidth="1"/>
    <col min="14" max="14" width="14.90625" style="4" bestFit="1" customWidth="1"/>
    <col min="15" max="17" width="14.36328125" style="4"/>
    <col min="18" max="18" width="14.36328125" style="85"/>
    <col min="19" max="22" width="14.36328125" style="4"/>
    <col min="23" max="24" width="14.36328125" style="85"/>
    <col min="25" max="16384" width="14.36328125" style="4"/>
  </cols>
  <sheetData>
    <row r="1" spans="1:26" ht="20.149999999999999" customHeight="1" thickBot="1" x14ac:dyDescent="0.4">
      <c r="A1" s="3" t="s">
        <v>3</v>
      </c>
      <c r="B1" s="3"/>
      <c r="D1" s="5" t="s">
        <v>4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7" t="s">
        <v>14</v>
      </c>
      <c r="R1" s="84" t="s">
        <v>131</v>
      </c>
      <c r="S1" s="4" t="s">
        <v>132</v>
      </c>
      <c r="T1" s="4" t="s">
        <v>129</v>
      </c>
      <c r="U1" s="4" t="s">
        <v>130</v>
      </c>
      <c r="W1" s="84"/>
      <c r="X1" s="84" t="s">
        <v>172</v>
      </c>
      <c r="Y1" s="4" t="s">
        <v>170</v>
      </c>
      <c r="Z1" s="4" t="s">
        <v>171</v>
      </c>
    </row>
    <row r="2" spans="1:26" ht="20.149999999999999" customHeight="1" x14ac:dyDescent="0.35">
      <c r="A2" s="8"/>
      <c r="B2" s="9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"/>
      <c r="R2" s="182">
        <v>101</v>
      </c>
      <c r="S2" s="183">
        <v>33</v>
      </c>
      <c r="T2" s="184">
        <v>93</v>
      </c>
      <c r="U2" s="185">
        <v>75</v>
      </c>
      <c r="X2" s="85">
        <v>87</v>
      </c>
      <c r="Y2" s="85">
        <v>51</v>
      </c>
      <c r="Z2" s="85">
        <v>63</v>
      </c>
    </row>
    <row r="3" spans="1:26" ht="20.149999999999999" customHeight="1" x14ac:dyDescent="0.35">
      <c r="A3" s="8"/>
      <c r="B3" s="13"/>
      <c r="C3" s="3" t="s">
        <v>75</v>
      </c>
      <c r="D3" s="4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45"/>
      <c r="Q3" s="46"/>
      <c r="R3" s="186">
        <v>103</v>
      </c>
      <c r="S3" s="187">
        <v>39</v>
      </c>
      <c r="T3" s="188">
        <v>121</v>
      </c>
      <c r="U3" s="189">
        <v>78</v>
      </c>
      <c r="X3" s="85">
        <v>87</v>
      </c>
      <c r="Y3" s="85">
        <v>48</v>
      </c>
      <c r="Z3" s="85">
        <v>87</v>
      </c>
    </row>
    <row r="4" spans="1:26" ht="20.149999999999999" customHeight="1" x14ac:dyDescent="0.35">
      <c r="A4" s="8"/>
      <c r="B4" s="13"/>
      <c r="C4" s="14"/>
      <c r="D4" s="1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45"/>
      <c r="Q4" s="46"/>
      <c r="R4" s="182">
        <v>95</v>
      </c>
      <c r="S4" s="183">
        <v>42</v>
      </c>
      <c r="T4" s="184">
        <v>94</v>
      </c>
      <c r="U4" s="185">
        <v>72</v>
      </c>
      <c r="X4" s="85">
        <v>77</v>
      </c>
      <c r="Y4" s="85">
        <v>42</v>
      </c>
      <c r="Z4" s="85">
        <v>66</v>
      </c>
    </row>
    <row r="5" spans="1:26" s="47" customFormat="1" ht="20.149999999999999" customHeight="1" x14ac:dyDescent="0.35">
      <c r="A5" s="48"/>
      <c r="B5" s="49"/>
      <c r="C5" s="14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6"/>
      <c r="R5" s="186">
        <v>90</v>
      </c>
      <c r="S5" s="187">
        <v>12</v>
      </c>
      <c r="T5" s="188">
        <v>93</v>
      </c>
      <c r="U5" s="189">
        <v>70</v>
      </c>
      <c r="W5" s="85"/>
      <c r="X5" s="85">
        <v>50</v>
      </c>
      <c r="Y5" s="85">
        <v>34</v>
      </c>
      <c r="Z5" s="85">
        <v>36</v>
      </c>
    </row>
    <row r="6" spans="1:26" s="47" customFormat="1" ht="20.149999999999999" customHeight="1" x14ac:dyDescent="0.35">
      <c r="A6" s="48"/>
      <c r="B6" s="49"/>
      <c r="C6" s="298" t="s">
        <v>74</v>
      </c>
      <c r="D6" s="298"/>
      <c r="E6" s="63" t="s">
        <v>15</v>
      </c>
      <c r="F6" s="64" t="s">
        <v>16</v>
      </c>
      <c r="G6" s="45"/>
      <c r="H6" s="45"/>
      <c r="I6" s="45"/>
      <c r="J6" s="45"/>
      <c r="K6" s="45"/>
      <c r="L6" s="45"/>
      <c r="M6" s="45"/>
      <c r="N6" s="45"/>
      <c r="O6" s="45"/>
      <c r="P6" s="45"/>
      <c r="Q6" s="46"/>
      <c r="R6" s="182">
        <v>98</v>
      </c>
      <c r="S6" s="183">
        <v>38</v>
      </c>
      <c r="T6" s="184">
        <v>92</v>
      </c>
      <c r="U6" s="185">
        <v>77</v>
      </c>
      <c r="W6" s="85"/>
      <c r="X6" s="85">
        <v>38</v>
      </c>
      <c r="Y6" s="85">
        <v>72</v>
      </c>
      <c r="Z6" s="85">
        <v>34</v>
      </c>
    </row>
    <row r="7" spans="1:26" s="47" customFormat="1" ht="20.149999999999999" customHeight="1" x14ac:dyDescent="0.35">
      <c r="A7" s="48"/>
      <c r="B7" s="49"/>
      <c r="C7" s="297" t="s">
        <v>129</v>
      </c>
      <c r="D7" s="297"/>
      <c r="E7" s="65">
        <v>0.87539999999999996</v>
      </c>
      <c r="F7" s="34" t="s">
        <v>76</v>
      </c>
      <c r="G7" s="45"/>
      <c r="H7" s="45"/>
      <c r="I7" s="45"/>
      <c r="J7" s="45"/>
      <c r="K7" s="45"/>
      <c r="L7" s="45"/>
      <c r="M7" s="45"/>
      <c r="N7" s="45"/>
      <c r="O7" s="45"/>
      <c r="P7" s="45"/>
      <c r="Q7" s="46"/>
      <c r="R7" s="186">
        <v>67</v>
      </c>
      <c r="S7" s="187">
        <v>42</v>
      </c>
      <c r="T7" s="188">
        <v>81</v>
      </c>
      <c r="U7" s="189">
        <v>52</v>
      </c>
      <c r="W7" s="85"/>
      <c r="X7" s="85">
        <v>68</v>
      </c>
      <c r="Y7" s="85">
        <v>83</v>
      </c>
      <c r="Z7" s="85">
        <v>12</v>
      </c>
    </row>
    <row r="8" spans="1:26" s="47" customFormat="1" ht="20.149999999999999" customHeight="1" x14ac:dyDescent="0.35">
      <c r="A8" s="48"/>
      <c r="B8" s="49"/>
      <c r="C8" s="297" t="s">
        <v>130</v>
      </c>
      <c r="D8" s="297"/>
      <c r="E8" s="65">
        <v>2.5499999999999998E-2</v>
      </c>
      <c r="F8" s="34" t="s">
        <v>77</v>
      </c>
      <c r="G8" s="45"/>
      <c r="H8" s="45"/>
      <c r="I8" s="45"/>
      <c r="J8" s="45"/>
      <c r="K8" s="45"/>
      <c r="L8" s="45"/>
      <c r="M8" s="45"/>
      <c r="N8" s="45"/>
      <c r="O8" s="45"/>
      <c r="P8" s="45"/>
      <c r="Q8" s="46"/>
      <c r="R8" s="182">
        <v>54</v>
      </c>
      <c r="S8" s="183">
        <v>38</v>
      </c>
      <c r="T8" s="184">
        <v>107</v>
      </c>
      <c r="U8" s="185">
        <v>14</v>
      </c>
      <c r="W8" s="85"/>
      <c r="X8" s="85">
        <v>80</v>
      </c>
      <c r="Y8" s="85">
        <v>65</v>
      </c>
      <c r="Z8" s="85">
        <v>39</v>
      </c>
    </row>
    <row r="9" spans="1:26" s="47" customFormat="1" ht="20.149999999999999" customHeight="1" x14ac:dyDescent="0.35">
      <c r="A9" s="48"/>
      <c r="B9" s="49"/>
      <c r="C9" s="34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6"/>
      <c r="R9" s="186">
        <v>40</v>
      </c>
      <c r="S9" s="187">
        <v>13</v>
      </c>
      <c r="T9" s="188">
        <v>98</v>
      </c>
      <c r="U9" s="189">
        <v>66</v>
      </c>
      <c r="W9" s="85"/>
      <c r="X9" s="85">
        <v>81</v>
      </c>
      <c r="Y9" s="85">
        <v>64</v>
      </c>
      <c r="Z9" s="85">
        <v>67</v>
      </c>
    </row>
    <row r="10" spans="1:26" ht="20.149999999999999" customHeight="1" x14ac:dyDescent="0.35">
      <c r="A10" s="8"/>
      <c r="B10" s="13"/>
      <c r="C10" s="3" t="s">
        <v>95</v>
      </c>
      <c r="D10" s="4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45"/>
      <c r="Q10" s="46"/>
      <c r="R10" s="182">
        <v>37</v>
      </c>
      <c r="S10" s="183">
        <v>40</v>
      </c>
      <c r="T10" s="184">
        <v>81</v>
      </c>
      <c r="U10" s="185">
        <v>72</v>
      </c>
      <c r="X10" s="85">
        <v>80</v>
      </c>
      <c r="Y10" s="85">
        <v>85</v>
      </c>
      <c r="Z10" s="85">
        <v>67</v>
      </c>
    </row>
    <row r="11" spans="1:26" ht="20.149999999999999" customHeight="1" x14ac:dyDescent="0.35">
      <c r="A11" s="8"/>
      <c r="B11" s="13"/>
      <c r="C11" s="14"/>
      <c r="D11" s="1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45"/>
      <c r="Q11" s="46"/>
      <c r="R11" s="186">
        <v>71</v>
      </c>
      <c r="S11" s="187">
        <v>42</v>
      </c>
      <c r="T11" s="188">
        <v>85</v>
      </c>
      <c r="U11" s="189">
        <v>64</v>
      </c>
      <c r="X11" s="85">
        <v>62</v>
      </c>
      <c r="Y11" s="85">
        <v>43</v>
      </c>
      <c r="Z11" s="85">
        <v>66</v>
      </c>
    </row>
    <row r="12" spans="1:26" s="47" customFormat="1" ht="20.149999999999999" customHeight="1" x14ac:dyDescent="0.35">
      <c r="A12" s="48"/>
      <c r="B12" s="49"/>
      <c r="C12" s="14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6"/>
      <c r="R12" s="182">
        <v>107</v>
      </c>
      <c r="S12" s="183">
        <v>49</v>
      </c>
      <c r="T12" s="184">
        <v>87</v>
      </c>
      <c r="U12" s="185">
        <v>55</v>
      </c>
      <c r="W12" s="85"/>
      <c r="X12" s="85">
        <v>58</v>
      </c>
      <c r="Y12" s="85">
        <v>79</v>
      </c>
      <c r="Z12" s="85">
        <v>69</v>
      </c>
    </row>
    <row r="13" spans="1:26" s="47" customFormat="1" ht="20.149999999999999" customHeight="1" x14ac:dyDescent="0.35">
      <c r="A13" s="48"/>
      <c r="B13" s="49"/>
      <c r="C13" s="298" t="s">
        <v>28</v>
      </c>
      <c r="D13" s="298"/>
      <c r="E13" s="63" t="s">
        <v>15</v>
      </c>
      <c r="F13" s="64" t="s">
        <v>16</v>
      </c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6"/>
      <c r="R13" s="186">
        <v>101</v>
      </c>
      <c r="S13" s="187">
        <v>41</v>
      </c>
      <c r="T13" s="188">
        <v>102</v>
      </c>
      <c r="U13" s="189">
        <v>66</v>
      </c>
      <c r="W13" s="85"/>
      <c r="X13" s="85">
        <v>77</v>
      </c>
      <c r="Y13" s="85">
        <v>84</v>
      </c>
      <c r="Z13" s="85">
        <v>77</v>
      </c>
    </row>
    <row r="14" spans="1:26" s="47" customFormat="1" ht="20.149999999999999" customHeight="1" x14ac:dyDescent="0.35">
      <c r="A14" s="48"/>
      <c r="B14" s="49"/>
      <c r="C14" s="297" t="s">
        <v>171</v>
      </c>
      <c r="D14" s="297"/>
      <c r="E14" s="65">
        <v>0.55920000000000003</v>
      </c>
      <c r="F14" s="34" t="s">
        <v>96</v>
      </c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182">
        <v>94</v>
      </c>
      <c r="S14" s="183">
        <v>41</v>
      </c>
      <c r="T14" s="184">
        <v>110</v>
      </c>
      <c r="U14" s="185">
        <v>70</v>
      </c>
      <c r="W14" s="85"/>
      <c r="X14" s="85">
        <v>76</v>
      </c>
      <c r="Y14" s="85">
        <v>39</v>
      </c>
      <c r="Z14" s="85">
        <v>76</v>
      </c>
    </row>
    <row r="15" spans="1:26" s="47" customFormat="1" ht="20.149999999999999" customHeight="1" x14ac:dyDescent="0.35">
      <c r="A15" s="48"/>
      <c r="B15" s="49"/>
      <c r="C15" s="297" t="s">
        <v>172</v>
      </c>
      <c r="D15" s="297"/>
      <c r="E15" s="65">
        <v>0.4864</v>
      </c>
      <c r="F15" s="34" t="s">
        <v>97</v>
      </c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6"/>
      <c r="R15" s="186">
        <v>95</v>
      </c>
      <c r="S15" s="187">
        <v>43</v>
      </c>
      <c r="T15" s="188">
        <v>118</v>
      </c>
      <c r="U15" s="189">
        <v>75</v>
      </c>
      <c r="W15" s="85"/>
      <c r="X15" s="85">
        <v>73</v>
      </c>
      <c r="Y15" s="85">
        <v>46</v>
      </c>
      <c r="Z15" s="85">
        <v>81</v>
      </c>
    </row>
    <row r="16" spans="1:26" s="54" customFormat="1" ht="20.149999999999999" customHeight="1" thickBot="1" x14ac:dyDescent="0.4">
      <c r="A16" s="34"/>
      <c r="B16" s="35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3"/>
      <c r="R16" s="182">
        <v>96</v>
      </c>
      <c r="S16" s="183">
        <v>54</v>
      </c>
      <c r="T16" s="184">
        <v>106</v>
      </c>
      <c r="U16" s="185">
        <v>75</v>
      </c>
      <c r="W16" s="85"/>
      <c r="X16" s="85">
        <v>69</v>
      </c>
      <c r="Y16" s="85">
        <v>85</v>
      </c>
      <c r="Z16" s="85">
        <v>75</v>
      </c>
    </row>
    <row r="17" spans="1:25" ht="20.149999999999999" customHeight="1" x14ac:dyDescent="0.35">
      <c r="A17" s="8"/>
      <c r="B17" s="8"/>
      <c r="C17" s="6"/>
      <c r="D17" s="8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86">
        <v>74</v>
      </c>
      <c r="S17" s="187">
        <v>65</v>
      </c>
      <c r="T17" s="188">
        <v>89</v>
      </c>
      <c r="U17" s="189">
        <v>72</v>
      </c>
      <c r="X17" s="85">
        <v>73</v>
      </c>
      <c r="Y17" s="85">
        <v>63</v>
      </c>
    </row>
    <row r="18" spans="1:25" ht="20.149999999999999" customHeight="1" thickBot="1" x14ac:dyDescent="0.4">
      <c r="A18" s="3" t="s">
        <v>5</v>
      </c>
      <c r="B18" s="3"/>
      <c r="C18" s="21"/>
      <c r="D18" s="5" t="s">
        <v>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7" t="str">
        <f>Q1</f>
        <v>Q.3 - Probability</v>
      </c>
      <c r="R18" s="182">
        <v>95</v>
      </c>
      <c r="S18" s="183">
        <v>62</v>
      </c>
      <c r="T18" s="184">
        <v>91</v>
      </c>
      <c r="U18" s="185">
        <v>55</v>
      </c>
      <c r="X18" s="85">
        <v>69</v>
      </c>
      <c r="Y18" s="85">
        <v>62</v>
      </c>
    </row>
    <row r="19" spans="1:25" ht="20.149999999999999" customHeight="1" x14ac:dyDescent="0.35">
      <c r="A19" s="8"/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2"/>
      <c r="R19" s="186">
        <v>91</v>
      </c>
      <c r="S19" s="187">
        <v>49</v>
      </c>
      <c r="T19" s="188">
        <v>87</v>
      </c>
      <c r="U19" s="189">
        <v>48</v>
      </c>
      <c r="X19" s="85">
        <v>65</v>
      </c>
      <c r="Y19" s="85">
        <v>72</v>
      </c>
    </row>
    <row r="20" spans="1:25" s="59" customFormat="1" ht="15.5" x14ac:dyDescent="0.35">
      <c r="A20" s="55"/>
      <c r="B20" s="13"/>
      <c r="C20" s="56"/>
      <c r="D20" s="56"/>
      <c r="E20" s="56"/>
      <c r="F20" s="56"/>
      <c r="G20" s="57"/>
      <c r="H20" s="56"/>
      <c r="I20" s="56"/>
      <c r="J20" s="56"/>
      <c r="K20" s="56"/>
      <c r="L20" s="56"/>
      <c r="M20" s="57"/>
      <c r="N20" s="57"/>
      <c r="O20" s="57"/>
      <c r="P20" s="57"/>
      <c r="Q20" s="58"/>
      <c r="R20" s="182">
        <v>85</v>
      </c>
      <c r="S20" s="183">
        <v>42</v>
      </c>
      <c r="T20" s="184">
        <v>76</v>
      </c>
      <c r="U20" s="185">
        <v>68</v>
      </c>
      <c r="W20" s="85"/>
      <c r="X20" s="85">
        <v>79</v>
      </c>
      <c r="Y20" s="85">
        <v>78</v>
      </c>
    </row>
    <row r="21" spans="1:25" ht="20.149999999999999" customHeight="1" x14ac:dyDescent="0.35">
      <c r="A21" s="8"/>
      <c r="B21" s="13"/>
      <c r="F21" s="61"/>
      <c r="G21" s="6"/>
      <c r="H21" s="62"/>
      <c r="I21" s="62"/>
      <c r="J21" s="61"/>
      <c r="K21" s="61"/>
      <c r="L21" s="61"/>
      <c r="M21" s="6"/>
      <c r="N21" s="6"/>
      <c r="O21" s="6"/>
      <c r="P21" s="6"/>
      <c r="Q21" s="15"/>
      <c r="R21" s="186">
        <v>91</v>
      </c>
      <c r="S21" s="187">
        <v>54</v>
      </c>
      <c r="T21" s="188">
        <v>68</v>
      </c>
      <c r="U21" s="189">
        <v>75</v>
      </c>
      <c r="X21" s="85">
        <v>83</v>
      </c>
      <c r="Y21" s="85">
        <v>44</v>
      </c>
    </row>
    <row r="22" spans="1:25" ht="20.149999999999999" customHeight="1" x14ac:dyDescent="0.35">
      <c r="A22" s="8"/>
      <c r="B22" s="13"/>
      <c r="E22" s="24"/>
      <c r="F22" s="61"/>
      <c r="G22" s="6"/>
      <c r="H22" s="62"/>
      <c r="I22" s="62"/>
      <c r="M22" s="6"/>
      <c r="N22" s="6"/>
      <c r="O22" s="6"/>
      <c r="P22" s="6"/>
      <c r="Q22" s="15"/>
      <c r="R22" s="181">
        <v>53</v>
      </c>
      <c r="S22" s="190">
        <v>73</v>
      </c>
      <c r="T22" s="183">
        <v>42</v>
      </c>
      <c r="U22" s="191">
        <v>66</v>
      </c>
      <c r="X22" s="85">
        <v>81</v>
      </c>
      <c r="Y22" s="85">
        <v>52</v>
      </c>
    </row>
    <row r="23" spans="1:25" ht="20.149999999999999" customHeight="1" x14ac:dyDescent="0.35">
      <c r="A23" s="8"/>
      <c r="B23" s="13"/>
      <c r="F23" s="61"/>
      <c r="G23" s="6"/>
      <c r="H23" s="62"/>
      <c r="I23" s="62"/>
      <c r="J23" s="62"/>
      <c r="K23" s="61"/>
      <c r="L23" s="61"/>
      <c r="M23" s="6"/>
      <c r="N23" s="6"/>
      <c r="O23" s="6"/>
      <c r="P23" s="6"/>
      <c r="Q23" s="15"/>
      <c r="R23" s="186">
        <v>87</v>
      </c>
      <c r="S23" s="187">
        <v>37</v>
      </c>
      <c r="T23" s="188">
        <v>72</v>
      </c>
      <c r="U23" s="189">
        <v>62</v>
      </c>
      <c r="X23" s="85">
        <v>62</v>
      </c>
      <c r="Y23" s="85">
        <v>43</v>
      </c>
    </row>
    <row r="24" spans="1:25" ht="20.149999999999999" customHeight="1" x14ac:dyDescent="0.35">
      <c r="A24" s="8"/>
      <c r="B24" s="13"/>
      <c r="H24" s="62"/>
      <c r="I24" s="62"/>
      <c r="J24" s="62"/>
      <c r="M24" s="6"/>
      <c r="N24" s="6"/>
      <c r="O24" s="6"/>
      <c r="P24" s="6"/>
      <c r="Q24" s="15"/>
      <c r="R24" s="182">
        <v>96</v>
      </c>
      <c r="S24" s="183">
        <v>44</v>
      </c>
      <c r="T24" s="184">
        <v>76</v>
      </c>
      <c r="U24" s="185">
        <v>44</v>
      </c>
      <c r="X24" s="85">
        <v>66</v>
      </c>
      <c r="Y24" s="85">
        <v>56</v>
      </c>
    </row>
    <row r="25" spans="1:25" ht="20.149999999999999" customHeight="1" x14ac:dyDescent="0.35">
      <c r="A25" s="8"/>
      <c r="B25" s="13"/>
      <c r="H25" s="62"/>
      <c r="I25" s="62"/>
      <c r="J25" s="62"/>
      <c r="K25" s="62"/>
      <c r="L25" s="62"/>
      <c r="M25" s="6"/>
      <c r="N25" s="6"/>
      <c r="O25" s="6"/>
      <c r="P25" s="6"/>
      <c r="Q25" s="15"/>
      <c r="R25" s="186">
        <v>48</v>
      </c>
      <c r="S25" s="188">
        <v>50</v>
      </c>
      <c r="T25" s="188">
        <v>92</v>
      </c>
      <c r="U25" s="189">
        <v>20</v>
      </c>
      <c r="X25" s="85">
        <v>77</v>
      </c>
      <c r="Y25" s="85">
        <v>55</v>
      </c>
    </row>
    <row r="26" spans="1:25" ht="20.149999999999999" customHeight="1" x14ac:dyDescent="0.35">
      <c r="A26" s="8"/>
      <c r="B26" s="13"/>
      <c r="F26" s="26"/>
      <c r="G26" s="6"/>
      <c r="H26" s="62"/>
      <c r="I26" s="62"/>
      <c r="J26" s="62"/>
      <c r="K26" s="62"/>
      <c r="L26" s="62"/>
      <c r="M26" s="6"/>
      <c r="N26" s="6"/>
      <c r="O26" s="6"/>
      <c r="P26" s="6"/>
      <c r="Q26" s="15"/>
      <c r="R26" s="182">
        <v>109</v>
      </c>
      <c r="S26" s="184">
        <v>33</v>
      </c>
      <c r="T26" s="184">
        <v>93</v>
      </c>
      <c r="U26" s="185">
        <v>15</v>
      </c>
      <c r="X26" s="85">
        <v>82</v>
      </c>
      <c r="Y26" s="85">
        <v>70</v>
      </c>
    </row>
    <row r="27" spans="1:25" ht="15.5" x14ac:dyDescent="0.35">
      <c r="A27" s="8"/>
      <c r="B27" s="13"/>
      <c r="C27" s="209" t="s">
        <v>169</v>
      </c>
      <c r="D27" s="210" t="s">
        <v>162</v>
      </c>
      <c r="E27" s="210" t="s">
        <v>163</v>
      </c>
      <c r="F27" s="210" t="s">
        <v>164</v>
      </c>
      <c r="G27" s="210" t="s">
        <v>101</v>
      </c>
      <c r="H27" s="210" t="s">
        <v>165</v>
      </c>
      <c r="I27" s="210" t="s">
        <v>166</v>
      </c>
      <c r="J27" s="210" t="s">
        <v>167</v>
      </c>
      <c r="K27" s="141" t="s">
        <v>160</v>
      </c>
      <c r="L27" s="224" t="s">
        <v>133</v>
      </c>
      <c r="M27" s="209" t="s">
        <v>174</v>
      </c>
      <c r="N27" s="209"/>
      <c r="O27" s="231" t="s">
        <v>173</v>
      </c>
      <c r="P27" s="6"/>
      <c r="Q27" s="15"/>
      <c r="R27" s="186">
        <v>100</v>
      </c>
      <c r="S27" s="188">
        <v>40</v>
      </c>
      <c r="T27" s="188">
        <v>88</v>
      </c>
      <c r="U27" s="189">
        <v>27</v>
      </c>
      <c r="X27" s="85">
        <v>74</v>
      </c>
      <c r="Y27" s="85">
        <v>48</v>
      </c>
    </row>
    <row r="28" spans="1:25" ht="20.149999999999999" customHeight="1" x14ac:dyDescent="0.35">
      <c r="A28" s="8"/>
      <c r="B28" s="13"/>
      <c r="C28" s="209" t="s">
        <v>172</v>
      </c>
      <c r="D28" s="225">
        <f>$G$28-3*$K$28</f>
        <v>1.414591465466458</v>
      </c>
      <c r="E28" s="226">
        <f>$G$28-2*$K$28</f>
        <v>22.62804266195932</v>
      </c>
      <c r="F28" s="227">
        <f>$G$28-1*$K$28</f>
        <v>43.841493858452182</v>
      </c>
      <c r="G28" s="228">
        <f>AVERAGE(S2:S351)</f>
        <v>65.054945054945051</v>
      </c>
      <c r="H28" s="227">
        <f>$G$28+1*$K$28</f>
        <v>86.26839625143792</v>
      </c>
      <c r="I28" s="226">
        <f>$G$28+2*$K$28</f>
        <v>107.48184744793079</v>
      </c>
      <c r="J28" s="225">
        <f>$G$28+3*$K$28</f>
        <v>128.69529864442364</v>
      </c>
      <c r="K28" s="229">
        <f>_xlfn.STDEV.S(X2:X351)</f>
        <v>21.213451196492866</v>
      </c>
      <c r="L28" s="222">
        <f>AVERAGE(X2:X351)</f>
        <v>54.274285714285718</v>
      </c>
      <c r="M28" s="234">
        <f>G54/K28</f>
        <v>3.4210099949896974E-2</v>
      </c>
      <c r="N28" s="233">
        <f>_xlfn.NORM.S.DIST(M28,TRUE)</f>
        <v>0.5136451936694878</v>
      </c>
      <c r="O28" s="235">
        <f t="shared" ref="O28:O29" si="0">1-N28</f>
        <v>0.4863548063305122</v>
      </c>
      <c r="P28" s="6"/>
      <c r="Q28" s="15"/>
      <c r="R28" s="182">
        <v>93</v>
      </c>
      <c r="S28" s="184">
        <v>48</v>
      </c>
      <c r="T28" s="184">
        <v>77</v>
      </c>
      <c r="U28" s="185">
        <v>23</v>
      </c>
      <c r="X28" s="85">
        <v>73</v>
      </c>
      <c r="Y28" s="85">
        <v>66</v>
      </c>
    </row>
    <row r="29" spans="1:25" ht="20.149999999999999" customHeight="1" x14ac:dyDescent="0.35">
      <c r="A29" s="8"/>
      <c r="B29" s="13"/>
      <c r="C29" s="209" t="s">
        <v>170</v>
      </c>
      <c r="D29" s="225">
        <f>$G$29-3*$K$29</f>
        <v>32.878609901307257</v>
      </c>
      <c r="E29" s="226">
        <f>$G$29-2*$K$29</f>
        <v>52.389443637908542</v>
      </c>
      <c r="F29" s="227">
        <f>$G$29-1*$K$29</f>
        <v>71.900277374509827</v>
      </c>
      <c r="G29" s="228">
        <f>AVERAGE(T2:T125)</f>
        <v>91.411111111111111</v>
      </c>
      <c r="H29" s="227">
        <f>$G$29+1*$K$29</f>
        <v>110.9219448477124</v>
      </c>
      <c r="I29" s="226">
        <f>$G$29+2*$K$29</f>
        <v>130.43277858431367</v>
      </c>
      <c r="J29" s="225">
        <f>$G$29+3*$K$29</f>
        <v>149.94361232091495</v>
      </c>
      <c r="K29" s="230">
        <f>_xlfn.STDEV.S(Y2:Y125)</f>
        <v>19.510833736601285</v>
      </c>
      <c r="L29" s="222">
        <f>AVERAGE(Y2:Y125)</f>
        <v>56.185483870967744</v>
      </c>
      <c r="M29" s="234">
        <f>G55/L29</f>
        <v>-2.1099468924931853E-2</v>
      </c>
      <c r="N29" s="233">
        <f t="shared" ref="N29:N30" si="1">_xlfn.NORM.S.DIST(M29,TRUE)</f>
        <v>0.49158315426900462</v>
      </c>
      <c r="O29" s="235">
        <f t="shared" si="0"/>
        <v>0.50841684573099544</v>
      </c>
      <c r="Q29" s="15"/>
      <c r="R29" s="186">
        <v>83</v>
      </c>
      <c r="S29" s="188">
        <v>30</v>
      </c>
      <c r="T29" s="188">
        <v>89</v>
      </c>
      <c r="U29" s="189">
        <v>46</v>
      </c>
      <c r="X29" s="85">
        <v>80</v>
      </c>
      <c r="Y29" s="85">
        <v>66</v>
      </c>
    </row>
    <row r="30" spans="1:25" ht="20.149999999999999" customHeight="1" x14ac:dyDescent="0.35">
      <c r="A30" s="8"/>
      <c r="B30" s="13"/>
      <c r="C30" s="209" t="s">
        <v>171</v>
      </c>
      <c r="D30" s="225">
        <f>$G$30-3*$K$30</f>
        <v>2.3591968869141411</v>
      </c>
      <c r="E30" s="226">
        <f>$G$30-2*$K$30</f>
        <v>23.372797924609429</v>
      </c>
      <c r="F30" s="227">
        <f>$G$30-1*$K$30</f>
        <v>44.386398962304717</v>
      </c>
      <c r="G30" s="228">
        <f>AVERAGE(U2:U16)</f>
        <v>65.400000000000006</v>
      </c>
      <c r="H30" s="227">
        <f>$G$30+1*$K$30</f>
        <v>86.413601037695287</v>
      </c>
      <c r="I30" s="226">
        <f>$G$30+2*$K$30</f>
        <v>107.42720207539058</v>
      </c>
      <c r="J30" s="225">
        <f>$G$30+3*$K$30</f>
        <v>128.44080311308588</v>
      </c>
      <c r="K30" s="230">
        <f>_xlfn.STDEV.S(Z2:Z16)</f>
        <v>21.013601037695288</v>
      </c>
      <c r="L30" s="222">
        <f>AVERAGE(Z2:Z16)</f>
        <v>61</v>
      </c>
      <c r="M30" s="234">
        <f>G56/L30</f>
        <v>-9.8360655737704916E-2</v>
      </c>
      <c r="N30" s="233">
        <f>_xlfn.NORM.S.DIST(M30,TRUE)</f>
        <v>0.46082295765498577</v>
      </c>
      <c r="O30" s="235">
        <f>1-N30</f>
        <v>0.53917704234501418</v>
      </c>
      <c r="P30" s="6"/>
      <c r="Q30" s="15"/>
      <c r="R30" s="182">
        <v>79</v>
      </c>
      <c r="S30" s="184">
        <v>34</v>
      </c>
      <c r="T30" s="184">
        <v>86</v>
      </c>
      <c r="U30" s="185">
        <v>48</v>
      </c>
      <c r="X30" s="85">
        <v>70</v>
      </c>
      <c r="Y30" s="85">
        <v>73</v>
      </c>
    </row>
    <row r="31" spans="1:25" ht="20.149999999999999" customHeight="1" x14ac:dyDescent="0.35">
      <c r="A31" s="8"/>
      <c r="B31" s="13"/>
      <c r="D31" s="4"/>
      <c r="E31" s="60"/>
      <c r="F31" s="61"/>
      <c r="G31" s="61"/>
      <c r="I31" s="207"/>
      <c r="K31" s="6"/>
      <c r="L31" s="6"/>
      <c r="N31" s="6"/>
      <c r="P31" s="6"/>
      <c r="Q31" s="15"/>
      <c r="R31" s="186">
        <v>97</v>
      </c>
      <c r="S31" s="188">
        <v>44</v>
      </c>
      <c r="T31" s="188">
        <v>86</v>
      </c>
      <c r="U31" s="189">
        <v>60</v>
      </c>
      <c r="X31" s="85">
        <v>11</v>
      </c>
      <c r="Y31" s="85">
        <v>76</v>
      </c>
    </row>
    <row r="32" spans="1:25" ht="20.149999999999999" customHeight="1" x14ac:dyDescent="0.35">
      <c r="A32" s="8"/>
      <c r="B32" s="13"/>
      <c r="C32" s="209" t="s">
        <v>168</v>
      </c>
      <c r="D32" s="210" t="s">
        <v>162</v>
      </c>
      <c r="E32" s="210" t="s">
        <v>163</v>
      </c>
      <c r="F32" s="210" t="s">
        <v>164</v>
      </c>
      <c r="G32" s="210" t="s">
        <v>101</v>
      </c>
      <c r="H32" s="210" t="s">
        <v>165</v>
      </c>
      <c r="I32" s="210" t="s">
        <v>166</v>
      </c>
      <c r="J32" s="210" t="s">
        <v>167</v>
      </c>
      <c r="K32" s="141" t="s">
        <v>160</v>
      </c>
      <c r="L32" s="224" t="s">
        <v>133</v>
      </c>
      <c r="M32" s="209" t="s">
        <v>174</v>
      </c>
      <c r="N32" s="209"/>
      <c r="O32" s="231" t="s">
        <v>161</v>
      </c>
      <c r="P32" s="6"/>
      <c r="Q32" s="15"/>
      <c r="R32" s="182">
        <v>104</v>
      </c>
      <c r="S32" s="184">
        <v>45</v>
      </c>
      <c r="T32" s="184">
        <v>97</v>
      </c>
      <c r="U32" s="185">
        <v>49</v>
      </c>
      <c r="X32" s="85">
        <v>49</v>
      </c>
      <c r="Y32" s="85">
        <v>73</v>
      </c>
    </row>
    <row r="33" spans="3:25" ht="20.149999999999999" customHeight="1" x14ac:dyDescent="0.35">
      <c r="C33" s="209" t="s">
        <v>131</v>
      </c>
      <c r="D33" s="211">
        <f>$G$33-3*$K$33</f>
        <v>16.017141587694809</v>
      </c>
      <c r="E33" s="212">
        <f>$G$33-2*$K$33</f>
        <v>36.562152362811034</v>
      </c>
      <c r="F33" s="213">
        <f>$G$33-1*$K$33</f>
        <v>57.107163137927259</v>
      </c>
      <c r="G33" s="214">
        <f>L33</f>
        <v>77.652173913043484</v>
      </c>
      <c r="H33" s="215">
        <f>$G$33+1*$K$33</f>
        <v>98.197184688159709</v>
      </c>
      <c r="I33" s="216">
        <f>$G$33+2*$K$33</f>
        <v>118.74219546327593</v>
      </c>
      <c r="J33" s="217">
        <f>$G$33+3*$K$33</f>
        <v>139.28720623839217</v>
      </c>
      <c r="K33" s="221">
        <f>_xlfn.STDEV.S(R2:R93)</f>
        <v>20.545010775116225</v>
      </c>
      <c r="L33" s="223">
        <f>AVERAGE(R2:R93)</f>
        <v>77.652173913043484</v>
      </c>
      <c r="M33" s="234">
        <f>I54/K33</f>
        <v>-0.1290908991031415</v>
      </c>
      <c r="N33" s="233">
        <f>_xlfn.NORM.S.DIST(M33,TRUE)</f>
        <v>0.44864286160852629</v>
      </c>
      <c r="O33" s="235">
        <f>1-N33</f>
        <v>0.55135713839147371</v>
      </c>
      <c r="P33" s="6"/>
      <c r="Q33" s="15"/>
      <c r="R33" s="186">
        <v>49</v>
      </c>
      <c r="S33" s="188">
        <v>65</v>
      </c>
      <c r="T33" s="188">
        <v>71</v>
      </c>
      <c r="U33" s="189">
        <v>20</v>
      </c>
      <c r="X33" s="85">
        <v>72</v>
      </c>
      <c r="Y33" s="85">
        <v>56</v>
      </c>
    </row>
    <row r="34" spans="3:25" ht="20.149999999999999" customHeight="1" x14ac:dyDescent="0.35">
      <c r="C34" s="209" t="s">
        <v>132</v>
      </c>
      <c r="D34" s="211">
        <f>$G$34-3*$K$34</f>
        <v>-7.1688219990693085</v>
      </c>
      <c r="E34" s="212">
        <f>$G$34-2*$K$34</f>
        <v>16.905767018935478</v>
      </c>
      <c r="F34" s="213">
        <f>$G$34-1*$K$34</f>
        <v>40.980356036940265</v>
      </c>
      <c r="G34" s="214">
        <f>L34</f>
        <v>65.054945054945051</v>
      </c>
      <c r="H34" s="218">
        <f>$G$34+1*$K$34</f>
        <v>89.129534072949838</v>
      </c>
      <c r="I34" s="219">
        <f>$G$34+2*$K$34</f>
        <v>113.20412309095462</v>
      </c>
      <c r="J34" s="220">
        <f>$G$34+3*$K$34</f>
        <v>137.27871210895941</v>
      </c>
      <c r="K34" s="221">
        <f>_xlfn.STDEV.S(S2:S93)</f>
        <v>24.074589018004787</v>
      </c>
      <c r="L34" s="223">
        <f>AVERAGE(S2:S93)</f>
        <v>65.054945054945051</v>
      </c>
      <c r="M34" s="234">
        <f>I55/K34</f>
        <v>0.41309344627305122</v>
      </c>
      <c r="N34" s="233">
        <f t="shared" ref="N34:N36" si="2">_xlfn.NORM.S.DIST(M34,TRUE)</f>
        <v>0.66023092456435239</v>
      </c>
      <c r="O34" s="235">
        <f t="shared" ref="O34:O36" si="3">1-N34</f>
        <v>0.33976907543564761</v>
      </c>
      <c r="P34" s="6"/>
      <c r="Q34" s="15"/>
      <c r="R34" s="182">
        <v>58</v>
      </c>
      <c r="S34" s="184">
        <v>63</v>
      </c>
      <c r="T34" s="184">
        <v>92</v>
      </c>
      <c r="U34" s="185">
        <v>16</v>
      </c>
      <c r="X34" s="85">
        <v>55</v>
      </c>
      <c r="Y34" s="85">
        <v>54</v>
      </c>
    </row>
    <row r="35" spans="3:25" ht="20.149999999999999" customHeight="1" x14ac:dyDescent="0.35">
      <c r="C35" s="209" t="s">
        <v>129</v>
      </c>
      <c r="D35" s="220">
        <f>$G$35-3*$K$35</f>
        <v>48.685687792519992</v>
      </c>
      <c r="E35" s="219">
        <f>$G$35-2*$K$35</f>
        <v>62.927495565383694</v>
      </c>
      <c r="F35" s="218">
        <f>$G$35-1*$K$35</f>
        <v>77.169303338247403</v>
      </c>
      <c r="G35" s="214">
        <f>L35</f>
        <v>91.411111111111111</v>
      </c>
      <c r="H35" s="218">
        <f>$G$35+1*$K$35</f>
        <v>105.65291888397482</v>
      </c>
      <c r="I35" s="219">
        <f>$G$35+2*$K$35</f>
        <v>119.89472665683853</v>
      </c>
      <c r="J35" s="220">
        <f>$G$35+3*$K$35</f>
        <v>134.13653442970224</v>
      </c>
      <c r="K35" s="221">
        <f>_xlfn.STDEV.S(T2:T93)</f>
        <v>14.241807772863707</v>
      </c>
      <c r="L35" s="223">
        <f>AVERAGE(T2:T93)</f>
        <v>91.411111111111111</v>
      </c>
      <c r="M35" s="234">
        <f>I56/K35</f>
        <v>-1.1523193805761645</v>
      </c>
      <c r="N35" s="233">
        <f t="shared" si="2"/>
        <v>0.12459492792471377</v>
      </c>
      <c r="O35" s="235">
        <f t="shared" si="3"/>
        <v>0.87540507207528617</v>
      </c>
      <c r="P35" s="6"/>
      <c r="Q35" s="15"/>
      <c r="R35" s="186">
        <v>72</v>
      </c>
      <c r="S35" s="188">
        <v>36</v>
      </c>
      <c r="T35" s="188">
        <v>97</v>
      </c>
      <c r="U35" s="189">
        <v>27</v>
      </c>
      <c r="X35" s="85">
        <v>54</v>
      </c>
      <c r="Y35" s="85">
        <v>78</v>
      </c>
    </row>
    <row r="36" spans="3:25" ht="20.149999999999999" customHeight="1" x14ac:dyDescent="0.35">
      <c r="C36" s="209" t="s">
        <v>130</v>
      </c>
      <c r="D36" s="220">
        <f>$G$35-3*$K$36</f>
        <v>35.717694184483136</v>
      </c>
      <c r="E36" s="219">
        <f>$G$35-2*$K$36</f>
        <v>54.282166493359128</v>
      </c>
      <c r="F36" s="218">
        <f>$G$35-1*$K$36</f>
        <v>72.84663880223512</v>
      </c>
      <c r="G36" s="214">
        <f>L36</f>
        <v>38.771739130434781</v>
      </c>
      <c r="H36" s="218">
        <f>$G$36+1*$K$36</f>
        <v>57.336211439310773</v>
      </c>
      <c r="I36" s="219">
        <f>$G$36+2*$K$36</f>
        <v>75.900683748186765</v>
      </c>
      <c r="J36" s="220">
        <f>$G$36+3*$K$36</f>
        <v>94.465156057062757</v>
      </c>
      <c r="K36" s="221">
        <f>_xlfn.STDEV.S(U2:U93)</f>
        <v>18.564472308875992</v>
      </c>
      <c r="L36" s="223">
        <f>AVERAGE(U2:U93)</f>
        <v>38.771739130434781</v>
      </c>
      <c r="M36" s="234">
        <f>I57/K36</f>
        <v>1.9514834715901872</v>
      </c>
      <c r="N36" s="233">
        <f t="shared" si="2"/>
        <v>0.97450021975197698</v>
      </c>
      <c r="O36" s="235">
        <f t="shared" si="3"/>
        <v>2.5499780248023018E-2</v>
      </c>
      <c r="P36" s="6"/>
      <c r="Q36" s="15"/>
      <c r="R36" s="182">
        <v>89</v>
      </c>
      <c r="S36" s="184">
        <v>56</v>
      </c>
      <c r="T36" s="184">
        <v>85</v>
      </c>
      <c r="U36" s="185">
        <v>31</v>
      </c>
      <c r="X36" s="85">
        <v>73</v>
      </c>
      <c r="Y36" s="85">
        <v>33</v>
      </c>
    </row>
    <row r="37" spans="3:25" ht="20.149999999999999" customHeight="1" x14ac:dyDescent="0.35">
      <c r="E37" s="6"/>
      <c r="F37" s="6"/>
      <c r="G37" s="6"/>
      <c r="H37" s="6"/>
      <c r="I37" s="207"/>
      <c r="J37" s="6"/>
      <c r="K37" s="6"/>
      <c r="L37" s="6"/>
      <c r="M37" s="6"/>
      <c r="N37" s="232"/>
      <c r="O37" s="6"/>
      <c r="P37" s="6"/>
      <c r="Q37" s="15"/>
      <c r="R37" s="186">
        <v>96</v>
      </c>
      <c r="S37" s="188">
        <v>62</v>
      </c>
      <c r="T37" s="188">
        <v>76</v>
      </c>
      <c r="U37" s="189">
        <v>32</v>
      </c>
      <c r="X37" s="85">
        <v>77</v>
      </c>
      <c r="Y37" s="85">
        <v>58</v>
      </c>
    </row>
    <row r="38" spans="3:25" ht="20.149999999999999" customHeight="1" x14ac:dyDescent="0.35">
      <c r="E38" s="6"/>
      <c r="F38" s="6"/>
      <c r="G38" s="6"/>
      <c r="H38" s="6"/>
      <c r="I38" s="207"/>
      <c r="J38" s="6"/>
      <c r="K38" s="6"/>
      <c r="L38" s="6"/>
      <c r="M38" s="6"/>
      <c r="N38" s="6"/>
      <c r="O38" s="6"/>
      <c r="P38" s="6"/>
      <c r="Q38" s="15"/>
      <c r="R38" s="182">
        <v>96</v>
      </c>
      <c r="S38" s="184">
        <v>29</v>
      </c>
      <c r="T38" s="184">
        <v>87</v>
      </c>
      <c r="U38" s="185">
        <v>32</v>
      </c>
      <c r="X38" s="85">
        <v>76</v>
      </c>
      <c r="Y38" s="85">
        <v>63</v>
      </c>
    </row>
    <row r="39" spans="3:25" ht="20.149999999999999" customHeight="1" x14ac:dyDescent="0.35">
      <c r="E39" s="6"/>
      <c r="F39" s="6"/>
      <c r="G39" s="6"/>
      <c r="H39" s="6"/>
      <c r="I39" s="207"/>
      <c r="J39" s="6"/>
      <c r="K39" s="6"/>
      <c r="L39" s="6"/>
      <c r="M39" s="6"/>
      <c r="N39" s="6"/>
      <c r="O39" s="6"/>
      <c r="P39" s="6"/>
      <c r="Q39" s="15"/>
      <c r="R39" s="186">
        <v>100</v>
      </c>
      <c r="S39" s="188">
        <v>50</v>
      </c>
      <c r="T39" s="188">
        <v>92</v>
      </c>
      <c r="U39" s="189">
        <v>30</v>
      </c>
      <c r="X39" s="85">
        <v>55</v>
      </c>
      <c r="Y39" s="85">
        <v>31</v>
      </c>
    </row>
    <row r="40" spans="3:25" ht="20.149999999999999" customHeight="1" x14ac:dyDescent="0.35">
      <c r="E40" s="6"/>
      <c r="F40" s="6"/>
      <c r="G40" s="6"/>
      <c r="H40" s="6"/>
      <c r="I40" s="207"/>
      <c r="J40" s="6"/>
      <c r="K40" s="6"/>
      <c r="L40" s="6"/>
      <c r="M40" s="6"/>
      <c r="N40" s="6"/>
      <c r="O40" s="6"/>
      <c r="P40" s="6"/>
      <c r="Q40" s="15"/>
      <c r="R40" s="182">
        <v>108</v>
      </c>
      <c r="S40" s="184">
        <v>58</v>
      </c>
      <c r="T40" s="184">
        <v>96</v>
      </c>
      <c r="U40" s="185">
        <v>19</v>
      </c>
      <c r="X40" s="85">
        <v>59</v>
      </c>
      <c r="Y40" s="85">
        <v>49</v>
      </c>
    </row>
    <row r="41" spans="3:25" ht="20.149999999999999" customHeight="1" x14ac:dyDescent="0.35">
      <c r="E41" s="6"/>
      <c r="F41" s="6"/>
      <c r="G41" s="6"/>
      <c r="H41" s="6"/>
      <c r="I41" s="207"/>
      <c r="J41" s="6"/>
      <c r="K41" s="6"/>
      <c r="L41" s="6"/>
      <c r="M41" s="6"/>
      <c r="N41" s="6"/>
      <c r="O41" s="6"/>
      <c r="P41" s="6"/>
      <c r="Q41" s="15"/>
      <c r="R41" s="186">
        <v>110</v>
      </c>
      <c r="S41" s="188">
        <v>67</v>
      </c>
      <c r="T41" s="188">
        <v>96</v>
      </c>
      <c r="U41" s="189">
        <v>16</v>
      </c>
      <c r="X41" s="85">
        <v>75</v>
      </c>
      <c r="Y41" s="85">
        <v>35</v>
      </c>
    </row>
    <row r="42" spans="3:25" ht="20.149999999999999" customHeight="1" x14ac:dyDescent="0.35">
      <c r="E42" s="6"/>
      <c r="F42" s="6"/>
      <c r="G42" s="6"/>
      <c r="H42" s="6"/>
      <c r="I42" s="207"/>
      <c r="J42" s="6"/>
      <c r="K42" s="6"/>
      <c r="L42" s="6"/>
      <c r="M42" s="6"/>
      <c r="N42" s="6"/>
      <c r="O42" s="6"/>
      <c r="P42" s="6"/>
      <c r="Q42" s="15"/>
      <c r="R42" s="182">
        <v>102</v>
      </c>
      <c r="S42" s="184">
        <v>41</v>
      </c>
      <c r="T42" s="184">
        <v>98</v>
      </c>
      <c r="U42" s="185">
        <v>27</v>
      </c>
      <c r="X42" s="85">
        <v>54</v>
      </c>
      <c r="Y42" s="85">
        <v>33</v>
      </c>
    </row>
    <row r="43" spans="3:25" ht="20.149999999999999" customHeight="1" x14ac:dyDescent="0.35">
      <c r="E43" s="6"/>
      <c r="F43" s="6"/>
      <c r="G43" s="6"/>
      <c r="H43" s="6"/>
      <c r="I43" s="207"/>
      <c r="J43" s="6"/>
      <c r="K43" s="6"/>
      <c r="L43" s="6"/>
      <c r="M43" s="6"/>
      <c r="N43" s="6"/>
      <c r="O43" s="6"/>
      <c r="P43" s="6"/>
      <c r="Q43" s="15"/>
      <c r="R43" s="186">
        <v>91</v>
      </c>
      <c r="S43" s="188">
        <v>43</v>
      </c>
      <c r="T43" s="188">
        <v>83</v>
      </c>
      <c r="U43" s="189">
        <v>25</v>
      </c>
      <c r="X43" s="85">
        <v>55</v>
      </c>
      <c r="Y43" s="85">
        <v>35</v>
      </c>
    </row>
    <row r="44" spans="3:25" ht="20.149999999999999" customHeight="1" x14ac:dyDescent="0.35">
      <c r="E44" s="6"/>
      <c r="F44" s="6"/>
      <c r="G44" s="6"/>
      <c r="H44" s="6"/>
      <c r="I44" s="207"/>
      <c r="J44" s="6"/>
      <c r="K44" s="6"/>
      <c r="L44" s="6"/>
      <c r="M44" s="6"/>
      <c r="N44" s="6"/>
      <c r="O44" s="6"/>
      <c r="P44" s="6"/>
      <c r="Q44" s="15"/>
      <c r="R44" s="182">
        <v>48</v>
      </c>
      <c r="S44" s="184">
        <v>66</v>
      </c>
      <c r="T44" s="184">
        <v>77</v>
      </c>
      <c r="U44" s="185">
        <v>24</v>
      </c>
      <c r="X44" s="85">
        <v>51</v>
      </c>
      <c r="Y44" s="85">
        <v>46</v>
      </c>
    </row>
    <row r="45" spans="3:25" ht="20.149999999999999" customHeight="1" x14ac:dyDescent="0.35">
      <c r="E45" s="6"/>
      <c r="F45" s="6"/>
      <c r="G45" s="6"/>
      <c r="H45" s="6"/>
      <c r="I45" s="207"/>
      <c r="J45" s="6"/>
      <c r="K45" s="6"/>
      <c r="L45" s="6"/>
      <c r="M45" s="6"/>
      <c r="N45" s="6"/>
      <c r="O45" s="6"/>
      <c r="P45" s="6"/>
      <c r="Q45" s="15"/>
      <c r="R45" s="186">
        <v>58</v>
      </c>
      <c r="S45" s="188">
        <v>63</v>
      </c>
      <c r="T45" s="188">
        <v>87</v>
      </c>
      <c r="U45" s="189">
        <v>28</v>
      </c>
      <c r="X45" s="85">
        <v>19</v>
      </c>
      <c r="Y45" s="85">
        <v>47</v>
      </c>
    </row>
    <row r="46" spans="3:25" ht="20.149999999999999" customHeight="1" x14ac:dyDescent="0.35">
      <c r="E46" s="6"/>
      <c r="F46" s="6"/>
      <c r="G46" s="6"/>
      <c r="H46" s="28"/>
      <c r="I46" s="207"/>
      <c r="J46" s="6"/>
      <c r="K46" s="6"/>
      <c r="L46" s="6"/>
      <c r="M46" s="29"/>
      <c r="N46" s="6"/>
      <c r="O46" s="6"/>
      <c r="P46" s="6"/>
      <c r="Q46" s="15"/>
      <c r="R46" s="182">
        <v>73</v>
      </c>
      <c r="S46" s="184">
        <v>15</v>
      </c>
      <c r="T46" s="184">
        <v>94</v>
      </c>
      <c r="U46" s="185">
        <v>28</v>
      </c>
      <c r="X46" s="85">
        <v>34</v>
      </c>
      <c r="Y46" s="85">
        <v>34</v>
      </c>
    </row>
    <row r="47" spans="3:25" ht="20.149999999999999" customHeight="1" x14ac:dyDescent="0.35">
      <c r="E47" s="6"/>
      <c r="F47" s="6"/>
      <c r="G47" s="6"/>
      <c r="H47" s="28"/>
      <c r="I47" s="207"/>
      <c r="J47" s="6"/>
      <c r="K47" s="6"/>
      <c r="L47" s="6"/>
      <c r="M47" s="29"/>
      <c r="N47" s="6"/>
      <c r="O47" s="6"/>
      <c r="P47" s="6"/>
      <c r="Q47" s="15"/>
      <c r="R47" s="186">
        <v>104</v>
      </c>
      <c r="S47" s="188">
        <v>75</v>
      </c>
      <c r="T47" s="188">
        <v>94</v>
      </c>
      <c r="U47" s="189">
        <v>25</v>
      </c>
      <c r="X47" s="85">
        <v>36</v>
      </c>
      <c r="Y47" s="85">
        <v>34</v>
      </c>
    </row>
    <row r="48" spans="3:25" ht="20.149999999999999" customHeight="1" x14ac:dyDescent="0.35">
      <c r="E48" s="6"/>
      <c r="F48" s="6"/>
      <c r="G48" s="6"/>
      <c r="H48" s="28"/>
      <c r="I48" s="207"/>
      <c r="J48" s="6"/>
      <c r="K48" s="6"/>
      <c r="L48" s="6"/>
      <c r="M48" s="29"/>
      <c r="N48" s="6"/>
      <c r="O48" s="6"/>
      <c r="P48" s="6"/>
      <c r="Q48" s="15"/>
      <c r="R48" s="182">
        <v>101</v>
      </c>
      <c r="S48" s="184">
        <v>68</v>
      </c>
      <c r="T48" s="184">
        <v>76</v>
      </c>
      <c r="U48" s="185">
        <v>24</v>
      </c>
      <c r="X48" s="85">
        <v>45</v>
      </c>
      <c r="Y48" s="85">
        <v>45</v>
      </c>
    </row>
    <row r="49" spans="1:25" ht="20.149999999999999" customHeight="1" x14ac:dyDescent="0.35">
      <c r="A49" s="8"/>
      <c r="B49" s="13"/>
      <c r="C49" s="6"/>
      <c r="D49" s="8"/>
      <c r="E49" s="6"/>
      <c r="F49" s="6"/>
      <c r="G49" s="6"/>
      <c r="H49" s="28"/>
      <c r="I49" s="207"/>
      <c r="J49" s="6"/>
      <c r="K49" s="6"/>
      <c r="L49" s="6"/>
      <c r="M49" s="29"/>
      <c r="N49" s="6"/>
      <c r="O49" s="6"/>
      <c r="P49" s="6"/>
      <c r="Q49" s="15"/>
      <c r="R49" s="186">
        <v>91</v>
      </c>
      <c r="S49" s="188">
        <v>64</v>
      </c>
      <c r="T49" s="188">
        <v>83</v>
      </c>
      <c r="U49" s="189">
        <v>20</v>
      </c>
      <c r="X49" s="85">
        <v>72</v>
      </c>
      <c r="Y49" s="85">
        <v>38</v>
      </c>
    </row>
    <row r="50" spans="1:25" ht="20.149999999999999" customHeight="1" x14ac:dyDescent="0.35">
      <c r="A50" s="8"/>
      <c r="B50" s="13"/>
      <c r="C50" s="6"/>
      <c r="D50" s="8"/>
      <c r="E50" s="6"/>
      <c r="F50" s="6"/>
      <c r="G50" s="28"/>
      <c r="H50" s="28"/>
      <c r="I50" s="207"/>
      <c r="J50" s="6"/>
      <c r="K50" s="6"/>
      <c r="L50" s="6"/>
      <c r="M50" s="29"/>
      <c r="N50" s="6"/>
      <c r="O50" s="6"/>
      <c r="P50" s="6"/>
      <c r="Q50" s="15"/>
      <c r="R50" s="182">
        <v>95</v>
      </c>
      <c r="S50" s="184">
        <v>79</v>
      </c>
      <c r="T50" s="184">
        <v>104</v>
      </c>
      <c r="U50" s="185">
        <v>13</v>
      </c>
      <c r="X50" s="85">
        <v>56</v>
      </c>
      <c r="Y50" s="85">
        <v>34</v>
      </c>
    </row>
    <row r="51" spans="1:25" ht="20.149999999999999" customHeight="1" thickBot="1" x14ac:dyDescent="0.4">
      <c r="A51" s="8"/>
      <c r="B51" s="17"/>
      <c r="C51" s="18"/>
      <c r="D51" s="19"/>
      <c r="E51" s="18"/>
      <c r="F51" s="18"/>
      <c r="G51" s="18"/>
      <c r="H51" s="18"/>
      <c r="I51" s="208"/>
      <c r="J51" s="18"/>
      <c r="K51" s="18"/>
      <c r="L51" s="18"/>
      <c r="M51" s="18"/>
      <c r="N51" s="18"/>
      <c r="O51" s="18"/>
      <c r="P51" s="18"/>
      <c r="Q51" s="20"/>
      <c r="R51" s="186">
        <v>48</v>
      </c>
      <c r="S51" s="188">
        <v>84</v>
      </c>
      <c r="T51" s="188">
        <v>77</v>
      </c>
      <c r="U51" s="189">
        <v>33</v>
      </c>
      <c r="X51" s="85">
        <v>69</v>
      </c>
      <c r="Y51" s="85">
        <v>38</v>
      </c>
    </row>
    <row r="52" spans="1:25" ht="20.149999999999999" customHeight="1" x14ac:dyDescent="0.35">
      <c r="A52" s="8"/>
      <c r="B52" s="8"/>
      <c r="C52" s="6"/>
      <c r="D52" s="8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182">
        <v>83</v>
      </c>
      <c r="S52" s="184">
        <v>34</v>
      </c>
      <c r="T52" s="184">
        <v>96</v>
      </c>
      <c r="U52" s="185">
        <v>39</v>
      </c>
      <c r="X52" s="85">
        <v>31</v>
      </c>
      <c r="Y52" s="85">
        <v>30</v>
      </c>
    </row>
    <row r="53" spans="1:25" ht="20.149999999999999" customHeight="1" x14ac:dyDescent="0.35">
      <c r="A53" s="3" t="s">
        <v>6</v>
      </c>
      <c r="B53" s="3"/>
      <c r="C53" s="6"/>
      <c r="D53" s="5" t="s">
        <v>7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7"/>
      <c r="R53" s="186">
        <v>87</v>
      </c>
      <c r="S53" s="188">
        <v>80</v>
      </c>
      <c r="T53" s="188">
        <v>118</v>
      </c>
      <c r="U53" s="189">
        <v>31</v>
      </c>
      <c r="X53" s="85">
        <v>29</v>
      </c>
      <c r="Y53" s="85">
        <v>24</v>
      </c>
    </row>
    <row r="54" spans="1:25" ht="20.149999999999999" customHeight="1" x14ac:dyDescent="0.35">
      <c r="A54" s="6"/>
      <c r="B54" s="6"/>
      <c r="C54" s="6"/>
      <c r="D54" s="6"/>
      <c r="E54" s="6"/>
      <c r="F54" s="6"/>
      <c r="G54" s="6">
        <f>55-L28</f>
        <v>0.72571428571428243</v>
      </c>
      <c r="H54" s="6"/>
      <c r="I54" s="6">
        <f>75-L33</f>
        <v>-2.6521739130434838</v>
      </c>
      <c r="J54" s="6"/>
      <c r="K54" s="6"/>
      <c r="L54" s="6"/>
      <c r="M54" s="6"/>
      <c r="N54" s="6"/>
      <c r="O54" s="6"/>
      <c r="P54" s="6"/>
      <c r="Q54" s="6"/>
      <c r="R54" s="182">
        <v>86</v>
      </c>
      <c r="S54" s="184">
        <v>84</v>
      </c>
      <c r="T54" s="184">
        <v>103</v>
      </c>
      <c r="U54" s="185">
        <v>20</v>
      </c>
      <c r="X54" s="85">
        <v>10</v>
      </c>
      <c r="Y54" s="85">
        <v>36</v>
      </c>
    </row>
    <row r="55" spans="1:25" ht="20.149999999999999" customHeight="1" x14ac:dyDescent="0.35">
      <c r="A55" s="6"/>
      <c r="B55" s="6"/>
      <c r="C55" s="6"/>
      <c r="D55" s="6"/>
      <c r="E55" s="6"/>
      <c r="F55" s="6"/>
      <c r="G55" s="6">
        <f>55-L29</f>
        <v>-1.1854838709677438</v>
      </c>
      <c r="H55" s="6"/>
      <c r="I55" s="6">
        <f>75-L34</f>
        <v>9.9450549450549488</v>
      </c>
      <c r="J55" s="6"/>
      <c r="K55" s="6"/>
      <c r="L55" s="6"/>
      <c r="M55" s="6"/>
      <c r="N55" s="6"/>
      <c r="O55" s="6"/>
      <c r="P55" s="6"/>
      <c r="Q55" s="6"/>
      <c r="R55" s="186">
        <v>87</v>
      </c>
      <c r="S55" s="188">
        <v>81</v>
      </c>
      <c r="T55" s="188">
        <v>71</v>
      </c>
      <c r="U55" s="189">
        <v>20</v>
      </c>
      <c r="X55" s="85">
        <v>28</v>
      </c>
      <c r="Y55" s="85">
        <v>42</v>
      </c>
    </row>
    <row r="56" spans="1:25" ht="20.149999999999999" customHeight="1" x14ac:dyDescent="0.35">
      <c r="A56" s="6"/>
      <c r="B56" s="6"/>
      <c r="C56" s="6"/>
      <c r="D56" s="6"/>
      <c r="E56" s="6"/>
      <c r="F56" s="6"/>
      <c r="G56" s="6">
        <f>55-L30</f>
        <v>-6</v>
      </c>
      <c r="H56" s="6"/>
      <c r="I56" s="6">
        <f>75-L35</f>
        <v>-16.411111111111111</v>
      </c>
      <c r="J56" s="6"/>
      <c r="K56" s="6"/>
      <c r="L56" s="6"/>
      <c r="M56" s="6"/>
      <c r="N56" s="6"/>
      <c r="O56" s="6"/>
      <c r="P56" s="6"/>
      <c r="Q56" s="6"/>
      <c r="R56" s="182">
        <v>84</v>
      </c>
      <c r="S56" s="184">
        <v>88</v>
      </c>
      <c r="T56" s="184">
        <v>93</v>
      </c>
      <c r="U56" s="185">
        <v>29</v>
      </c>
      <c r="X56" s="85">
        <v>29</v>
      </c>
      <c r="Y56" s="85">
        <v>27</v>
      </c>
    </row>
    <row r="57" spans="1:25" ht="20.149999999999999" customHeight="1" x14ac:dyDescent="0.35">
      <c r="A57" s="6"/>
      <c r="B57" s="6"/>
      <c r="C57" s="6"/>
      <c r="D57" s="6"/>
      <c r="E57" s="6"/>
      <c r="F57" s="6"/>
      <c r="G57" s="6"/>
      <c r="H57" s="6"/>
      <c r="I57" s="6">
        <f>75-L36</f>
        <v>36.228260869565219</v>
      </c>
      <c r="J57" s="6"/>
      <c r="K57" s="6"/>
      <c r="L57" s="6"/>
      <c r="M57" s="6"/>
      <c r="N57" s="6"/>
      <c r="O57" s="6"/>
      <c r="P57" s="6"/>
      <c r="Q57" s="6"/>
      <c r="R57" s="186">
        <v>94</v>
      </c>
      <c r="S57" s="188">
        <v>78</v>
      </c>
      <c r="T57" s="188">
        <v>23</v>
      </c>
      <c r="U57" s="189">
        <v>40</v>
      </c>
      <c r="X57" s="85">
        <v>34</v>
      </c>
      <c r="Y57" s="85">
        <v>27</v>
      </c>
    </row>
    <row r="58" spans="1:25" ht="20.149999999999999" customHeight="1" x14ac:dyDescent="0.3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182">
        <v>78</v>
      </c>
      <c r="S58" s="184">
        <v>81</v>
      </c>
      <c r="T58" s="184">
        <v>86</v>
      </c>
      <c r="U58" s="185">
        <v>10</v>
      </c>
      <c r="X58" s="85">
        <v>35</v>
      </c>
      <c r="Y58" s="85">
        <v>32</v>
      </c>
    </row>
    <row r="59" spans="1:25" ht="20.149999999999999" customHeight="1" x14ac:dyDescent="0.3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186">
        <v>53</v>
      </c>
      <c r="S59" s="188">
        <v>92</v>
      </c>
      <c r="T59" s="188">
        <v>93</v>
      </c>
      <c r="U59" s="189">
        <v>8</v>
      </c>
      <c r="X59" s="85">
        <v>37</v>
      </c>
      <c r="Y59" s="85">
        <v>48</v>
      </c>
    </row>
    <row r="60" spans="1:25" ht="20.149999999999999" customHeight="1" x14ac:dyDescent="0.3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182">
        <v>75</v>
      </c>
      <c r="S60" s="184">
        <v>106</v>
      </c>
      <c r="T60" s="184">
        <v>105</v>
      </c>
      <c r="U60" s="185">
        <v>24</v>
      </c>
      <c r="X60" s="85">
        <v>28</v>
      </c>
      <c r="Y60" s="85">
        <v>36</v>
      </c>
    </row>
    <row r="61" spans="1:25" ht="20.149999999999999" customHeight="1" x14ac:dyDescent="0.3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186">
        <v>12</v>
      </c>
      <c r="S61" s="188">
        <v>67</v>
      </c>
      <c r="T61" s="188">
        <v>100</v>
      </c>
      <c r="U61" s="189">
        <v>22</v>
      </c>
      <c r="X61" s="85">
        <v>30</v>
      </c>
      <c r="Y61" s="85">
        <v>55</v>
      </c>
    </row>
    <row r="62" spans="1:25" ht="20.149999999999999" customHeigh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182">
        <v>67</v>
      </c>
      <c r="S62" s="184">
        <v>88</v>
      </c>
      <c r="T62" s="184">
        <v>106</v>
      </c>
      <c r="U62" s="185">
        <v>22</v>
      </c>
      <c r="X62" s="85">
        <v>38</v>
      </c>
      <c r="Y62" s="85">
        <v>50</v>
      </c>
    </row>
    <row r="63" spans="1:25" ht="20.149999999999999" customHeight="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186">
        <v>73</v>
      </c>
      <c r="S63" s="188">
        <v>89</v>
      </c>
      <c r="T63" s="188">
        <v>106</v>
      </c>
      <c r="U63" s="189">
        <v>30</v>
      </c>
      <c r="X63" s="85">
        <v>33</v>
      </c>
      <c r="Y63" s="85">
        <v>56</v>
      </c>
    </row>
    <row r="64" spans="1:25" ht="20.149999999999999" customHeight="1" x14ac:dyDescent="0.3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182">
        <v>81</v>
      </c>
      <c r="S64" s="184">
        <v>53</v>
      </c>
      <c r="T64" s="184">
        <v>98</v>
      </c>
      <c r="U64" s="185">
        <v>27</v>
      </c>
      <c r="X64" s="85">
        <v>48</v>
      </c>
      <c r="Y64" s="85">
        <v>67</v>
      </c>
    </row>
    <row r="65" spans="17:25" ht="20.149999999999999" customHeight="1" x14ac:dyDescent="0.35">
      <c r="Q65" s="6"/>
      <c r="R65" s="186">
        <v>83</v>
      </c>
      <c r="S65" s="188">
        <v>88</v>
      </c>
      <c r="T65" s="188">
        <v>91</v>
      </c>
      <c r="U65" s="189">
        <v>30</v>
      </c>
      <c r="X65" s="85">
        <v>51</v>
      </c>
      <c r="Y65" s="85">
        <v>70</v>
      </c>
    </row>
    <row r="66" spans="17:25" ht="20.149999999999999" customHeight="1" x14ac:dyDescent="0.35">
      <c r="Q66" s="6"/>
      <c r="R66" s="182">
        <v>79</v>
      </c>
      <c r="S66" s="184">
        <v>92</v>
      </c>
      <c r="T66" s="184">
        <v>96</v>
      </c>
      <c r="U66" s="185">
        <v>31</v>
      </c>
      <c r="X66" s="85">
        <v>26</v>
      </c>
      <c r="Y66" s="85">
        <v>74</v>
      </c>
    </row>
    <row r="67" spans="17:25" ht="20.149999999999999" customHeight="1" x14ac:dyDescent="0.35">
      <c r="Q67" s="6"/>
      <c r="R67" s="186">
        <v>81</v>
      </c>
      <c r="S67" s="188">
        <v>94</v>
      </c>
      <c r="T67" s="188">
        <v>89</v>
      </c>
      <c r="U67" s="189">
        <v>34</v>
      </c>
      <c r="X67" s="85">
        <v>32</v>
      </c>
      <c r="Y67" s="85">
        <v>74</v>
      </c>
    </row>
    <row r="68" spans="17:25" ht="20.149999999999999" customHeight="1" x14ac:dyDescent="0.35">
      <c r="Q68" s="6"/>
      <c r="R68" s="182">
        <v>78</v>
      </c>
      <c r="S68" s="184">
        <v>87</v>
      </c>
      <c r="T68" s="184">
        <v>78</v>
      </c>
      <c r="U68" s="185">
        <v>20</v>
      </c>
      <c r="X68" s="85">
        <v>34</v>
      </c>
      <c r="Y68" s="85">
        <v>83</v>
      </c>
    </row>
    <row r="69" spans="17:25" ht="20.149999999999999" customHeight="1" x14ac:dyDescent="0.35">
      <c r="Q69" s="6"/>
      <c r="R69" s="186">
        <v>73</v>
      </c>
      <c r="S69" s="188">
        <v>87</v>
      </c>
      <c r="T69" s="188">
        <v>91</v>
      </c>
      <c r="U69" s="189">
        <v>32</v>
      </c>
      <c r="X69" s="85">
        <v>50</v>
      </c>
      <c r="Y69" s="85">
        <v>69</v>
      </c>
    </row>
    <row r="70" spans="17:25" ht="20.149999999999999" customHeight="1" x14ac:dyDescent="0.35">
      <c r="Q70" s="6"/>
      <c r="R70" s="182">
        <v>80</v>
      </c>
      <c r="S70" s="184">
        <v>96</v>
      </c>
      <c r="T70" s="184">
        <v>100</v>
      </c>
      <c r="U70" s="185">
        <v>34</v>
      </c>
      <c r="X70" s="85">
        <v>13</v>
      </c>
      <c r="Y70" s="85">
        <v>77</v>
      </c>
    </row>
    <row r="71" spans="17:25" ht="20.149999999999999" customHeight="1" x14ac:dyDescent="0.35">
      <c r="Q71" s="6"/>
      <c r="R71" s="186">
        <v>85</v>
      </c>
      <c r="S71" s="188">
        <v>84</v>
      </c>
      <c r="T71" s="188">
        <v>89</v>
      </c>
      <c r="U71" s="189">
        <v>30</v>
      </c>
      <c r="X71" s="85">
        <v>44</v>
      </c>
      <c r="Y71" s="85">
        <v>62</v>
      </c>
    </row>
    <row r="72" spans="17:25" ht="20.149999999999999" customHeight="1" x14ac:dyDescent="0.35">
      <c r="Q72" s="6"/>
      <c r="R72" s="182">
        <v>82</v>
      </c>
      <c r="S72" s="184">
        <v>97</v>
      </c>
      <c r="T72" s="184">
        <v>100</v>
      </c>
      <c r="U72" s="185">
        <v>32</v>
      </c>
      <c r="X72" s="85">
        <v>55</v>
      </c>
      <c r="Y72" s="85">
        <v>85</v>
      </c>
    </row>
    <row r="73" spans="17:25" ht="20.149999999999999" customHeight="1" x14ac:dyDescent="0.35">
      <c r="Q73" s="6"/>
      <c r="R73" s="186">
        <v>59</v>
      </c>
      <c r="S73" s="188">
        <v>82</v>
      </c>
      <c r="T73" s="188">
        <v>98</v>
      </c>
      <c r="U73" s="189">
        <v>31</v>
      </c>
      <c r="X73" s="85">
        <v>69</v>
      </c>
      <c r="Y73" s="85">
        <v>66</v>
      </c>
    </row>
    <row r="74" spans="17:25" ht="20.149999999999999" customHeight="1" x14ac:dyDescent="0.35">
      <c r="Q74" s="6"/>
      <c r="R74" s="182">
        <v>68</v>
      </c>
      <c r="S74" s="184">
        <v>68</v>
      </c>
      <c r="T74" s="184">
        <v>103</v>
      </c>
      <c r="U74" s="185">
        <v>35</v>
      </c>
      <c r="X74" s="85">
        <v>30</v>
      </c>
      <c r="Y74" s="85">
        <v>47</v>
      </c>
    </row>
    <row r="75" spans="17:25" ht="20.149999999999999" customHeight="1" x14ac:dyDescent="0.35">
      <c r="Q75" s="6"/>
      <c r="R75" s="186">
        <v>82</v>
      </c>
      <c r="S75" s="188">
        <v>91</v>
      </c>
      <c r="T75" s="188">
        <v>75</v>
      </c>
      <c r="U75" s="189">
        <v>30</v>
      </c>
      <c r="X75" s="85">
        <v>51</v>
      </c>
      <c r="Y75" s="85">
        <v>60</v>
      </c>
    </row>
    <row r="76" spans="17:25" ht="20.149999999999999" customHeight="1" x14ac:dyDescent="0.35">
      <c r="Q76" s="6"/>
      <c r="R76" s="182">
        <v>74</v>
      </c>
      <c r="S76" s="184">
        <v>79</v>
      </c>
      <c r="T76" s="184">
        <v>97</v>
      </c>
      <c r="U76" s="185">
        <v>32</v>
      </c>
      <c r="X76" s="85">
        <v>50</v>
      </c>
      <c r="Y76" s="85">
        <v>67</v>
      </c>
    </row>
    <row r="77" spans="17:25" ht="20.149999999999999" customHeight="1" x14ac:dyDescent="0.35">
      <c r="Q77" s="6"/>
      <c r="R77" s="186">
        <v>90</v>
      </c>
      <c r="S77" s="188">
        <v>83</v>
      </c>
      <c r="T77" s="188">
        <v>102</v>
      </c>
      <c r="U77" s="189">
        <v>38</v>
      </c>
      <c r="X77" s="85">
        <v>66</v>
      </c>
      <c r="Y77" s="85">
        <v>63</v>
      </c>
    </row>
    <row r="78" spans="17:25" ht="20.149999999999999" customHeight="1" x14ac:dyDescent="0.35">
      <c r="Q78" s="6"/>
      <c r="R78" s="182">
        <v>84</v>
      </c>
      <c r="S78" s="184">
        <v>77</v>
      </c>
      <c r="T78" s="184">
        <v>95</v>
      </c>
      <c r="U78" s="185">
        <v>37</v>
      </c>
      <c r="X78" s="85">
        <v>74</v>
      </c>
      <c r="Y78" s="85">
        <v>72</v>
      </c>
    </row>
    <row r="79" spans="17:25" ht="20.149999999999999" customHeight="1" x14ac:dyDescent="0.35">
      <c r="Q79" s="6"/>
      <c r="R79" s="186">
        <v>36</v>
      </c>
      <c r="S79" s="188">
        <v>92</v>
      </c>
      <c r="T79" s="188">
        <v>80</v>
      </c>
      <c r="U79" s="189">
        <v>42</v>
      </c>
      <c r="X79" s="85">
        <v>44</v>
      </c>
      <c r="Y79" s="85">
        <v>66</v>
      </c>
    </row>
    <row r="80" spans="17:25" ht="20.149999999999999" customHeight="1" x14ac:dyDescent="0.35">
      <c r="Q80" s="6"/>
      <c r="R80" s="182">
        <v>61</v>
      </c>
      <c r="S80" s="184">
        <v>98</v>
      </c>
      <c r="T80" s="184">
        <v>96</v>
      </c>
      <c r="U80" s="185">
        <v>49</v>
      </c>
      <c r="X80" s="85">
        <v>71</v>
      </c>
      <c r="Y80" s="85">
        <v>76</v>
      </c>
    </row>
    <row r="81" spans="17:25" ht="20.149999999999999" customHeight="1" x14ac:dyDescent="0.35">
      <c r="Q81" s="6"/>
      <c r="R81" s="186">
        <v>68</v>
      </c>
      <c r="S81" s="188">
        <v>116</v>
      </c>
      <c r="T81" s="188">
        <v>90</v>
      </c>
      <c r="U81" s="189">
        <v>59</v>
      </c>
      <c r="X81" s="85">
        <v>77</v>
      </c>
      <c r="Y81" s="85">
        <v>74</v>
      </c>
    </row>
    <row r="82" spans="17:25" ht="20.149999999999999" customHeight="1" x14ac:dyDescent="0.35">
      <c r="Q82" s="6"/>
      <c r="R82" s="182">
        <v>73</v>
      </c>
      <c r="S82" s="184">
        <v>94</v>
      </c>
      <c r="T82" s="184">
        <v>96</v>
      </c>
      <c r="U82" s="185">
        <v>33</v>
      </c>
      <c r="X82" s="85">
        <v>48</v>
      </c>
      <c r="Y82" s="85">
        <v>63</v>
      </c>
    </row>
    <row r="83" spans="17:25" ht="20.149999999999999" customHeight="1" x14ac:dyDescent="0.35">
      <c r="Q83" s="6"/>
      <c r="R83" s="186">
        <v>71</v>
      </c>
      <c r="S83" s="188">
        <v>86</v>
      </c>
      <c r="T83" s="188">
        <v>99</v>
      </c>
      <c r="U83" s="189">
        <v>36</v>
      </c>
      <c r="X83" s="85">
        <v>76</v>
      </c>
      <c r="Y83" s="85">
        <v>57</v>
      </c>
    </row>
    <row r="84" spans="17:25" ht="20.149999999999999" customHeight="1" x14ac:dyDescent="0.35">
      <c r="Q84" s="6"/>
      <c r="R84" s="182">
        <v>55</v>
      </c>
      <c r="S84" s="184">
        <v>90</v>
      </c>
      <c r="T84" s="184">
        <v>104</v>
      </c>
      <c r="U84" s="185">
        <v>22</v>
      </c>
      <c r="X84" s="85">
        <v>62</v>
      </c>
      <c r="Y84" s="85">
        <v>78</v>
      </c>
    </row>
    <row r="85" spans="17:25" ht="20.149999999999999" customHeight="1" x14ac:dyDescent="0.35">
      <c r="Q85" s="6"/>
      <c r="R85" s="186">
        <v>32</v>
      </c>
      <c r="S85" s="188">
        <v>100</v>
      </c>
      <c r="T85" s="188">
        <v>106</v>
      </c>
      <c r="U85" s="189">
        <v>29</v>
      </c>
      <c r="X85" s="85">
        <v>59</v>
      </c>
      <c r="Y85" s="85">
        <v>58</v>
      </c>
    </row>
    <row r="86" spans="17:25" ht="20.149999999999999" customHeight="1" x14ac:dyDescent="0.35">
      <c r="Q86" s="6"/>
      <c r="R86" s="182">
        <v>51</v>
      </c>
      <c r="S86" s="184">
        <v>93</v>
      </c>
      <c r="T86" s="184">
        <v>94</v>
      </c>
      <c r="U86" s="185">
        <v>39</v>
      </c>
      <c r="X86" s="85">
        <v>74</v>
      </c>
      <c r="Y86" s="85">
        <v>81</v>
      </c>
    </row>
    <row r="87" spans="17:25" ht="20.149999999999999" customHeight="1" x14ac:dyDescent="0.35">
      <c r="Q87" s="6"/>
      <c r="R87" s="186">
        <v>30</v>
      </c>
      <c r="S87" s="188">
        <v>93</v>
      </c>
      <c r="T87" s="188">
        <v>93</v>
      </c>
      <c r="U87" s="189">
        <v>36</v>
      </c>
      <c r="X87" s="85">
        <v>82</v>
      </c>
      <c r="Y87" s="85">
        <v>62</v>
      </c>
    </row>
    <row r="88" spans="17:25" ht="20.149999999999999" customHeight="1" x14ac:dyDescent="0.35">
      <c r="Q88" s="6"/>
      <c r="R88" s="182">
        <v>56</v>
      </c>
      <c r="S88" s="184">
        <v>95</v>
      </c>
      <c r="T88" s="184">
        <v>105</v>
      </c>
      <c r="U88" s="185">
        <v>29</v>
      </c>
      <c r="X88" s="85">
        <v>73</v>
      </c>
      <c r="Y88" s="85">
        <v>76</v>
      </c>
    </row>
    <row r="89" spans="17:25" ht="20.149999999999999" customHeight="1" x14ac:dyDescent="0.35">
      <c r="Q89" s="6"/>
      <c r="R89" s="186">
        <v>61</v>
      </c>
      <c r="S89" s="188">
        <v>96</v>
      </c>
      <c r="T89" s="188">
        <v>111</v>
      </c>
      <c r="U89" s="189">
        <v>39</v>
      </c>
      <c r="X89" s="85">
        <v>68</v>
      </c>
      <c r="Y89" s="85">
        <v>55</v>
      </c>
    </row>
    <row r="90" spans="17:25" ht="20.149999999999999" customHeight="1" x14ac:dyDescent="0.35">
      <c r="Q90" s="6"/>
      <c r="R90" s="182">
        <v>61</v>
      </c>
      <c r="S90" s="184">
        <v>82</v>
      </c>
      <c r="T90" s="184">
        <v>107</v>
      </c>
      <c r="U90" s="185">
        <v>48</v>
      </c>
      <c r="X90" s="85">
        <v>50</v>
      </c>
      <c r="Y90" s="85">
        <v>50</v>
      </c>
    </row>
    <row r="91" spans="17:25" ht="20.149999999999999" customHeight="1" x14ac:dyDescent="0.35">
      <c r="Q91" s="6"/>
      <c r="R91" s="186">
        <v>77</v>
      </c>
      <c r="S91" s="188">
        <v>79</v>
      </c>
      <c r="T91" s="188">
        <v>102</v>
      </c>
      <c r="U91" s="189">
        <v>29</v>
      </c>
      <c r="X91" s="85">
        <v>59</v>
      </c>
      <c r="Y91" s="85">
        <v>80</v>
      </c>
    </row>
    <row r="92" spans="17:25" ht="20.149999999999999" customHeight="1" x14ac:dyDescent="0.35">
      <c r="Q92" s="6"/>
      <c r="R92" s="182">
        <v>58</v>
      </c>
      <c r="S92" s="184">
        <v>79</v>
      </c>
      <c r="T92" s="184"/>
      <c r="U92" s="185">
        <v>37</v>
      </c>
      <c r="X92" s="85">
        <v>64</v>
      </c>
      <c r="Y92" s="85">
        <v>92</v>
      </c>
    </row>
    <row r="93" spans="17:25" ht="20.149999999999999" customHeight="1" x14ac:dyDescent="0.35">
      <c r="Q93" s="6"/>
      <c r="R93" s="192">
        <v>73</v>
      </c>
      <c r="S93" s="193"/>
      <c r="T93" s="193"/>
      <c r="U93" s="194">
        <v>43</v>
      </c>
      <c r="X93" s="85">
        <v>80</v>
      </c>
      <c r="Y93" s="85">
        <v>78</v>
      </c>
    </row>
    <row r="94" spans="17:25" ht="20.149999999999999" customHeight="1" x14ac:dyDescent="0.35">
      <c r="Q94" s="6"/>
      <c r="S94" s="6"/>
      <c r="X94" s="85">
        <v>71</v>
      </c>
      <c r="Y94" s="85">
        <v>18</v>
      </c>
    </row>
    <row r="95" spans="17:25" ht="20.149999999999999" customHeight="1" x14ac:dyDescent="0.35">
      <c r="Q95" s="6"/>
      <c r="S95" s="6"/>
      <c r="X95" s="85">
        <v>78</v>
      </c>
      <c r="Y95" s="85">
        <v>89</v>
      </c>
    </row>
    <row r="96" spans="17:25" ht="20.149999999999999" customHeight="1" x14ac:dyDescent="0.35">
      <c r="Q96" s="6"/>
      <c r="S96" s="6"/>
      <c r="X96" s="85">
        <v>76</v>
      </c>
      <c r="Y96" s="85">
        <v>78</v>
      </c>
    </row>
    <row r="97" spans="17:25" ht="20.149999999999999" customHeight="1" x14ac:dyDescent="0.35">
      <c r="Q97" s="6"/>
      <c r="S97" s="6"/>
      <c r="X97" s="85">
        <v>55</v>
      </c>
      <c r="Y97" s="85">
        <v>88</v>
      </c>
    </row>
    <row r="98" spans="17:25" ht="20.149999999999999" customHeight="1" x14ac:dyDescent="0.35">
      <c r="Q98" s="6"/>
      <c r="S98" s="6"/>
      <c r="X98" s="85">
        <v>49</v>
      </c>
      <c r="Y98" s="85">
        <v>64</v>
      </c>
    </row>
    <row r="99" spans="17:25" ht="20.149999999999999" customHeight="1" x14ac:dyDescent="0.35">
      <c r="Q99" s="6"/>
      <c r="S99" s="6"/>
      <c r="X99" s="85">
        <v>51</v>
      </c>
      <c r="Y99" s="85">
        <v>80</v>
      </c>
    </row>
    <row r="100" spans="17:25" ht="20.149999999999999" customHeight="1" x14ac:dyDescent="0.35">
      <c r="Q100" s="6"/>
      <c r="S100" s="6"/>
      <c r="X100" s="85">
        <v>69</v>
      </c>
      <c r="Y100" s="85">
        <v>66</v>
      </c>
    </row>
    <row r="101" spans="17:25" ht="20.149999999999999" customHeight="1" x14ac:dyDescent="0.35">
      <c r="Q101" s="6"/>
      <c r="S101" s="6"/>
      <c r="X101" s="85">
        <v>73</v>
      </c>
      <c r="Y101" s="85">
        <v>81</v>
      </c>
    </row>
    <row r="102" spans="17:25" ht="20.149999999999999" customHeight="1" x14ac:dyDescent="0.35">
      <c r="Q102" s="6"/>
      <c r="S102" s="6"/>
      <c r="X102" s="85">
        <v>77</v>
      </c>
      <c r="Y102" s="85">
        <v>77</v>
      </c>
    </row>
    <row r="103" spans="17:25" ht="20.149999999999999" customHeight="1" x14ac:dyDescent="0.35">
      <c r="Q103" s="6"/>
      <c r="S103" s="6"/>
      <c r="X103" s="85">
        <v>77</v>
      </c>
      <c r="Y103" s="85">
        <v>81</v>
      </c>
    </row>
    <row r="104" spans="17:25" ht="20.149999999999999" customHeight="1" x14ac:dyDescent="0.35">
      <c r="Q104" s="6"/>
      <c r="S104" s="6"/>
      <c r="X104" s="85">
        <v>67</v>
      </c>
      <c r="Y104" s="85">
        <v>78</v>
      </c>
    </row>
    <row r="105" spans="17:25" ht="20.149999999999999" customHeight="1" x14ac:dyDescent="0.35">
      <c r="Q105" s="6"/>
      <c r="S105" s="6"/>
      <c r="X105" s="85">
        <v>67</v>
      </c>
      <c r="Y105" s="85">
        <v>71</v>
      </c>
    </row>
    <row r="106" spans="17:25" ht="20.149999999999999" customHeight="1" x14ac:dyDescent="0.35">
      <c r="Q106" s="6"/>
      <c r="S106" s="6"/>
      <c r="X106" s="85">
        <v>72</v>
      </c>
      <c r="Y106" s="85">
        <v>72</v>
      </c>
    </row>
    <row r="107" spans="17:25" ht="20.149999999999999" customHeight="1" x14ac:dyDescent="0.35">
      <c r="Q107" s="6"/>
      <c r="S107" s="6"/>
      <c r="X107" s="85">
        <v>84</v>
      </c>
      <c r="Y107" s="85">
        <v>67</v>
      </c>
    </row>
    <row r="108" spans="17:25" ht="20.149999999999999" customHeight="1" x14ac:dyDescent="0.35">
      <c r="Q108" s="6"/>
      <c r="S108" s="6"/>
      <c r="X108" s="85">
        <v>84</v>
      </c>
      <c r="Y108" s="85">
        <v>68</v>
      </c>
    </row>
    <row r="109" spans="17:25" ht="20.149999999999999" customHeight="1" x14ac:dyDescent="0.35">
      <c r="Q109" s="6"/>
      <c r="S109" s="6"/>
      <c r="X109" s="85">
        <v>70</v>
      </c>
      <c r="Y109" s="85">
        <v>63</v>
      </c>
    </row>
    <row r="110" spans="17:25" ht="20.149999999999999" customHeight="1" x14ac:dyDescent="0.35">
      <c r="Q110" s="6"/>
      <c r="S110" s="6"/>
      <c r="X110" s="85">
        <v>72</v>
      </c>
      <c r="Y110" s="85">
        <v>71</v>
      </c>
    </row>
    <row r="111" spans="17:25" ht="20.149999999999999" customHeight="1" x14ac:dyDescent="0.35">
      <c r="Q111" s="6"/>
      <c r="S111" s="6"/>
      <c r="X111" s="85">
        <v>46</v>
      </c>
      <c r="Y111" s="85">
        <v>51</v>
      </c>
    </row>
    <row r="112" spans="17:25" ht="20.149999999999999" customHeight="1" x14ac:dyDescent="0.35">
      <c r="Q112" s="6"/>
      <c r="S112" s="6"/>
      <c r="X112" s="85">
        <v>51</v>
      </c>
      <c r="Y112" s="85">
        <v>41</v>
      </c>
    </row>
    <row r="113" spans="17:25" ht="20.149999999999999" customHeight="1" x14ac:dyDescent="0.35">
      <c r="Q113" s="6"/>
      <c r="S113" s="6"/>
      <c r="X113" s="85">
        <v>65</v>
      </c>
      <c r="Y113" s="85">
        <v>21</v>
      </c>
    </row>
    <row r="114" spans="17:25" ht="20.149999999999999" customHeight="1" x14ac:dyDescent="0.35">
      <c r="Q114" s="6"/>
      <c r="S114" s="6"/>
      <c r="X114" s="85">
        <v>77</v>
      </c>
      <c r="Y114" s="85">
        <v>13</v>
      </c>
    </row>
    <row r="115" spans="17:25" ht="20.149999999999999" customHeight="1" x14ac:dyDescent="0.35">
      <c r="Q115" s="6"/>
      <c r="S115" s="6"/>
      <c r="X115" s="85">
        <v>64</v>
      </c>
      <c r="Y115" s="85">
        <v>25</v>
      </c>
    </row>
    <row r="116" spans="17:25" ht="20.149999999999999" customHeight="1" x14ac:dyDescent="0.35">
      <c r="Q116" s="6"/>
      <c r="S116" s="6"/>
      <c r="X116" s="85">
        <v>56</v>
      </c>
      <c r="Y116" s="85">
        <v>27</v>
      </c>
    </row>
    <row r="117" spans="17:25" ht="20.149999999999999" customHeight="1" x14ac:dyDescent="0.35">
      <c r="Q117" s="6"/>
      <c r="S117" s="6"/>
      <c r="X117" s="85">
        <v>71</v>
      </c>
      <c r="Y117" s="85">
        <v>37</v>
      </c>
    </row>
    <row r="118" spans="17:25" ht="20.149999999999999" customHeight="1" x14ac:dyDescent="0.35">
      <c r="Q118" s="6"/>
      <c r="S118" s="6"/>
      <c r="X118" s="85">
        <v>77</v>
      </c>
      <c r="Y118" s="85">
        <v>29</v>
      </c>
    </row>
    <row r="119" spans="17:25" ht="20.149999999999999" customHeight="1" x14ac:dyDescent="0.35">
      <c r="Q119" s="6"/>
      <c r="X119" s="85">
        <v>70</v>
      </c>
      <c r="Y119" s="85">
        <v>30</v>
      </c>
    </row>
    <row r="120" spans="17:25" ht="20.149999999999999" customHeight="1" x14ac:dyDescent="0.35">
      <c r="Q120" s="6"/>
      <c r="X120" s="85">
        <v>74</v>
      </c>
      <c r="Y120" s="85">
        <v>18</v>
      </c>
    </row>
    <row r="121" spans="17:25" ht="20.149999999999999" customHeight="1" x14ac:dyDescent="0.35">
      <c r="Q121" s="6"/>
      <c r="X121" s="85">
        <v>78</v>
      </c>
      <c r="Y121" s="85">
        <v>24</v>
      </c>
    </row>
    <row r="122" spans="17:25" ht="20.149999999999999" customHeight="1" x14ac:dyDescent="0.35">
      <c r="Q122" s="6"/>
      <c r="X122" s="85">
        <v>77</v>
      </c>
      <c r="Y122" s="85">
        <v>24</v>
      </c>
    </row>
    <row r="123" spans="17:25" ht="20.149999999999999" customHeight="1" x14ac:dyDescent="0.35">
      <c r="Q123" s="6"/>
      <c r="X123" s="85">
        <v>53</v>
      </c>
      <c r="Y123" s="85">
        <v>47</v>
      </c>
    </row>
    <row r="124" spans="17:25" ht="20.149999999999999" customHeight="1" x14ac:dyDescent="0.35">
      <c r="Q124" s="6"/>
      <c r="X124" s="85">
        <v>50</v>
      </c>
      <c r="Y124" s="85">
        <v>34</v>
      </c>
    </row>
    <row r="125" spans="17:25" ht="20.149999999999999" customHeight="1" x14ac:dyDescent="0.35">
      <c r="Q125" s="6"/>
      <c r="X125" s="85">
        <v>71</v>
      </c>
      <c r="Y125" s="85">
        <v>31</v>
      </c>
    </row>
    <row r="126" spans="17:25" ht="20.149999999999999" customHeight="1" x14ac:dyDescent="0.35">
      <c r="Q126" s="6"/>
      <c r="X126" s="85">
        <v>80</v>
      </c>
    </row>
    <row r="127" spans="17:25" ht="20.149999999999999" customHeight="1" x14ac:dyDescent="0.35">
      <c r="Q127" s="6"/>
      <c r="X127" s="85">
        <v>81</v>
      </c>
    </row>
    <row r="128" spans="17:25" ht="20.149999999999999" customHeight="1" x14ac:dyDescent="0.35">
      <c r="Q128" s="6"/>
      <c r="X128" s="85">
        <v>63</v>
      </c>
    </row>
    <row r="129" spans="17:24" ht="20.149999999999999" customHeight="1" x14ac:dyDescent="0.35">
      <c r="Q129" s="6"/>
      <c r="X129" s="85">
        <v>67</v>
      </c>
    </row>
    <row r="130" spans="17:24" ht="20.149999999999999" customHeight="1" x14ac:dyDescent="0.35">
      <c r="Q130" s="6"/>
      <c r="X130" s="85">
        <v>66</v>
      </c>
    </row>
    <row r="131" spans="17:24" ht="20.149999999999999" customHeight="1" x14ac:dyDescent="0.35">
      <c r="Q131" s="6"/>
      <c r="X131" s="85">
        <v>52</v>
      </c>
    </row>
    <row r="132" spans="17:24" ht="20.149999999999999" customHeight="1" x14ac:dyDescent="0.35">
      <c r="Q132" s="6"/>
      <c r="X132" s="85">
        <v>79</v>
      </c>
    </row>
    <row r="133" spans="17:24" ht="20.149999999999999" customHeight="1" x14ac:dyDescent="0.35">
      <c r="Q133" s="6"/>
      <c r="X133" s="85">
        <v>84</v>
      </c>
    </row>
    <row r="134" spans="17:24" ht="20.149999999999999" customHeight="1" x14ac:dyDescent="0.35">
      <c r="Q134" s="6"/>
      <c r="X134" s="85">
        <v>62</v>
      </c>
    </row>
    <row r="135" spans="17:24" ht="20.149999999999999" customHeight="1" x14ac:dyDescent="0.35">
      <c r="Q135" s="6"/>
      <c r="X135" s="85">
        <v>58</v>
      </c>
    </row>
    <row r="136" spans="17:24" ht="20.149999999999999" customHeight="1" x14ac:dyDescent="0.35">
      <c r="Q136" s="6"/>
      <c r="X136" s="85">
        <v>78</v>
      </c>
    </row>
    <row r="137" spans="17:24" ht="20.149999999999999" customHeight="1" x14ac:dyDescent="0.35">
      <c r="Q137" s="6"/>
      <c r="X137" s="85">
        <v>85</v>
      </c>
    </row>
    <row r="138" spans="17:24" ht="20.149999999999999" customHeight="1" x14ac:dyDescent="0.35">
      <c r="Q138" s="6"/>
      <c r="X138" s="85">
        <v>88</v>
      </c>
    </row>
    <row r="139" spans="17:24" ht="20.149999999999999" customHeight="1" x14ac:dyDescent="0.35">
      <c r="Q139" s="6"/>
      <c r="X139" s="85">
        <v>69</v>
      </c>
    </row>
    <row r="140" spans="17:24" ht="20.149999999999999" customHeight="1" x14ac:dyDescent="0.35">
      <c r="Q140" s="6"/>
      <c r="X140" s="85">
        <v>64</v>
      </c>
    </row>
    <row r="141" spans="17:24" ht="20.149999999999999" customHeight="1" x14ac:dyDescent="0.35">
      <c r="Q141" s="6"/>
      <c r="X141" s="85">
        <v>67</v>
      </c>
    </row>
    <row r="142" spans="17:24" ht="20.149999999999999" customHeight="1" x14ac:dyDescent="0.35">
      <c r="Q142" s="6"/>
      <c r="X142" s="85">
        <v>75</v>
      </c>
    </row>
    <row r="143" spans="17:24" ht="20.149999999999999" customHeight="1" x14ac:dyDescent="0.35">
      <c r="Q143" s="6"/>
      <c r="X143" s="85">
        <v>65</v>
      </c>
    </row>
    <row r="144" spans="17:24" ht="20.149999999999999" customHeight="1" x14ac:dyDescent="0.35">
      <c r="Q144" s="6"/>
      <c r="X144" s="85">
        <v>60</v>
      </c>
    </row>
    <row r="145" spans="17:24" ht="20.149999999999999" customHeight="1" x14ac:dyDescent="0.35">
      <c r="Q145" s="6"/>
      <c r="X145" s="85">
        <v>83</v>
      </c>
    </row>
    <row r="146" spans="17:24" ht="20.149999999999999" customHeight="1" x14ac:dyDescent="0.35">
      <c r="Q146" s="6"/>
      <c r="X146" s="85">
        <v>83</v>
      </c>
    </row>
    <row r="147" spans="17:24" ht="20.149999999999999" customHeight="1" x14ac:dyDescent="0.35">
      <c r="Q147" s="6"/>
      <c r="X147" s="85">
        <v>62</v>
      </c>
    </row>
    <row r="148" spans="17:24" ht="20.149999999999999" customHeight="1" x14ac:dyDescent="0.35">
      <c r="Q148" s="6"/>
      <c r="X148" s="85">
        <v>66</v>
      </c>
    </row>
    <row r="149" spans="17:24" ht="20.149999999999999" customHeight="1" x14ac:dyDescent="0.35">
      <c r="Q149" s="6"/>
      <c r="X149" s="85">
        <v>80</v>
      </c>
    </row>
    <row r="150" spans="17:24" ht="20.149999999999999" customHeight="1" x14ac:dyDescent="0.35">
      <c r="Q150" s="6"/>
      <c r="X150" s="85">
        <v>68</v>
      </c>
    </row>
    <row r="151" spans="17:24" ht="20.149999999999999" customHeight="1" x14ac:dyDescent="0.35">
      <c r="Q151" s="6"/>
      <c r="X151" s="85">
        <v>68</v>
      </c>
    </row>
    <row r="152" spans="17:24" ht="20.149999999999999" customHeight="1" x14ac:dyDescent="0.35">
      <c r="Q152" s="6"/>
      <c r="X152" s="85">
        <v>77</v>
      </c>
    </row>
    <row r="153" spans="17:24" ht="20.149999999999999" customHeight="1" x14ac:dyDescent="0.35">
      <c r="Q153" s="6"/>
      <c r="X153" s="85">
        <v>88</v>
      </c>
    </row>
    <row r="154" spans="17:24" ht="20.149999999999999" customHeight="1" x14ac:dyDescent="0.35">
      <c r="Q154" s="6"/>
      <c r="X154" s="85">
        <v>90</v>
      </c>
    </row>
    <row r="155" spans="17:24" ht="20.149999999999999" customHeight="1" x14ac:dyDescent="0.35">
      <c r="Q155" s="6"/>
      <c r="X155" s="85">
        <v>82</v>
      </c>
    </row>
    <row r="156" spans="17:24" ht="20.149999999999999" customHeight="1" x14ac:dyDescent="0.35">
      <c r="Q156" s="6"/>
      <c r="X156" s="85">
        <v>58</v>
      </c>
    </row>
    <row r="157" spans="17:24" ht="20.149999999999999" customHeight="1" x14ac:dyDescent="0.35">
      <c r="Q157" s="6"/>
      <c r="X157" s="85">
        <v>73</v>
      </c>
    </row>
    <row r="158" spans="17:24" ht="20.149999999999999" customHeight="1" x14ac:dyDescent="0.35">
      <c r="Q158" s="6"/>
      <c r="X158" s="85">
        <v>58</v>
      </c>
    </row>
    <row r="159" spans="17:24" ht="20.149999999999999" customHeight="1" x14ac:dyDescent="0.35">
      <c r="Q159" s="6"/>
      <c r="X159" s="85">
        <v>57</v>
      </c>
    </row>
    <row r="160" spans="17:24" ht="20.149999999999999" customHeight="1" x14ac:dyDescent="0.35">
      <c r="Q160" s="6"/>
      <c r="X160" s="85">
        <v>49</v>
      </c>
    </row>
    <row r="161" spans="17:24" ht="20.149999999999999" customHeight="1" x14ac:dyDescent="0.35">
      <c r="Q161" s="6"/>
      <c r="X161" s="85">
        <v>13</v>
      </c>
    </row>
    <row r="162" spans="17:24" ht="20.149999999999999" customHeight="1" x14ac:dyDescent="0.35">
      <c r="Q162" s="6"/>
      <c r="X162" s="85">
        <v>63</v>
      </c>
    </row>
    <row r="163" spans="17:24" ht="20.149999999999999" customHeight="1" x14ac:dyDescent="0.35">
      <c r="Q163" s="6"/>
      <c r="X163" s="85">
        <v>54</v>
      </c>
    </row>
    <row r="164" spans="17:24" ht="20.149999999999999" customHeight="1" x14ac:dyDescent="0.35">
      <c r="Q164" s="6"/>
      <c r="X164" s="85">
        <v>47</v>
      </c>
    </row>
    <row r="165" spans="17:24" ht="20.149999999999999" customHeight="1" x14ac:dyDescent="0.35">
      <c r="Q165" s="6"/>
      <c r="X165" s="85">
        <v>63</v>
      </c>
    </row>
    <row r="166" spans="17:24" ht="20.149999999999999" customHeight="1" x14ac:dyDescent="0.35">
      <c r="Q166" s="6"/>
      <c r="X166" s="85">
        <v>67</v>
      </c>
    </row>
    <row r="167" spans="17:24" ht="20.149999999999999" customHeight="1" x14ac:dyDescent="0.35">
      <c r="Q167" s="6"/>
      <c r="X167" s="85">
        <v>71</v>
      </c>
    </row>
    <row r="168" spans="17:24" ht="20.149999999999999" customHeight="1" x14ac:dyDescent="0.35">
      <c r="Q168" s="6"/>
      <c r="X168" s="85">
        <v>71</v>
      </c>
    </row>
    <row r="169" spans="17:24" ht="20.149999999999999" customHeight="1" x14ac:dyDescent="0.35">
      <c r="Q169" s="6"/>
      <c r="X169" s="85">
        <v>49</v>
      </c>
    </row>
    <row r="170" spans="17:24" ht="20.149999999999999" customHeight="1" x14ac:dyDescent="0.35">
      <c r="Q170" s="6"/>
      <c r="X170" s="85">
        <v>44</v>
      </c>
    </row>
    <row r="171" spans="17:24" ht="20.149999999999999" customHeight="1" x14ac:dyDescent="0.35">
      <c r="Q171" s="6"/>
      <c r="X171" s="85">
        <v>57</v>
      </c>
    </row>
    <row r="172" spans="17:24" ht="20.149999999999999" customHeight="1" x14ac:dyDescent="0.35">
      <c r="Q172" s="6"/>
      <c r="X172" s="85">
        <v>17</v>
      </c>
    </row>
    <row r="173" spans="17:24" ht="20.149999999999999" customHeight="1" x14ac:dyDescent="0.35">
      <c r="Q173" s="6"/>
      <c r="X173" s="85">
        <v>9</v>
      </c>
    </row>
    <row r="174" spans="17:24" ht="20.149999999999999" customHeight="1" x14ac:dyDescent="0.35">
      <c r="Q174" s="6"/>
      <c r="X174" s="85">
        <v>18</v>
      </c>
    </row>
    <row r="175" spans="17:24" ht="20.149999999999999" customHeight="1" x14ac:dyDescent="0.35">
      <c r="Q175" s="6"/>
      <c r="X175" s="85">
        <v>41</v>
      </c>
    </row>
    <row r="176" spans="17:24" ht="20.149999999999999" customHeight="1" x14ac:dyDescent="0.35">
      <c r="Q176" s="6"/>
      <c r="X176" s="85">
        <v>43</v>
      </c>
    </row>
    <row r="177" spans="17:24" ht="20.149999999999999" customHeight="1" x14ac:dyDescent="0.35">
      <c r="Q177" s="6"/>
      <c r="X177" s="85">
        <v>50</v>
      </c>
    </row>
    <row r="178" spans="17:24" ht="20.149999999999999" customHeight="1" x14ac:dyDescent="0.35">
      <c r="Q178" s="6"/>
      <c r="X178" s="85">
        <v>36</v>
      </c>
    </row>
    <row r="179" spans="17:24" ht="20.149999999999999" customHeight="1" x14ac:dyDescent="0.35">
      <c r="Q179" s="6"/>
      <c r="X179" s="85">
        <v>13</v>
      </c>
    </row>
    <row r="180" spans="17:24" ht="20.149999999999999" customHeight="1" x14ac:dyDescent="0.35">
      <c r="Q180" s="6"/>
      <c r="X180" s="85">
        <v>29</v>
      </c>
    </row>
    <row r="181" spans="17:24" ht="20.149999999999999" customHeight="1" x14ac:dyDescent="0.35">
      <c r="Q181" s="6"/>
      <c r="X181" s="85">
        <v>30</v>
      </c>
    </row>
    <row r="182" spans="17:24" ht="20.149999999999999" customHeight="1" x14ac:dyDescent="0.35">
      <c r="Q182" s="6"/>
      <c r="X182" s="85">
        <v>30</v>
      </c>
    </row>
    <row r="183" spans="17:24" ht="20.149999999999999" customHeight="1" x14ac:dyDescent="0.35">
      <c r="Q183" s="6"/>
      <c r="X183" s="85">
        <v>18</v>
      </c>
    </row>
    <row r="184" spans="17:24" ht="20.149999999999999" customHeight="1" x14ac:dyDescent="0.35">
      <c r="Q184" s="6"/>
      <c r="X184" s="85">
        <v>15</v>
      </c>
    </row>
    <row r="185" spans="17:24" ht="20.149999999999999" customHeight="1" x14ac:dyDescent="0.35">
      <c r="Q185" s="6"/>
      <c r="X185" s="85">
        <v>26</v>
      </c>
    </row>
    <row r="186" spans="17:24" ht="20.149999999999999" customHeight="1" x14ac:dyDescent="0.35">
      <c r="Q186" s="6"/>
      <c r="S186" s="47"/>
      <c r="X186" s="85">
        <v>24</v>
      </c>
    </row>
    <row r="187" spans="17:24" ht="20.149999999999999" customHeight="1" x14ac:dyDescent="0.35">
      <c r="Q187" s="6"/>
      <c r="S187" s="47"/>
      <c r="X187" s="85">
        <v>23</v>
      </c>
    </row>
    <row r="188" spans="17:24" ht="20.149999999999999" customHeight="1" x14ac:dyDescent="0.35">
      <c r="Q188" s="6"/>
      <c r="S188" s="47"/>
      <c r="X188" s="85">
        <v>27</v>
      </c>
    </row>
    <row r="189" spans="17:24" ht="20.149999999999999" customHeight="1" x14ac:dyDescent="0.35">
      <c r="Q189" s="6"/>
      <c r="S189" s="47"/>
      <c r="X189" s="85">
        <v>27</v>
      </c>
    </row>
    <row r="190" spans="17:24" ht="20.149999999999999" customHeight="1" x14ac:dyDescent="0.35">
      <c r="Q190" s="6"/>
      <c r="S190" s="47"/>
      <c r="X190" s="85">
        <v>21</v>
      </c>
    </row>
    <row r="191" spans="17:24" ht="20.149999999999999" customHeight="1" x14ac:dyDescent="0.35">
      <c r="Q191" s="6"/>
      <c r="S191" s="47"/>
      <c r="X191" s="85">
        <v>19</v>
      </c>
    </row>
    <row r="192" spans="17:24" ht="20.149999999999999" customHeight="1" x14ac:dyDescent="0.35">
      <c r="Q192" s="6"/>
      <c r="S192" s="47"/>
      <c r="X192" s="85">
        <v>18</v>
      </c>
    </row>
    <row r="193" spans="17:24" ht="20.149999999999999" customHeight="1" x14ac:dyDescent="0.35">
      <c r="Q193" s="6"/>
      <c r="S193" s="47"/>
      <c r="X193" s="85">
        <v>13</v>
      </c>
    </row>
    <row r="194" spans="17:24" ht="20.149999999999999" customHeight="1" x14ac:dyDescent="0.35">
      <c r="Q194" s="6"/>
      <c r="S194" s="47"/>
      <c r="X194" s="85">
        <v>31</v>
      </c>
    </row>
    <row r="195" spans="17:24" ht="20.149999999999999" customHeight="1" x14ac:dyDescent="0.35">
      <c r="Q195" s="6"/>
      <c r="S195" s="47"/>
      <c r="X195" s="85">
        <v>29</v>
      </c>
    </row>
    <row r="196" spans="17:24" ht="20.149999999999999" customHeight="1" x14ac:dyDescent="0.35">
      <c r="Q196" s="6"/>
      <c r="S196" s="47"/>
      <c r="X196" s="85">
        <v>18</v>
      </c>
    </row>
    <row r="197" spans="17:24" ht="20.149999999999999" customHeight="1" x14ac:dyDescent="0.35">
      <c r="Q197" s="6"/>
      <c r="S197" s="47"/>
      <c r="X197" s="85">
        <v>17</v>
      </c>
    </row>
    <row r="198" spans="17:24" ht="20.149999999999999" customHeight="1" x14ac:dyDescent="0.35">
      <c r="Q198" s="6"/>
      <c r="S198" s="47"/>
      <c r="X198" s="85">
        <v>27</v>
      </c>
    </row>
    <row r="199" spans="17:24" ht="20.149999999999999" customHeight="1" x14ac:dyDescent="0.35">
      <c r="Q199" s="6"/>
      <c r="S199" s="54"/>
      <c r="X199" s="85">
        <v>36</v>
      </c>
    </row>
    <row r="200" spans="17:24" ht="20.149999999999999" customHeight="1" x14ac:dyDescent="0.35">
      <c r="Q200" s="6"/>
      <c r="X200" s="85">
        <v>9</v>
      </c>
    </row>
    <row r="201" spans="17:24" ht="20.149999999999999" customHeight="1" x14ac:dyDescent="0.35">
      <c r="Q201" s="6"/>
      <c r="X201" s="85">
        <v>8</v>
      </c>
    </row>
    <row r="202" spans="17:24" ht="20.149999999999999" customHeight="1" x14ac:dyDescent="0.35">
      <c r="Q202" s="6"/>
      <c r="X202" s="85">
        <v>23</v>
      </c>
    </row>
    <row r="203" spans="17:24" ht="20.149999999999999" customHeight="1" x14ac:dyDescent="0.35">
      <c r="Q203" s="6"/>
      <c r="S203" s="59"/>
      <c r="X203" s="85">
        <v>20</v>
      </c>
    </row>
    <row r="204" spans="17:24" ht="20.149999999999999" customHeight="1" x14ac:dyDescent="0.35">
      <c r="Q204" s="6"/>
      <c r="X204" s="85">
        <v>19</v>
      </c>
    </row>
    <row r="205" spans="17:24" ht="20.149999999999999" customHeight="1" x14ac:dyDescent="0.35">
      <c r="Q205" s="6"/>
      <c r="X205" s="85">
        <v>29</v>
      </c>
    </row>
    <row r="206" spans="17:24" ht="20.149999999999999" customHeight="1" x14ac:dyDescent="0.35">
      <c r="Q206" s="6"/>
      <c r="X206" s="85">
        <v>26</v>
      </c>
    </row>
    <row r="207" spans="17:24" ht="20.149999999999999" customHeight="1" x14ac:dyDescent="0.35">
      <c r="Q207" s="6"/>
      <c r="X207" s="85">
        <v>32</v>
      </c>
    </row>
    <row r="208" spans="17:24" ht="20.149999999999999" customHeight="1" x14ac:dyDescent="0.35">
      <c r="Q208" s="6"/>
      <c r="X208" s="85">
        <v>25</v>
      </c>
    </row>
    <row r="209" spans="17:24" ht="20.149999999999999" customHeight="1" x14ac:dyDescent="0.35">
      <c r="Q209" s="6"/>
      <c r="X209" s="85">
        <v>32</v>
      </c>
    </row>
    <row r="210" spans="17:24" ht="20.149999999999999" customHeight="1" x14ac:dyDescent="0.35">
      <c r="Q210" s="6"/>
      <c r="X210" s="85">
        <v>29</v>
      </c>
    </row>
    <row r="211" spans="17:24" ht="20.149999999999999" customHeight="1" x14ac:dyDescent="0.35">
      <c r="Q211" s="6"/>
      <c r="X211" s="85">
        <v>31</v>
      </c>
    </row>
    <row r="212" spans="17:24" ht="20.149999999999999" customHeight="1" x14ac:dyDescent="0.35">
      <c r="Q212" s="6"/>
      <c r="X212" s="85">
        <v>30</v>
      </c>
    </row>
    <row r="213" spans="17:24" ht="20.149999999999999" customHeight="1" x14ac:dyDescent="0.35">
      <c r="Q213" s="6"/>
      <c r="X213" s="85">
        <v>32</v>
      </c>
    </row>
    <row r="214" spans="17:24" ht="20.149999999999999" customHeight="1" x14ac:dyDescent="0.35">
      <c r="Q214" s="6"/>
      <c r="X214" s="85">
        <v>34</v>
      </c>
    </row>
    <row r="215" spans="17:24" ht="20.149999999999999" customHeight="1" x14ac:dyDescent="0.35">
      <c r="Q215" s="6"/>
      <c r="X215" s="85">
        <v>34</v>
      </c>
    </row>
    <row r="216" spans="17:24" ht="20.149999999999999" customHeight="1" x14ac:dyDescent="0.35">
      <c r="Q216" s="6"/>
      <c r="X216" s="85">
        <v>38</v>
      </c>
    </row>
    <row r="217" spans="17:24" ht="20.149999999999999" customHeight="1" x14ac:dyDescent="0.35">
      <c r="Q217" s="6"/>
      <c r="X217" s="85">
        <v>44</v>
      </c>
    </row>
    <row r="218" spans="17:24" ht="20.149999999999999" customHeight="1" x14ac:dyDescent="0.35">
      <c r="Q218" s="6"/>
      <c r="X218" s="85">
        <v>22</v>
      </c>
    </row>
    <row r="219" spans="17:24" ht="20.149999999999999" customHeight="1" x14ac:dyDescent="0.35">
      <c r="Q219" s="6"/>
      <c r="X219" s="85">
        <v>23</v>
      </c>
    </row>
    <row r="220" spans="17:24" ht="20.149999999999999" customHeight="1" x14ac:dyDescent="0.35">
      <c r="Q220" s="6"/>
      <c r="X220" s="85">
        <v>18</v>
      </c>
    </row>
    <row r="221" spans="17:24" ht="20.149999999999999" customHeight="1" x14ac:dyDescent="0.35">
      <c r="Q221" s="6"/>
      <c r="X221" s="85">
        <v>28</v>
      </c>
    </row>
    <row r="222" spans="17:24" ht="20.149999999999999" customHeight="1" x14ac:dyDescent="0.35">
      <c r="Q222" s="6"/>
      <c r="X222" s="85">
        <v>36</v>
      </c>
    </row>
    <row r="223" spans="17:24" ht="20.149999999999999" customHeight="1" x14ac:dyDescent="0.35">
      <c r="Q223" s="6"/>
      <c r="X223" s="85">
        <v>27</v>
      </c>
    </row>
    <row r="224" spans="17:24" ht="20.149999999999999" customHeight="1" x14ac:dyDescent="0.35">
      <c r="Q224" s="6"/>
      <c r="X224" s="85">
        <v>34</v>
      </c>
    </row>
    <row r="225" spans="17:24" ht="20.149999999999999" customHeight="1" x14ac:dyDescent="0.35">
      <c r="Q225" s="6"/>
      <c r="X225" s="85">
        <v>27</v>
      </c>
    </row>
    <row r="226" spans="17:24" ht="20.149999999999999" customHeight="1" x14ac:dyDescent="0.35">
      <c r="Q226" s="6"/>
      <c r="X226" s="85">
        <v>34</v>
      </c>
    </row>
    <row r="227" spans="17:24" ht="20.149999999999999" customHeight="1" x14ac:dyDescent="0.35">
      <c r="Q227" s="6"/>
      <c r="X227" s="85">
        <v>38</v>
      </c>
    </row>
    <row r="228" spans="17:24" ht="20.149999999999999" customHeight="1" x14ac:dyDescent="0.35">
      <c r="Q228" s="6"/>
      <c r="X228" s="85">
        <v>51</v>
      </c>
    </row>
    <row r="229" spans="17:24" ht="20.149999999999999" customHeight="1" x14ac:dyDescent="0.35">
      <c r="Q229" s="6"/>
      <c r="X229" s="85">
        <v>48</v>
      </c>
    </row>
    <row r="230" spans="17:24" ht="20.149999999999999" customHeight="1" x14ac:dyDescent="0.35">
      <c r="Q230" s="6"/>
      <c r="X230" s="85">
        <v>42</v>
      </c>
    </row>
    <row r="231" spans="17:24" ht="20.149999999999999" customHeight="1" x14ac:dyDescent="0.35">
      <c r="Q231" s="6"/>
      <c r="X231" s="85">
        <v>34</v>
      </c>
    </row>
    <row r="232" spans="17:24" ht="20.149999999999999" customHeight="1" x14ac:dyDescent="0.35">
      <c r="Q232" s="6"/>
      <c r="X232" s="85">
        <v>72</v>
      </c>
    </row>
    <row r="233" spans="17:24" ht="20.149999999999999" customHeight="1" x14ac:dyDescent="0.35">
      <c r="Q233" s="6"/>
      <c r="X233" s="85">
        <v>83</v>
      </c>
    </row>
    <row r="234" spans="17:24" ht="20.149999999999999" customHeight="1" x14ac:dyDescent="0.35">
      <c r="Q234" s="6"/>
      <c r="X234" s="85">
        <v>65</v>
      </c>
    </row>
    <row r="235" spans="17:24" ht="20.149999999999999" customHeight="1" x14ac:dyDescent="0.35">
      <c r="Q235" s="6"/>
      <c r="X235" s="85">
        <v>64</v>
      </c>
    </row>
    <row r="236" spans="17:24" ht="20.149999999999999" customHeight="1" x14ac:dyDescent="0.35">
      <c r="Q236" s="6"/>
      <c r="X236" s="85">
        <v>85</v>
      </c>
    </row>
    <row r="237" spans="17:24" ht="20.149999999999999" customHeight="1" x14ac:dyDescent="0.35">
      <c r="Q237" s="6"/>
      <c r="S237" s="6"/>
      <c r="X237" s="85">
        <v>43</v>
      </c>
    </row>
    <row r="238" spans="17:24" ht="20.149999999999999" customHeight="1" x14ac:dyDescent="0.35">
      <c r="Q238" s="6"/>
      <c r="S238" s="6"/>
      <c r="X238" s="85">
        <v>79</v>
      </c>
    </row>
    <row r="239" spans="17:24" ht="20.149999999999999" customHeight="1" x14ac:dyDescent="0.35">
      <c r="Q239" s="6"/>
      <c r="S239" s="6"/>
      <c r="X239" s="85">
        <v>84</v>
      </c>
    </row>
    <row r="240" spans="17:24" ht="20.149999999999999" customHeight="1" x14ac:dyDescent="0.35">
      <c r="Q240" s="6"/>
      <c r="S240" s="6"/>
      <c r="X240" s="85">
        <v>39</v>
      </c>
    </row>
    <row r="241" spans="17:24" ht="20.149999999999999" customHeight="1" x14ac:dyDescent="0.35">
      <c r="Q241" s="6"/>
      <c r="S241" s="6"/>
      <c r="X241" s="85">
        <v>46</v>
      </c>
    </row>
    <row r="242" spans="17:24" ht="20.149999999999999" customHeight="1" x14ac:dyDescent="0.35">
      <c r="Q242" s="6"/>
      <c r="S242" s="6"/>
      <c r="X242" s="85">
        <v>85</v>
      </c>
    </row>
    <row r="243" spans="17:24" ht="20.149999999999999" customHeight="1" x14ac:dyDescent="0.35">
      <c r="Q243" s="6"/>
      <c r="S243" s="6"/>
      <c r="X243" s="85">
        <v>63</v>
      </c>
    </row>
    <row r="244" spans="17:24" ht="20.149999999999999" customHeight="1" x14ac:dyDescent="0.35">
      <c r="Q244" s="6"/>
      <c r="X244" s="85">
        <v>62</v>
      </c>
    </row>
    <row r="245" spans="17:24" ht="20.149999999999999" customHeight="1" x14ac:dyDescent="0.35">
      <c r="Q245" s="6"/>
      <c r="X245" s="85">
        <v>72</v>
      </c>
    </row>
    <row r="246" spans="17:24" ht="20.149999999999999" customHeight="1" x14ac:dyDescent="0.35">
      <c r="Q246" s="6"/>
      <c r="X246" s="85">
        <v>78</v>
      </c>
    </row>
    <row r="247" spans="17:24" ht="20.149999999999999" customHeight="1" x14ac:dyDescent="0.35">
      <c r="Q247" s="6"/>
      <c r="X247" s="85">
        <v>44</v>
      </c>
    </row>
    <row r="248" spans="17:24" ht="20.149999999999999" customHeight="1" x14ac:dyDescent="0.35">
      <c r="Q248" s="6"/>
      <c r="X248" s="85">
        <v>52</v>
      </c>
    </row>
    <row r="249" spans="17:24" ht="20.149999999999999" customHeight="1" x14ac:dyDescent="0.35">
      <c r="Q249" s="6"/>
      <c r="X249" s="85">
        <v>43</v>
      </c>
    </row>
    <row r="250" spans="17:24" ht="20.149999999999999" customHeight="1" x14ac:dyDescent="0.35">
      <c r="Q250" s="6"/>
      <c r="X250" s="85">
        <v>56</v>
      </c>
    </row>
    <row r="251" spans="17:24" ht="20.149999999999999" customHeight="1" x14ac:dyDescent="0.35">
      <c r="Q251" s="6"/>
      <c r="X251" s="85">
        <v>55</v>
      </c>
    </row>
    <row r="252" spans="17:24" ht="20.149999999999999" customHeight="1" x14ac:dyDescent="0.35">
      <c r="Q252" s="6"/>
      <c r="X252" s="85">
        <v>70</v>
      </c>
    </row>
    <row r="253" spans="17:24" ht="20.149999999999999" customHeight="1" x14ac:dyDescent="0.35">
      <c r="Q253" s="6"/>
      <c r="X253" s="85">
        <v>48</v>
      </c>
    </row>
    <row r="254" spans="17:24" ht="20.149999999999999" customHeight="1" x14ac:dyDescent="0.35">
      <c r="Q254" s="6"/>
      <c r="X254" s="85">
        <v>66</v>
      </c>
    </row>
    <row r="255" spans="17:24" ht="20.149999999999999" customHeight="1" x14ac:dyDescent="0.35">
      <c r="Q255" s="6"/>
      <c r="X255" s="85">
        <v>66</v>
      </c>
    </row>
    <row r="256" spans="17:24" ht="20.149999999999999" customHeight="1" x14ac:dyDescent="0.35">
      <c r="Q256" s="6"/>
      <c r="X256" s="85">
        <v>73</v>
      </c>
    </row>
    <row r="257" spans="17:24" ht="20.149999999999999" customHeight="1" x14ac:dyDescent="0.35">
      <c r="Q257" s="6"/>
      <c r="X257" s="85">
        <v>76</v>
      </c>
    </row>
    <row r="258" spans="17:24" ht="20.149999999999999" customHeight="1" x14ac:dyDescent="0.35">
      <c r="Q258" s="6"/>
      <c r="X258" s="85">
        <v>73</v>
      </c>
    </row>
    <row r="259" spans="17:24" ht="20.149999999999999" customHeight="1" x14ac:dyDescent="0.35">
      <c r="Q259" s="6"/>
      <c r="X259" s="85">
        <v>56</v>
      </c>
    </row>
    <row r="260" spans="17:24" ht="20.149999999999999" customHeight="1" x14ac:dyDescent="0.35">
      <c r="Q260" s="6"/>
      <c r="X260" s="85">
        <v>54</v>
      </c>
    </row>
    <row r="261" spans="17:24" ht="20.149999999999999" customHeight="1" x14ac:dyDescent="0.35">
      <c r="Q261" s="6"/>
      <c r="X261" s="85">
        <v>78</v>
      </c>
    </row>
    <row r="262" spans="17:24" ht="20.149999999999999" customHeight="1" x14ac:dyDescent="0.35">
      <c r="Q262" s="6"/>
      <c r="X262" s="85">
        <v>33</v>
      </c>
    </row>
    <row r="263" spans="17:24" ht="20.149999999999999" customHeight="1" x14ac:dyDescent="0.35">
      <c r="Q263" s="6"/>
      <c r="X263" s="85">
        <v>58</v>
      </c>
    </row>
    <row r="264" spans="17:24" ht="20.149999999999999" customHeight="1" x14ac:dyDescent="0.35">
      <c r="Q264" s="6"/>
      <c r="X264" s="85">
        <v>63</v>
      </c>
    </row>
    <row r="265" spans="17:24" ht="20.149999999999999" customHeight="1" x14ac:dyDescent="0.35">
      <c r="Q265" s="6"/>
      <c r="X265" s="85">
        <v>31</v>
      </c>
    </row>
    <row r="266" spans="17:24" ht="20.149999999999999" customHeight="1" x14ac:dyDescent="0.35">
      <c r="Q266" s="6"/>
      <c r="X266" s="85">
        <v>49</v>
      </c>
    </row>
    <row r="267" spans="17:24" ht="20.149999999999999" customHeight="1" x14ac:dyDescent="0.35">
      <c r="Q267" s="6"/>
      <c r="X267" s="85">
        <v>35</v>
      </c>
    </row>
    <row r="268" spans="17:24" ht="20.149999999999999" customHeight="1" x14ac:dyDescent="0.35">
      <c r="Q268" s="6"/>
      <c r="X268" s="85">
        <v>33</v>
      </c>
    </row>
    <row r="269" spans="17:24" ht="20.149999999999999" customHeight="1" x14ac:dyDescent="0.35">
      <c r="Q269" s="6"/>
      <c r="X269" s="85">
        <v>35</v>
      </c>
    </row>
    <row r="270" spans="17:24" x14ac:dyDescent="0.35">
      <c r="X270" s="85">
        <v>46</v>
      </c>
    </row>
    <row r="271" spans="17:24" x14ac:dyDescent="0.35">
      <c r="X271" s="85">
        <v>47</v>
      </c>
    </row>
    <row r="272" spans="17:24" x14ac:dyDescent="0.35">
      <c r="X272" s="85">
        <v>34</v>
      </c>
    </row>
    <row r="273" spans="18:24" s="4" customFormat="1" x14ac:dyDescent="0.35">
      <c r="R273" s="85"/>
      <c r="W273" s="85"/>
      <c r="X273" s="85">
        <v>34</v>
      </c>
    </row>
    <row r="274" spans="18:24" s="4" customFormat="1" x14ac:dyDescent="0.35">
      <c r="R274" s="85"/>
      <c r="W274" s="85"/>
      <c r="X274" s="85">
        <v>45</v>
      </c>
    </row>
    <row r="275" spans="18:24" s="4" customFormat="1" ht="15.5" x14ac:dyDescent="0.35">
      <c r="R275" s="85"/>
      <c r="S275" s="6"/>
      <c r="W275" s="85"/>
      <c r="X275" s="85">
        <v>38</v>
      </c>
    </row>
    <row r="276" spans="18:24" s="4" customFormat="1" ht="15.5" x14ac:dyDescent="0.35">
      <c r="R276" s="85"/>
      <c r="S276" s="6"/>
      <c r="W276" s="85"/>
      <c r="X276" s="85">
        <v>34</v>
      </c>
    </row>
    <row r="277" spans="18:24" s="4" customFormat="1" ht="15.5" x14ac:dyDescent="0.35">
      <c r="R277" s="85"/>
      <c r="S277" s="6"/>
      <c r="W277" s="85"/>
      <c r="X277" s="85">
        <v>38</v>
      </c>
    </row>
    <row r="278" spans="18:24" s="4" customFormat="1" ht="15.5" x14ac:dyDescent="0.35">
      <c r="R278" s="85"/>
      <c r="S278" s="6"/>
      <c r="W278" s="85"/>
      <c r="X278" s="85">
        <v>30</v>
      </c>
    </row>
    <row r="279" spans="18:24" s="4" customFormat="1" ht="15.5" x14ac:dyDescent="0.35">
      <c r="R279" s="85"/>
      <c r="S279" s="6"/>
      <c r="W279" s="85"/>
      <c r="X279" s="85">
        <v>24</v>
      </c>
    </row>
    <row r="280" spans="18:24" s="4" customFormat="1" ht="15.5" x14ac:dyDescent="0.35">
      <c r="R280" s="85"/>
      <c r="S280" s="6"/>
      <c r="W280" s="85"/>
      <c r="X280" s="85">
        <v>36</v>
      </c>
    </row>
    <row r="281" spans="18:24" s="4" customFormat="1" ht="15.5" x14ac:dyDescent="0.35">
      <c r="R281" s="85"/>
      <c r="S281" s="6"/>
      <c r="W281" s="85"/>
      <c r="X281" s="85">
        <v>42</v>
      </c>
    </row>
    <row r="282" spans="18:24" s="4" customFormat="1" ht="15.5" x14ac:dyDescent="0.35">
      <c r="R282" s="85"/>
      <c r="S282" s="6"/>
      <c r="W282" s="85"/>
      <c r="X282" s="85">
        <v>27</v>
      </c>
    </row>
    <row r="283" spans="18:24" s="4" customFormat="1" ht="15.5" x14ac:dyDescent="0.35">
      <c r="R283" s="85"/>
      <c r="S283" s="6"/>
      <c r="W283" s="85"/>
      <c r="X283" s="85">
        <v>27</v>
      </c>
    </row>
    <row r="284" spans="18:24" s="4" customFormat="1" ht="15.5" x14ac:dyDescent="0.35">
      <c r="R284" s="85"/>
      <c r="S284" s="6"/>
      <c r="W284" s="85"/>
      <c r="X284" s="85">
        <v>32</v>
      </c>
    </row>
    <row r="285" spans="18:24" s="4" customFormat="1" ht="15.5" x14ac:dyDescent="0.35">
      <c r="R285" s="85"/>
      <c r="S285" s="6"/>
      <c r="W285" s="85"/>
      <c r="X285" s="85">
        <v>48</v>
      </c>
    </row>
    <row r="286" spans="18:24" s="4" customFormat="1" ht="15.5" x14ac:dyDescent="0.35">
      <c r="R286" s="85"/>
      <c r="S286" s="6"/>
      <c r="W286" s="85"/>
      <c r="X286" s="85">
        <v>36</v>
      </c>
    </row>
    <row r="287" spans="18:24" s="4" customFormat="1" ht="15.5" x14ac:dyDescent="0.35">
      <c r="R287" s="85"/>
      <c r="S287" s="6"/>
      <c r="W287" s="85"/>
      <c r="X287" s="85">
        <v>55</v>
      </c>
    </row>
    <row r="288" spans="18:24" s="4" customFormat="1" ht="15.5" x14ac:dyDescent="0.35">
      <c r="R288" s="85"/>
      <c r="S288" s="6"/>
      <c r="W288" s="85"/>
      <c r="X288" s="85">
        <v>50</v>
      </c>
    </row>
    <row r="289" spans="18:24" s="4" customFormat="1" ht="15.5" x14ac:dyDescent="0.35">
      <c r="R289" s="85"/>
      <c r="S289" s="6"/>
      <c r="W289" s="85"/>
      <c r="X289" s="85">
        <v>56</v>
      </c>
    </row>
    <row r="290" spans="18:24" s="4" customFormat="1" ht="15.5" x14ac:dyDescent="0.35">
      <c r="R290" s="85"/>
      <c r="S290" s="6"/>
      <c r="W290" s="85"/>
      <c r="X290" s="85">
        <v>67</v>
      </c>
    </row>
    <row r="291" spans="18:24" s="4" customFormat="1" ht="15.5" x14ac:dyDescent="0.35">
      <c r="R291" s="85"/>
      <c r="S291" s="6"/>
      <c r="W291" s="85"/>
      <c r="X291" s="85">
        <v>70</v>
      </c>
    </row>
    <row r="292" spans="18:24" s="4" customFormat="1" ht="15.5" x14ac:dyDescent="0.35">
      <c r="R292" s="85"/>
      <c r="S292" s="6"/>
      <c r="W292" s="85"/>
      <c r="X292" s="85">
        <v>74</v>
      </c>
    </row>
    <row r="293" spans="18:24" s="4" customFormat="1" ht="15.5" x14ac:dyDescent="0.35">
      <c r="R293" s="85"/>
      <c r="S293" s="6"/>
      <c r="W293" s="85"/>
      <c r="X293" s="85">
        <v>74</v>
      </c>
    </row>
    <row r="294" spans="18:24" s="4" customFormat="1" ht="15.5" x14ac:dyDescent="0.35">
      <c r="R294" s="85"/>
      <c r="S294" s="6"/>
      <c r="W294" s="85"/>
      <c r="X294" s="85">
        <v>83</v>
      </c>
    </row>
    <row r="295" spans="18:24" s="4" customFormat="1" ht="15.5" x14ac:dyDescent="0.35">
      <c r="R295" s="85"/>
      <c r="S295" s="6"/>
      <c r="W295" s="85"/>
      <c r="X295" s="85">
        <v>69</v>
      </c>
    </row>
    <row r="296" spans="18:24" s="4" customFormat="1" ht="15.5" x14ac:dyDescent="0.35">
      <c r="R296" s="85"/>
      <c r="S296" s="6"/>
      <c r="W296" s="85"/>
      <c r="X296" s="85">
        <v>77</v>
      </c>
    </row>
    <row r="297" spans="18:24" s="4" customFormat="1" ht="15.5" x14ac:dyDescent="0.35">
      <c r="R297" s="85"/>
      <c r="S297" s="6"/>
      <c r="W297" s="85"/>
      <c r="X297" s="85">
        <v>62</v>
      </c>
    </row>
    <row r="298" spans="18:24" s="4" customFormat="1" ht="15.5" x14ac:dyDescent="0.35">
      <c r="R298" s="85"/>
      <c r="S298" s="6"/>
      <c r="W298" s="85"/>
      <c r="X298" s="85">
        <v>85</v>
      </c>
    </row>
    <row r="299" spans="18:24" s="4" customFormat="1" ht="15.5" x14ac:dyDescent="0.35">
      <c r="R299" s="85"/>
      <c r="S299" s="6"/>
      <c r="W299" s="85"/>
      <c r="X299" s="85">
        <v>66</v>
      </c>
    </row>
    <row r="300" spans="18:24" s="4" customFormat="1" ht="15.5" x14ac:dyDescent="0.35">
      <c r="R300" s="85"/>
      <c r="S300" s="6"/>
      <c r="W300" s="85"/>
      <c r="X300" s="85">
        <v>47</v>
      </c>
    </row>
    <row r="301" spans="18:24" s="4" customFormat="1" ht="15.5" x14ac:dyDescent="0.35">
      <c r="R301" s="85"/>
      <c r="S301" s="6"/>
      <c r="W301" s="85"/>
      <c r="X301" s="85">
        <v>60</v>
      </c>
    </row>
    <row r="302" spans="18:24" s="4" customFormat="1" ht="15.5" x14ac:dyDescent="0.35">
      <c r="R302" s="85"/>
      <c r="S302" s="6"/>
      <c r="W302" s="85"/>
      <c r="X302" s="85">
        <v>67</v>
      </c>
    </row>
    <row r="303" spans="18:24" s="4" customFormat="1" ht="15.5" x14ac:dyDescent="0.35">
      <c r="R303" s="85"/>
      <c r="S303" s="6"/>
      <c r="W303" s="85"/>
      <c r="X303" s="85">
        <v>63</v>
      </c>
    </row>
    <row r="304" spans="18:24" s="4" customFormat="1" ht="15.5" x14ac:dyDescent="0.35">
      <c r="R304" s="85"/>
      <c r="S304" s="6"/>
      <c r="W304" s="85"/>
      <c r="X304" s="85">
        <v>72</v>
      </c>
    </row>
    <row r="305" spans="18:24" s="4" customFormat="1" ht="15.5" x14ac:dyDescent="0.35">
      <c r="R305" s="85"/>
      <c r="S305" s="6"/>
      <c r="W305" s="85"/>
      <c r="X305" s="85">
        <v>66</v>
      </c>
    </row>
    <row r="306" spans="18:24" s="4" customFormat="1" ht="15.5" x14ac:dyDescent="0.35">
      <c r="R306" s="85"/>
      <c r="S306" s="6"/>
      <c r="W306" s="85"/>
      <c r="X306" s="85">
        <v>76</v>
      </c>
    </row>
    <row r="307" spans="18:24" s="4" customFormat="1" ht="15.5" x14ac:dyDescent="0.35">
      <c r="R307" s="85"/>
      <c r="S307" s="6"/>
      <c r="W307" s="85"/>
      <c r="X307" s="85">
        <v>74</v>
      </c>
    </row>
    <row r="308" spans="18:24" s="4" customFormat="1" ht="15.5" x14ac:dyDescent="0.35">
      <c r="R308" s="85"/>
      <c r="S308" s="6"/>
      <c r="W308" s="85"/>
      <c r="X308" s="85">
        <v>63</v>
      </c>
    </row>
    <row r="309" spans="18:24" s="4" customFormat="1" ht="15.5" x14ac:dyDescent="0.35">
      <c r="R309" s="85"/>
      <c r="S309" s="6"/>
      <c r="W309" s="85"/>
      <c r="X309" s="85">
        <v>57</v>
      </c>
    </row>
    <row r="310" spans="18:24" s="4" customFormat="1" ht="15.5" x14ac:dyDescent="0.35">
      <c r="R310" s="85"/>
      <c r="S310" s="6"/>
      <c r="W310" s="85"/>
      <c r="X310" s="85">
        <v>78</v>
      </c>
    </row>
    <row r="311" spans="18:24" s="4" customFormat="1" ht="15.5" x14ac:dyDescent="0.35">
      <c r="R311" s="85"/>
      <c r="S311" s="6"/>
      <c r="W311" s="85"/>
      <c r="X311" s="85">
        <v>58</v>
      </c>
    </row>
    <row r="312" spans="18:24" s="4" customFormat="1" ht="15.5" x14ac:dyDescent="0.35">
      <c r="R312" s="85"/>
      <c r="S312" s="6"/>
      <c r="W312" s="85"/>
      <c r="X312" s="85">
        <v>81</v>
      </c>
    </row>
    <row r="313" spans="18:24" s="4" customFormat="1" ht="15.5" x14ac:dyDescent="0.35">
      <c r="R313" s="85"/>
      <c r="S313" s="6"/>
      <c r="W313" s="85"/>
      <c r="X313" s="85">
        <v>62</v>
      </c>
    </row>
    <row r="314" spans="18:24" s="4" customFormat="1" ht="15.5" x14ac:dyDescent="0.35">
      <c r="R314" s="85"/>
      <c r="S314" s="6"/>
      <c r="W314" s="85"/>
      <c r="X314" s="85">
        <v>76</v>
      </c>
    </row>
    <row r="315" spans="18:24" s="4" customFormat="1" ht="15.5" x14ac:dyDescent="0.35">
      <c r="R315" s="85"/>
      <c r="S315" s="6"/>
      <c r="W315" s="85"/>
      <c r="X315" s="85">
        <v>55</v>
      </c>
    </row>
    <row r="316" spans="18:24" s="4" customFormat="1" ht="15.5" x14ac:dyDescent="0.35">
      <c r="R316" s="85"/>
      <c r="S316" s="6"/>
      <c r="W316" s="85"/>
      <c r="X316" s="85">
        <v>50</v>
      </c>
    </row>
    <row r="317" spans="18:24" s="4" customFormat="1" ht="15.5" x14ac:dyDescent="0.35">
      <c r="R317" s="85"/>
      <c r="S317" s="6"/>
      <c r="W317" s="85"/>
      <c r="X317" s="85">
        <v>80</v>
      </c>
    </row>
    <row r="318" spans="18:24" s="4" customFormat="1" ht="15.5" x14ac:dyDescent="0.35">
      <c r="R318" s="85"/>
      <c r="S318" s="6"/>
      <c r="W318" s="85"/>
      <c r="X318" s="85">
        <v>92</v>
      </c>
    </row>
    <row r="319" spans="18:24" s="4" customFormat="1" ht="15.5" x14ac:dyDescent="0.35">
      <c r="R319" s="85"/>
      <c r="S319" s="6"/>
      <c r="W319" s="85"/>
      <c r="X319" s="85">
        <v>78</v>
      </c>
    </row>
    <row r="320" spans="18:24" s="4" customFormat="1" ht="15.5" x14ac:dyDescent="0.35">
      <c r="R320" s="85"/>
      <c r="S320" s="6"/>
      <c r="W320" s="85"/>
      <c r="X320" s="85">
        <v>18</v>
      </c>
    </row>
    <row r="321" spans="18:24" s="4" customFormat="1" ht="15.5" x14ac:dyDescent="0.35">
      <c r="R321" s="85"/>
      <c r="S321" s="6"/>
      <c r="W321" s="85"/>
      <c r="X321" s="85">
        <v>89</v>
      </c>
    </row>
    <row r="322" spans="18:24" s="4" customFormat="1" ht="15.5" x14ac:dyDescent="0.35">
      <c r="R322" s="85"/>
      <c r="S322" s="6"/>
      <c r="W322" s="85"/>
      <c r="X322" s="85">
        <v>78</v>
      </c>
    </row>
    <row r="323" spans="18:24" s="4" customFormat="1" ht="15.5" x14ac:dyDescent="0.35">
      <c r="R323" s="85"/>
      <c r="S323" s="6"/>
      <c r="W323" s="85"/>
      <c r="X323" s="85">
        <v>88</v>
      </c>
    </row>
    <row r="324" spans="18:24" ht="15.5" x14ac:dyDescent="0.35">
      <c r="S324" s="6"/>
      <c r="X324" s="85">
        <v>64</v>
      </c>
    </row>
    <row r="325" spans="18:24" ht="15.5" x14ac:dyDescent="0.35">
      <c r="S325" s="6"/>
      <c r="X325" s="85">
        <v>80</v>
      </c>
    </row>
    <row r="326" spans="18:24" ht="15.5" x14ac:dyDescent="0.35">
      <c r="S326" s="6"/>
      <c r="X326" s="85">
        <v>66</v>
      </c>
    </row>
    <row r="327" spans="18:24" ht="15.5" x14ac:dyDescent="0.35">
      <c r="S327" s="6"/>
      <c r="X327" s="85">
        <v>81</v>
      </c>
    </row>
    <row r="328" spans="18:24" ht="15.5" x14ac:dyDescent="0.35">
      <c r="S328" s="6"/>
      <c r="X328" s="85">
        <v>77</v>
      </c>
    </row>
    <row r="329" spans="18:24" ht="15.5" x14ac:dyDescent="0.35">
      <c r="S329" s="6"/>
      <c r="X329" s="85">
        <v>81</v>
      </c>
    </row>
    <row r="330" spans="18:24" ht="15.5" x14ac:dyDescent="0.35">
      <c r="S330" s="6"/>
      <c r="X330" s="85">
        <v>78</v>
      </c>
    </row>
    <row r="331" spans="18:24" ht="15.5" x14ac:dyDescent="0.35">
      <c r="S331" s="6"/>
      <c r="X331" s="85">
        <v>71</v>
      </c>
    </row>
    <row r="332" spans="18:24" ht="15.5" x14ac:dyDescent="0.35">
      <c r="S332" s="6"/>
      <c r="X332" s="85">
        <v>72</v>
      </c>
    </row>
    <row r="333" spans="18:24" ht="15.5" x14ac:dyDescent="0.35">
      <c r="S333" s="6"/>
      <c r="X333" s="85">
        <v>67</v>
      </c>
    </row>
    <row r="334" spans="18:24" ht="15.5" x14ac:dyDescent="0.35">
      <c r="S334" s="6"/>
      <c r="X334" s="85">
        <v>68</v>
      </c>
    </row>
    <row r="335" spans="18:24" ht="15.5" x14ac:dyDescent="0.35">
      <c r="S335" s="6"/>
      <c r="X335" s="85">
        <v>63</v>
      </c>
    </row>
    <row r="336" spans="18:24" ht="15.5" x14ac:dyDescent="0.35">
      <c r="S336" s="6"/>
      <c r="X336" s="85">
        <v>71</v>
      </c>
    </row>
    <row r="337" spans="19:24" ht="15.5" x14ac:dyDescent="0.35">
      <c r="S337" s="6"/>
      <c r="X337" s="85">
        <v>51</v>
      </c>
    </row>
    <row r="338" spans="19:24" ht="15.5" x14ac:dyDescent="0.35">
      <c r="S338" s="6"/>
      <c r="X338" s="85">
        <v>41</v>
      </c>
    </row>
    <row r="339" spans="19:24" ht="15.5" x14ac:dyDescent="0.35">
      <c r="S339" s="6"/>
      <c r="X339" s="85">
        <v>21</v>
      </c>
    </row>
    <row r="340" spans="19:24" ht="15.5" x14ac:dyDescent="0.35">
      <c r="S340" s="6"/>
      <c r="X340" s="85">
        <v>13</v>
      </c>
    </row>
    <row r="341" spans="19:24" ht="15.5" x14ac:dyDescent="0.35">
      <c r="S341" s="6"/>
      <c r="X341" s="85">
        <v>25</v>
      </c>
    </row>
    <row r="342" spans="19:24" ht="15.5" x14ac:dyDescent="0.35">
      <c r="S342" s="6"/>
      <c r="X342" s="85">
        <v>27</v>
      </c>
    </row>
    <row r="343" spans="19:24" ht="15.5" x14ac:dyDescent="0.35">
      <c r="S343" s="6"/>
      <c r="X343" s="85">
        <v>37</v>
      </c>
    </row>
    <row r="344" spans="19:24" ht="15.5" x14ac:dyDescent="0.35">
      <c r="S344" s="6"/>
      <c r="X344" s="85">
        <v>29</v>
      </c>
    </row>
    <row r="345" spans="19:24" ht="15.5" x14ac:dyDescent="0.35">
      <c r="S345" s="6"/>
      <c r="X345" s="85">
        <v>30</v>
      </c>
    </row>
    <row r="346" spans="19:24" ht="15.5" x14ac:dyDescent="0.35">
      <c r="S346" s="6"/>
      <c r="X346" s="85">
        <v>18</v>
      </c>
    </row>
    <row r="347" spans="19:24" ht="15.5" x14ac:dyDescent="0.35">
      <c r="S347" s="6"/>
      <c r="X347" s="85">
        <v>24</v>
      </c>
    </row>
    <row r="348" spans="19:24" ht="15.5" x14ac:dyDescent="0.35">
      <c r="S348" s="6"/>
      <c r="X348" s="85">
        <v>24</v>
      </c>
    </row>
    <row r="349" spans="19:24" ht="15.5" x14ac:dyDescent="0.35">
      <c r="S349" s="6"/>
      <c r="X349" s="85">
        <v>47</v>
      </c>
    </row>
    <row r="350" spans="19:24" ht="15.5" x14ac:dyDescent="0.35">
      <c r="S350" s="6"/>
      <c r="X350" s="85">
        <v>34</v>
      </c>
    </row>
    <row r="351" spans="19:24" ht="15.5" x14ac:dyDescent="0.35">
      <c r="S351" s="6"/>
      <c r="X351" s="85">
        <v>31</v>
      </c>
    </row>
    <row r="352" spans="19:24" ht="15.5" x14ac:dyDescent="0.35">
      <c r="S352" s="6"/>
    </row>
    <row r="353" spans="19:19" ht="15.5" x14ac:dyDescent="0.35">
      <c r="S353" s="6"/>
    </row>
    <row r="354" spans="19:19" ht="15.5" x14ac:dyDescent="0.35">
      <c r="S354" s="6"/>
    </row>
    <row r="355" spans="19:19" ht="15.5" x14ac:dyDescent="0.35">
      <c r="S355" s="6"/>
    </row>
    <row r="356" spans="19:19" ht="15.5" x14ac:dyDescent="0.35">
      <c r="S356" s="6"/>
    </row>
    <row r="357" spans="19:19" ht="15.5" x14ac:dyDescent="0.35">
      <c r="S357" s="6"/>
    </row>
    <row r="358" spans="19:19" ht="15.5" x14ac:dyDescent="0.35">
      <c r="S358" s="6"/>
    </row>
    <row r="359" spans="19:19" ht="15.5" x14ac:dyDescent="0.35">
      <c r="S359" s="6"/>
    </row>
    <row r="360" spans="19:19" ht="15.5" x14ac:dyDescent="0.35">
      <c r="S360" s="6"/>
    </row>
    <row r="361" spans="19:19" ht="15.5" x14ac:dyDescent="0.35">
      <c r="S361" s="6"/>
    </row>
    <row r="362" spans="19:19" ht="15.5" x14ac:dyDescent="0.35">
      <c r="S362" s="6"/>
    </row>
    <row r="363" spans="19:19" ht="15.5" x14ac:dyDescent="0.35">
      <c r="S363" s="6"/>
    </row>
    <row r="364" spans="19:19" ht="15.5" x14ac:dyDescent="0.35">
      <c r="S364" s="6"/>
    </row>
    <row r="365" spans="19:19" ht="15.5" x14ac:dyDescent="0.35">
      <c r="S365" s="6"/>
    </row>
    <row r="366" spans="19:19" ht="15.5" x14ac:dyDescent="0.35">
      <c r="S366" s="6"/>
    </row>
  </sheetData>
  <mergeCells count="6">
    <mergeCell ref="C15:D15"/>
    <mergeCell ref="C6:D6"/>
    <mergeCell ref="C7:D7"/>
    <mergeCell ref="C8:D8"/>
    <mergeCell ref="C13:D13"/>
    <mergeCell ref="C14:D14"/>
  </mergeCells>
  <phoneticPr fontId="40" type="noConversion"/>
  <printOptions horizontalCentered="1"/>
  <pageMargins left="0.11811023622047245" right="0.11811023622047245" top="0.15748031496062992" bottom="0.15748031496062992" header="0.31496062992125984" footer="0.31496062992125984"/>
  <pageSetup paperSize="9" scale="71" fitToHeight="11" orientation="landscape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0C566-29D8-4CFA-9752-5013F3DBDE2E}">
  <sheetPr>
    <pageSetUpPr fitToPage="1"/>
  </sheetPr>
  <dimension ref="A1:AB317"/>
  <sheetViews>
    <sheetView zoomScale="59" zoomScaleNormal="55" workbookViewId="0">
      <selection activeCell="E36" sqref="E36"/>
    </sheetView>
  </sheetViews>
  <sheetFormatPr defaultColWidth="14.36328125" defaultRowHeight="14.5" x14ac:dyDescent="0.35"/>
  <cols>
    <col min="1" max="2" width="6.36328125" style="24" customWidth="1"/>
    <col min="3" max="3" width="26.1796875" style="4" customWidth="1"/>
    <col min="4" max="4" width="14.36328125" style="24"/>
    <col min="5" max="16384" width="14.36328125" style="4"/>
  </cols>
  <sheetData>
    <row r="1" spans="1:26" ht="20.149999999999999" customHeight="1" thickBot="1" x14ac:dyDescent="0.4">
      <c r="A1" s="3" t="s">
        <v>3</v>
      </c>
      <c r="B1" s="3"/>
      <c r="D1" s="5" t="s">
        <v>4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 t="s">
        <v>17</v>
      </c>
      <c r="U1" s="151" t="s">
        <v>131</v>
      </c>
      <c r="V1" s="151" t="s">
        <v>132</v>
      </c>
      <c r="W1" s="151" t="s">
        <v>129</v>
      </c>
      <c r="X1" s="152" t="s">
        <v>130</v>
      </c>
    </row>
    <row r="2" spans="1:26" ht="20.149999999999999" customHeight="1" x14ac:dyDescent="0.35">
      <c r="A2" s="8"/>
      <c r="B2" s="9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2"/>
      <c r="U2" s="182">
        <v>101</v>
      </c>
      <c r="V2" s="183">
        <v>33</v>
      </c>
      <c r="W2" s="184">
        <v>93</v>
      </c>
      <c r="X2" s="185">
        <v>75</v>
      </c>
    </row>
    <row r="3" spans="1:26" ht="20.149999999999999" customHeight="1" x14ac:dyDescent="0.35">
      <c r="A3" s="8"/>
      <c r="B3" s="13"/>
      <c r="C3" s="3" t="s">
        <v>78</v>
      </c>
      <c r="D3" s="4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46"/>
      <c r="T3" s="47"/>
      <c r="U3" s="186">
        <v>103</v>
      </c>
      <c r="V3" s="187">
        <v>39</v>
      </c>
      <c r="W3" s="188">
        <v>121</v>
      </c>
      <c r="X3" s="189">
        <v>78</v>
      </c>
      <c r="Y3" s="47"/>
    </row>
    <row r="4" spans="1:26" ht="20.149999999999999" customHeight="1" x14ac:dyDescent="0.35">
      <c r="A4" s="8"/>
      <c r="B4" s="13"/>
      <c r="C4" s="50" t="s">
        <v>177</v>
      </c>
      <c r="D4" s="68"/>
      <c r="E4" s="68"/>
      <c r="F4" s="68"/>
      <c r="G4" s="68"/>
      <c r="H4" s="68"/>
      <c r="I4" s="45" t="s">
        <v>79</v>
      </c>
      <c r="J4" s="6"/>
      <c r="K4" s="6"/>
      <c r="L4" s="6"/>
      <c r="M4" s="6"/>
      <c r="N4" s="6"/>
      <c r="O4" s="6"/>
      <c r="P4" s="6"/>
      <c r="Q4" s="6"/>
      <c r="R4" s="6"/>
      <c r="S4" s="46"/>
      <c r="T4" s="47"/>
      <c r="U4" s="182">
        <v>95</v>
      </c>
      <c r="V4" s="183">
        <v>42</v>
      </c>
      <c r="W4" s="184">
        <v>94</v>
      </c>
      <c r="X4" s="185">
        <v>72</v>
      </c>
      <c r="Y4" s="47"/>
    </row>
    <row r="5" spans="1:26" ht="20.149999999999999" customHeight="1" x14ac:dyDescent="0.35">
      <c r="A5" s="8"/>
      <c r="B5" s="13"/>
      <c r="C5" s="50" t="s">
        <v>176</v>
      </c>
      <c r="D5" s="68"/>
      <c r="E5" s="68"/>
      <c r="F5" s="68"/>
      <c r="G5" s="68"/>
      <c r="H5" s="68"/>
      <c r="I5" s="45" t="s">
        <v>79</v>
      </c>
      <c r="J5" s="6"/>
      <c r="K5" s="6"/>
      <c r="L5" s="6"/>
      <c r="M5" s="6"/>
      <c r="N5" s="6"/>
      <c r="O5" s="6"/>
      <c r="P5" s="6"/>
      <c r="Q5" s="6"/>
      <c r="R5" s="6"/>
      <c r="S5" s="46"/>
      <c r="T5" s="47"/>
      <c r="U5" s="186">
        <v>90</v>
      </c>
      <c r="V5" s="187">
        <v>12</v>
      </c>
      <c r="W5" s="188">
        <v>93</v>
      </c>
      <c r="X5" s="189">
        <v>70</v>
      </c>
      <c r="Y5" s="47"/>
      <c r="Z5" s="4">
        <f>COUNT(U2:X93)</f>
        <v>365</v>
      </c>
    </row>
    <row r="6" spans="1:26" s="69" customFormat="1" ht="20.149999999999999" customHeight="1" x14ac:dyDescent="0.35">
      <c r="A6" s="66"/>
      <c r="B6" s="67"/>
      <c r="C6" s="50"/>
      <c r="D6" s="68"/>
      <c r="E6" s="68"/>
      <c r="F6" s="68"/>
      <c r="G6" s="68"/>
      <c r="H6" s="68"/>
      <c r="I6" s="68"/>
      <c r="J6" s="68"/>
      <c r="K6" s="78"/>
      <c r="L6" s="50"/>
      <c r="M6" s="68"/>
      <c r="N6" s="68"/>
      <c r="O6" s="68"/>
      <c r="P6" s="68"/>
      <c r="Q6" s="68"/>
      <c r="R6" s="68"/>
      <c r="S6" s="46"/>
      <c r="T6" s="47"/>
      <c r="U6" s="182">
        <v>98</v>
      </c>
      <c r="V6" s="183">
        <v>38</v>
      </c>
      <c r="W6" s="184">
        <v>92</v>
      </c>
      <c r="X6" s="185">
        <v>77</v>
      </c>
      <c r="Y6" s="47"/>
    </row>
    <row r="7" spans="1:26" s="69" customFormat="1" ht="20.149999999999999" customHeight="1" x14ac:dyDescent="0.35">
      <c r="A7" s="66"/>
      <c r="B7" s="67"/>
      <c r="C7" s="299" t="s">
        <v>85</v>
      </c>
      <c r="D7" s="299"/>
      <c r="E7" s="68"/>
      <c r="F7" s="68"/>
      <c r="G7" s="68"/>
      <c r="H7" s="89"/>
      <c r="I7" s="68"/>
      <c r="J7" s="68"/>
      <c r="K7" s="78"/>
      <c r="L7" s="50"/>
      <c r="M7" s="68"/>
      <c r="N7" s="68"/>
      <c r="O7" s="68"/>
      <c r="P7" s="68"/>
      <c r="Q7" s="68"/>
      <c r="R7" s="68"/>
      <c r="S7" s="46"/>
      <c r="T7" s="47"/>
      <c r="U7" s="186">
        <v>67</v>
      </c>
      <c r="V7" s="187">
        <v>42</v>
      </c>
      <c r="W7" s="188">
        <v>81</v>
      </c>
      <c r="X7" s="189">
        <v>52</v>
      </c>
      <c r="Y7" s="47"/>
    </row>
    <row r="8" spans="1:26" s="47" customFormat="1" ht="20.149999999999999" customHeight="1" x14ac:dyDescent="0.35">
      <c r="A8" s="48"/>
      <c r="B8" s="49"/>
      <c r="C8" s="300" t="s">
        <v>130</v>
      </c>
      <c r="D8" s="300"/>
      <c r="E8" s="50" t="s">
        <v>80</v>
      </c>
      <c r="F8" s="68"/>
      <c r="G8" s="116">
        <v>35.44</v>
      </c>
      <c r="H8" s="45" t="s">
        <v>81</v>
      </c>
      <c r="I8" s="69"/>
      <c r="J8" s="45"/>
      <c r="K8" s="45"/>
      <c r="L8" s="45"/>
      <c r="M8" s="45"/>
      <c r="N8" s="45"/>
      <c r="O8" s="45"/>
      <c r="P8" s="45"/>
      <c r="Q8" s="45"/>
      <c r="R8" s="45"/>
      <c r="S8" s="46"/>
      <c r="U8" s="182">
        <v>54</v>
      </c>
      <c r="V8" s="183">
        <v>38</v>
      </c>
      <c r="W8" s="184">
        <v>107</v>
      </c>
      <c r="X8" s="185">
        <v>14</v>
      </c>
    </row>
    <row r="9" spans="1:26" ht="20.149999999999999" customHeight="1" x14ac:dyDescent="0.35">
      <c r="A9" s="8"/>
      <c r="B9" s="13"/>
      <c r="C9" s="300" t="s">
        <v>129</v>
      </c>
      <c r="D9" s="300"/>
      <c r="E9" s="50" t="s">
        <v>80</v>
      </c>
      <c r="F9" s="68"/>
      <c r="G9" s="116">
        <v>94.05</v>
      </c>
      <c r="H9" s="45" t="s">
        <v>82</v>
      </c>
      <c r="I9" s="69"/>
      <c r="J9" s="16"/>
      <c r="K9" s="16"/>
      <c r="L9" s="16"/>
      <c r="M9" s="16"/>
      <c r="N9" s="16"/>
      <c r="O9" s="16"/>
      <c r="P9" s="16"/>
      <c r="Q9" s="16"/>
      <c r="R9" s="16"/>
      <c r="S9" s="46"/>
      <c r="T9" s="47"/>
      <c r="U9" s="186">
        <v>40</v>
      </c>
      <c r="V9" s="187">
        <v>13</v>
      </c>
      <c r="W9" s="188">
        <v>98</v>
      </c>
      <c r="X9" s="189">
        <v>66</v>
      </c>
      <c r="Y9" s="47"/>
    </row>
    <row r="10" spans="1:26" s="74" customFormat="1" ht="20.149999999999999" customHeight="1" thickBot="1" x14ac:dyDescent="0.4">
      <c r="A10" s="70"/>
      <c r="B10" s="71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3"/>
      <c r="U10" s="182">
        <v>37</v>
      </c>
      <c r="V10" s="183">
        <v>40</v>
      </c>
      <c r="W10" s="184">
        <v>81</v>
      </c>
      <c r="X10" s="185">
        <v>72</v>
      </c>
    </row>
    <row r="11" spans="1:26" ht="20.149999999999999" customHeight="1" x14ac:dyDescent="0.35">
      <c r="A11" s="8"/>
      <c r="B11" s="8"/>
      <c r="C11" s="6"/>
      <c r="D11" s="8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U11" s="186">
        <v>71</v>
      </c>
      <c r="V11" s="187">
        <v>42</v>
      </c>
      <c r="W11" s="188">
        <v>85</v>
      </c>
      <c r="X11" s="189">
        <v>64</v>
      </c>
    </row>
    <row r="12" spans="1:26" ht="20.149999999999999" customHeight="1" thickBot="1" x14ac:dyDescent="0.4">
      <c r="A12" s="3" t="s">
        <v>5</v>
      </c>
      <c r="B12" s="3"/>
      <c r="C12" s="21"/>
      <c r="D12" s="5" t="s">
        <v>4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7" t="str">
        <f>S1</f>
        <v>Q.4 - Confidence Intervals</v>
      </c>
      <c r="U12" s="182">
        <v>107</v>
      </c>
      <c r="V12" s="183">
        <v>49</v>
      </c>
      <c r="W12" s="184">
        <v>87</v>
      </c>
      <c r="X12" s="185">
        <v>55</v>
      </c>
    </row>
    <row r="13" spans="1:26" ht="20.149999999999999" customHeight="1" x14ac:dyDescent="0.35">
      <c r="A13" s="8"/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2"/>
      <c r="U13" s="186">
        <v>101</v>
      </c>
      <c r="V13" s="187">
        <v>41</v>
      </c>
      <c r="W13" s="188">
        <v>102</v>
      </c>
      <c r="X13" s="189">
        <v>66</v>
      </c>
    </row>
    <row r="14" spans="1:26" s="59" customFormat="1" ht="15.5" x14ac:dyDescent="0.35">
      <c r="A14" s="55"/>
      <c r="B14" s="13"/>
      <c r="C14" s="56"/>
      <c r="D14" s="56"/>
      <c r="E14" s="56"/>
      <c r="F14" s="56"/>
      <c r="G14" s="57"/>
      <c r="H14" s="56"/>
      <c r="I14" s="56"/>
      <c r="J14" s="56"/>
      <c r="K14" s="56"/>
      <c r="L14" s="56"/>
      <c r="M14" s="57"/>
      <c r="N14" s="57"/>
      <c r="O14" s="57"/>
      <c r="P14" s="57"/>
      <c r="Q14" s="57"/>
      <c r="R14" s="57"/>
      <c r="S14" s="58"/>
      <c r="U14" s="182">
        <v>94</v>
      </c>
      <c r="V14" s="183">
        <v>41</v>
      </c>
      <c r="W14" s="184">
        <v>110</v>
      </c>
      <c r="X14" s="185">
        <v>70</v>
      </c>
    </row>
    <row r="15" spans="1:26" ht="20.149999999999999" customHeight="1" x14ac:dyDescent="0.35">
      <c r="A15" s="8"/>
      <c r="B15" s="13"/>
      <c r="E15" s="61"/>
      <c r="F15" s="61"/>
      <c r="G15" s="6"/>
      <c r="H15" s="62"/>
      <c r="I15" s="62"/>
      <c r="J15" s="61"/>
      <c r="K15" s="61"/>
      <c r="L15" s="61"/>
      <c r="M15" s="6"/>
      <c r="N15" s="6"/>
      <c r="O15" s="6"/>
      <c r="P15" s="6"/>
      <c r="Q15" s="6"/>
      <c r="R15" s="6"/>
      <c r="S15" s="15"/>
      <c r="U15" s="186">
        <v>95</v>
      </c>
      <c r="V15" s="187">
        <v>43</v>
      </c>
      <c r="W15" s="188">
        <v>118</v>
      </c>
      <c r="X15" s="189">
        <v>75</v>
      </c>
    </row>
    <row r="16" spans="1:26" ht="20.149999999999999" customHeight="1" x14ac:dyDescent="0.35">
      <c r="A16" s="205"/>
      <c r="B16" s="8"/>
      <c r="E16" s="61"/>
      <c r="F16" s="61"/>
      <c r="G16" s="6"/>
      <c r="H16" s="62"/>
      <c r="I16" s="62"/>
      <c r="M16" s="6"/>
      <c r="N16" s="6"/>
      <c r="O16" s="6"/>
      <c r="P16" s="6"/>
      <c r="Q16" s="6"/>
      <c r="R16" s="6"/>
      <c r="S16" s="15"/>
      <c r="U16" s="182">
        <v>96</v>
      </c>
      <c r="V16" s="183">
        <v>54</v>
      </c>
      <c r="W16" s="184">
        <v>106</v>
      </c>
      <c r="X16" s="185">
        <v>75</v>
      </c>
    </row>
    <row r="17" spans="1:24" ht="20.149999999999999" customHeight="1" x14ac:dyDescent="0.35">
      <c r="A17" s="205"/>
      <c r="E17" s="61"/>
      <c r="F17" s="61"/>
      <c r="G17" s="6"/>
      <c r="H17" s="62"/>
      <c r="I17" s="62"/>
      <c r="J17" s="62"/>
      <c r="K17" s="61"/>
      <c r="L17" s="61"/>
      <c r="M17" s="6"/>
      <c r="N17" s="6"/>
      <c r="O17" s="6"/>
      <c r="P17" s="6"/>
      <c r="Q17" s="6"/>
      <c r="R17" s="6"/>
      <c r="S17" s="15"/>
      <c r="U17" s="186">
        <v>74</v>
      </c>
      <c r="V17" s="187">
        <v>65</v>
      </c>
      <c r="W17" s="188">
        <v>89</v>
      </c>
      <c r="X17" s="189">
        <v>72</v>
      </c>
    </row>
    <row r="18" spans="1:24" ht="20.149999999999999" customHeight="1" x14ac:dyDescent="0.35">
      <c r="A18" s="205"/>
      <c r="C18" s="60"/>
      <c r="D18" s="60"/>
      <c r="E18" s="61"/>
      <c r="F18" s="61"/>
      <c r="G18" s="6"/>
      <c r="H18" s="62"/>
      <c r="I18" s="62"/>
      <c r="J18" s="62"/>
      <c r="M18" s="6"/>
      <c r="N18" s="6"/>
      <c r="O18" s="6"/>
      <c r="P18" s="6"/>
      <c r="Q18" s="6"/>
      <c r="R18" s="6"/>
      <c r="S18" s="15"/>
      <c r="U18" s="182">
        <v>95</v>
      </c>
      <c r="V18" s="183">
        <v>62</v>
      </c>
      <c r="W18" s="184">
        <v>91</v>
      </c>
      <c r="X18" s="185">
        <v>55</v>
      </c>
    </row>
    <row r="19" spans="1:24" ht="20.149999999999999" customHeight="1" x14ac:dyDescent="0.35">
      <c r="A19" s="205"/>
      <c r="C19"/>
      <c r="D19"/>
      <c r="F19" s="26"/>
      <c r="G19" s="60"/>
      <c r="H19" s="61"/>
      <c r="I19" s="62"/>
      <c r="J19" s="62"/>
      <c r="K19" s="62"/>
      <c r="L19" s="62"/>
      <c r="M19" s="6"/>
      <c r="N19" s="6"/>
      <c r="O19" s="6"/>
      <c r="P19" s="6"/>
      <c r="Q19" s="6"/>
      <c r="R19" s="6"/>
      <c r="S19" s="15"/>
      <c r="U19" s="186">
        <v>91</v>
      </c>
      <c r="V19" s="187">
        <v>49</v>
      </c>
      <c r="W19" s="188">
        <v>87</v>
      </c>
      <c r="X19" s="189">
        <v>48</v>
      </c>
    </row>
    <row r="20" spans="1:24" ht="20.149999999999999" customHeight="1" x14ac:dyDescent="0.35">
      <c r="A20" s="205"/>
      <c r="C20"/>
      <c r="D20"/>
      <c r="H20" s="148"/>
      <c r="I20" s="62"/>
      <c r="J20" s="62"/>
      <c r="K20" s="62"/>
      <c r="L20" s="62"/>
      <c r="M20" s="6"/>
      <c r="N20" s="6"/>
      <c r="O20" s="6"/>
      <c r="P20" s="6"/>
      <c r="Q20" s="6"/>
      <c r="R20" s="6"/>
      <c r="S20" s="15"/>
      <c r="U20" s="182">
        <v>85</v>
      </c>
      <c r="V20" s="183">
        <v>42</v>
      </c>
      <c r="W20" s="184">
        <v>76</v>
      </c>
      <c r="X20" s="185">
        <v>68</v>
      </c>
    </row>
    <row r="21" spans="1:24" ht="18.5" x14ac:dyDescent="0.45">
      <c r="A21" s="205"/>
      <c r="C21" s="237"/>
      <c r="D21" s="237" t="s">
        <v>131</v>
      </c>
      <c r="E21" s="237" t="s">
        <v>132</v>
      </c>
      <c r="F21" s="237" t="s">
        <v>129</v>
      </c>
      <c r="G21" s="237" t="s">
        <v>130</v>
      </c>
      <c r="H21" s="61"/>
      <c r="I21" s="6"/>
      <c r="K21" s="6"/>
      <c r="L21" s="6"/>
      <c r="M21" s="6"/>
      <c r="N21" s="6"/>
      <c r="O21" s="6"/>
      <c r="P21" s="6"/>
      <c r="Q21" s="6"/>
      <c r="R21" s="6"/>
      <c r="S21" s="15"/>
      <c r="U21" s="186">
        <v>91</v>
      </c>
      <c r="V21" s="187">
        <v>54</v>
      </c>
      <c r="W21" s="188">
        <v>68</v>
      </c>
      <c r="X21" s="189">
        <v>75</v>
      </c>
    </row>
    <row r="22" spans="1:24" ht="18.5" x14ac:dyDescent="0.45">
      <c r="A22" s="205"/>
      <c r="C22" s="238"/>
      <c r="D22" s="238"/>
      <c r="E22" s="238"/>
      <c r="F22" s="238"/>
      <c r="G22" s="238"/>
      <c r="H22" s="6"/>
      <c r="I22" s="6"/>
      <c r="J22" s="6"/>
      <c r="K22" s="6"/>
      <c r="L22" s="6"/>
      <c r="M22" s="6"/>
      <c r="N22" s="6"/>
      <c r="O22" s="6"/>
      <c r="S22" s="15"/>
      <c r="U22" s="181">
        <v>53</v>
      </c>
      <c r="V22" s="190">
        <v>73</v>
      </c>
      <c r="W22" s="183">
        <v>42</v>
      </c>
      <c r="X22" s="191">
        <v>66</v>
      </c>
    </row>
    <row r="23" spans="1:24" ht="18.5" x14ac:dyDescent="0.45">
      <c r="A23" s="205"/>
      <c r="C23" s="243" t="s">
        <v>101</v>
      </c>
      <c r="D23" s="244">
        <v>77.869565217391298</v>
      </c>
      <c r="E23" s="244">
        <v>64.714285714285708</v>
      </c>
      <c r="F23" s="244">
        <v>91.677777777777777</v>
      </c>
      <c r="G23" s="244">
        <v>38.630434782608695</v>
      </c>
      <c r="H23" s="6"/>
      <c r="I23" s="6"/>
      <c r="J23" s="6"/>
      <c r="K23" s="6"/>
      <c r="L23" s="6"/>
      <c r="M23" s="6"/>
      <c r="N23" s="6"/>
      <c r="O23" s="6"/>
      <c r="S23" s="15"/>
      <c r="U23" s="186">
        <v>87</v>
      </c>
      <c r="V23" s="187">
        <v>37</v>
      </c>
      <c r="W23" s="188">
        <v>72</v>
      </c>
      <c r="X23" s="189">
        <v>62</v>
      </c>
    </row>
    <row r="24" spans="1:24" ht="18.5" x14ac:dyDescent="0.45">
      <c r="A24" s="205"/>
      <c r="C24" s="245" t="s">
        <v>102</v>
      </c>
      <c r="D24" s="246">
        <v>2.1254390171446111</v>
      </c>
      <c r="E24" s="246">
        <v>2.5347540702022293</v>
      </c>
      <c r="F24" s="246">
        <v>1.4243142580071633</v>
      </c>
      <c r="G24" s="246">
        <v>1.9187209437629238</v>
      </c>
      <c r="H24" s="6"/>
      <c r="I24" s="6"/>
      <c r="J24" s="6"/>
      <c r="K24" s="6"/>
      <c r="L24" s="6"/>
      <c r="M24" s="6"/>
      <c r="N24" s="6"/>
      <c r="O24" s="6"/>
      <c r="S24" s="15"/>
      <c r="U24" s="182">
        <v>96</v>
      </c>
      <c r="V24" s="183">
        <v>44</v>
      </c>
      <c r="W24" s="184">
        <v>76</v>
      </c>
      <c r="X24" s="185">
        <v>44</v>
      </c>
    </row>
    <row r="25" spans="1:24" ht="18.5" x14ac:dyDescent="0.45">
      <c r="A25" s="205"/>
      <c r="C25" s="238" t="s">
        <v>103</v>
      </c>
      <c r="D25" s="239">
        <v>81.5</v>
      </c>
      <c r="E25" s="239">
        <v>65</v>
      </c>
      <c r="F25" s="239">
        <v>93</v>
      </c>
      <c r="G25" s="239">
        <v>32</v>
      </c>
      <c r="H25" s="6"/>
      <c r="I25" s="6"/>
      <c r="J25" s="6"/>
      <c r="K25" s="6"/>
      <c r="L25" s="6"/>
      <c r="M25" s="6"/>
      <c r="N25" s="6"/>
      <c r="O25" s="6"/>
      <c r="S25" s="15"/>
      <c r="U25" s="186">
        <v>48</v>
      </c>
      <c r="V25" s="188">
        <v>50</v>
      </c>
      <c r="W25" s="188">
        <v>92</v>
      </c>
      <c r="X25" s="189">
        <v>20</v>
      </c>
    </row>
    <row r="26" spans="1:24" ht="18.5" x14ac:dyDescent="0.45">
      <c r="A26" s="205"/>
      <c r="C26" s="238" t="s">
        <v>104</v>
      </c>
      <c r="D26" s="239">
        <v>73</v>
      </c>
      <c r="E26" s="239">
        <v>42</v>
      </c>
      <c r="F26" s="239">
        <v>93</v>
      </c>
      <c r="G26" s="239">
        <v>20</v>
      </c>
      <c r="H26" s="6"/>
      <c r="I26" s="6"/>
      <c r="J26" s="6"/>
      <c r="K26" s="6"/>
      <c r="L26" s="6"/>
      <c r="M26" s="6"/>
      <c r="N26" s="6"/>
      <c r="O26" s="6"/>
      <c r="S26" s="15"/>
      <c r="U26" s="182">
        <v>109</v>
      </c>
      <c r="V26" s="184">
        <v>33</v>
      </c>
      <c r="W26" s="184">
        <v>93</v>
      </c>
      <c r="X26" s="185">
        <v>15</v>
      </c>
    </row>
    <row r="27" spans="1:24" ht="18.5" x14ac:dyDescent="0.45">
      <c r="A27" s="205"/>
      <c r="C27" s="238" t="s">
        <v>105</v>
      </c>
      <c r="D27" s="239">
        <v>20.386494878601859</v>
      </c>
      <c r="E27" s="239">
        <v>24.180012735170671</v>
      </c>
      <c r="F27" s="239">
        <v>13.512231477466061</v>
      </c>
      <c r="G27" s="239">
        <v>18.403724773077123</v>
      </c>
      <c r="H27" s="6"/>
      <c r="I27" s="6"/>
      <c r="J27" s="6"/>
      <c r="K27" s="6"/>
      <c r="L27" s="6"/>
      <c r="M27" s="6"/>
      <c r="N27" s="6"/>
      <c r="O27" s="6"/>
      <c r="S27" s="15"/>
      <c r="U27" s="186">
        <v>100</v>
      </c>
      <c r="V27" s="188">
        <v>40</v>
      </c>
      <c r="W27" s="188">
        <v>88</v>
      </c>
      <c r="X27" s="189">
        <v>27</v>
      </c>
    </row>
    <row r="28" spans="1:24" ht="18.5" x14ac:dyDescent="0.45">
      <c r="A28" s="205"/>
      <c r="C28" s="238" t="s">
        <v>106</v>
      </c>
      <c r="D28" s="239">
        <v>415.60917343525983</v>
      </c>
      <c r="E28" s="239">
        <v>584.67301587301574</v>
      </c>
      <c r="F28" s="239">
        <v>182.58039950062468</v>
      </c>
      <c r="G28" s="239">
        <v>338.69708552317257</v>
      </c>
      <c r="H28" s="6"/>
      <c r="I28" s="6"/>
      <c r="J28" s="6"/>
      <c r="K28" s="6"/>
      <c r="L28" s="6"/>
      <c r="M28" s="6"/>
      <c r="N28" s="6"/>
      <c r="O28" s="6"/>
      <c r="S28" s="15"/>
      <c r="U28" s="182">
        <v>93</v>
      </c>
      <c r="V28" s="184">
        <v>48</v>
      </c>
      <c r="W28" s="184">
        <v>77</v>
      </c>
      <c r="X28" s="185">
        <v>23</v>
      </c>
    </row>
    <row r="29" spans="1:24" ht="18.5" x14ac:dyDescent="0.45">
      <c r="A29" s="205"/>
      <c r="C29" s="238" t="s">
        <v>107</v>
      </c>
      <c r="D29" s="239">
        <v>0.30745349512596531</v>
      </c>
      <c r="E29" s="239">
        <v>-1.0272331641723995</v>
      </c>
      <c r="F29" s="239">
        <v>6.4526920491749244</v>
      </c>
      <c r="G29" s="239">
        <v>-0.52340035947503738</v>
      </c>
      <c r="H29" s="6"/>
      <c r="I29" s="6"/>
      <c r="J29" s="6"/>
      <c r="K29" s="6"/>
      <c r="L29" s="6"/>
      <c r="M29" s="6"/>
      <c r="N29" s="6"/>
      <c r="O29" s="6"/>
      <c r="S29" s="15"/>
      <c r="U29" s="186">
        <v>83</v>
      </c>
      <c r="V29" s="188">
        <v>30</v>
      </c>
      <c r="W29" s="188">
        <v>89</v>
      </c>
      <c r="X29" s="189">
        <v>46</v>
      </c>
    </row>
    <row r="30" spans="1:24" ht="18.5" x14ac:dyDescent="0.45">
      <c r="A30" s="205"/>
      <c r="C30" s="238" t="s">
        <v>108</v>
      </c>
      <c r="D30" s="239">
        <v>-0.77452719701227557</v>
      </c>
      <c r="E30" s="239">
        <v>-0.13239494226991447</v>
      </c>
      <c r="F30" s="239">
        <v>-1.4239800748346134</v>
      </c>
      <c r="G30" s="239">
        <v>0.71748706756655778</v>
      </c>
      <c r="H30" s="6"/>
      <c r="I30" s="6"/>
      <c r="J30" s="6"/>
      <c r="K30" s="6"/>
      <c r="L30" s="6"/>
      <c r="M30" s="6"/>
      <c r="N30" s="6"/>
      <c r="O30" s="6"/>
      <c r="S30" s="15"/>
      <c r="U30" s="182">
        <v>79</v>
      </c>
      <c r="V30" s="184">
        <v>34</v>
      </c>
      <c r="W30" s="184">
        <v>86</v>
      </c>
      <c r="X30" s="185">
        <v>48</v>
      </c>
    </row>
    <row r="31" spans="1:24" ht="18.5" x14ac:dyDescent="0.45">
      <c r="A31" s="205"/>
      <c r="C31" s="238" t="s">
        <v>109</v>
      </c>
      <c r="D31" s="239">
        <v>98</v>
      </c>
      <c r="E31" s="239">
        <v>104</v>
      </c>
      <c r="F31" s="239">
        <v>98</v>
      </c>
      <c r="G31" s="239">
        <v>70</v>
      </c>
      <c r="H31" s="6"/>
      <c r="I31" s="6"/>
      <c r="J31" s="6"/>
      <c r="K31" s="6"/>
      <c r="L31" s="6"/>
      <c r="M31" s="6"/>
      <c r="N31" s="6"/>
      <c r="O31" s="6"/>
      <c r="S31" s="15"/>
      <c r="U31" s="186">
        <v>97</v>
      </c>
      <c r="V31" s="188">
        <v>44</v>
      </c>
      <c r="W31" s="188">
        <v>86</v>
      </c>
      <c r="X31" s="189">
        <v>60</v>
      </c>
    </row>
    <row r="32" spans="1:24" ht="18.5" x14ac:dyDescent="0.45">
      <c r="A32" s="205"/>
      <c r="C32" s="238" t="s">
        <v>110</v>
      </c>
      <c r="D32" s="239">
        <v>12</v>
      </c>
      <c r="E32" s="239">
        <v>12</v>
      </c>
      <c r="F32" s="239">
        <v>23</v>
      </c>
      <c r="G32" s="239">
        <v>8</v>
      </c>
      <c r="H32" s="6"/>
      <c r="I32" s="6"/>
      <c r="J32" s="6"/>
      <c r="K32" s="6"/>
      <c r="L32" s="6"/>
      <c r="M32" s="6"/>
      <c r="N32" s="6"/>
      <c r="O32" s="6"/>
      <c r="S32" s="15"/>
      <c r="U32" s="182">
        <v>104</v>
      </c>
      <c r="V32" s="184">
        <v>45</v>
      </c>
      <c r="W32" s="184">
        <v>97</v>
      </c>
      <c r="X32" s="185">
        <v>49</v>
      </c>
    </row>
    <row r="33" spans="1:24" ht="18.5" x14ac:dyDescent="0.45">
      <c r="A33" s="8"/>
      <c r="B33" s="13"/>
      <c r="C33" s="238" t="s">
        <v>111</v>
      </c>
      <c r="D33" s="239">
        <v>110</v>
      </c>
      <c r="E33" s="239">
        <v>116</v>
      </c>
      <c r="F33" s="239">
        <v>121</v>
      </c>
      <c r="G33" s="239">
        <v>78</v>
      </c>
      <c r="H33" s="6"/>
      <c r="I33" s="6"/>
      <c r="J33" s="6"/>
      <c r="K33" s="6"/>
      <c r="L33" s="6"/>
      <c r="M33" s="6"/>
      <c r="N33" s="6"/>
      <c r="O33" s="6"/>
      <c r="S33" s="15"/>
      <c r="U33" s="186">
        <v>49</v>
      </c>
      <c r="V33" s="188">
        <v>65</v>
      </c>
      <c r="W33" s="188">
        <v>71</v>
      </c>
      <c r="X33" s="189">
        <v>20</v>
      </c>
    </row>
    <row r="34" spans="1:24" ht="18.5" x14ac:dyDescent="0.45">
      <c r="A34" s="8"/>
      <c r="B34" s="13"/>
      <c r="C34" s="238" t="s">
        <v>112</v>
      </c>
      <c r="D34" s="239">
        <v>7164</v>
      </c>
      <c r="E34" s="239">
        <v>5889</v>
      </c>
      <c r="F34" s="239">
        <v>8251</v>
      </c>
      <c r="G34" s="239">
        <v>3554</v>
      </c>
      <c r="H34" s="6"/>
      <c r="I34" s="6"/>
      <c r="J34" s="6"/>
      <c r="K34" s="6"/>
      <c r="L34" s="6"/>
      <c r="M34" s="6"/>
      <c r="N34" s="6"/>
      <c r="O34" s="6"/>
      <c r="S34" s="15"/>
      <c r="U34" s="182">
        <v>58</v>
      </c>
      <c r="V34" s="184">
        <v>63</v>
      </c>
      <c r="W34" s="184">
        <v>92</v>
      </c>
      <c r="X34" s="185">
        <v>16</v>
      </c>
    </row>
    <row r="35" spans="1:24" ht="18.5" x14ac:dyDescent="0.45">
      <c r="A35" s="8"/>
      <c r="B35" s="13"/>
      <c r="C35" s="238" t="s">
        <v>113</v>
      </c>
      <c r="D35" s="239">
        <v>92</v>
      </c>
      <c r="E35" s="239">
        <v>91</v>
      </c>
      <c r="F35" s="239">
        <v>90</v>
      </c>
      <c r="G35" s="239">
        <v>92</v>
      </c>
      <c r="H35" s="6"/>
      <c r="I35" s="6"/>
      <c r="J35" s="6"/>
      <c r="K35" s="6"/>
      <c r="L35" s="6"/>
      <c r="M35" s="6"/>
      <c r="N35" s="6"/>
      <c r="O35" s="6"/>
      <c r="S35" s="15"/>
      <c r="U35" s="186">
        <v>72</v>
      </c>
      <c r="V35" s="188">
        <v>36</v>
      </c>
      <c r="W35" s="188">
        <v>97</v>
      </c>
      <c r="X35" s="189">
        <v>27</v>
      </c>
    </row>
    <row r="36" spans="1:24" ht="37" x14ac:dyDescent="0.35">
      <c r="A36" s="8"/>
      <c r="B36" s="13"/>
      <c r="C36" s="247" t="s">
        <v>157</v>
      </c>
      <c r="D36" s="248">
        <v>91</v>
      </c>
      <c r="E36" s="249">
        <v>90</v>
      </c>
      <c r="F36" s="249">
        <v>89</v>
      </c>
      <c r="G36" s="249">
        <v>91</v>
      </c>
      <c r="H36" s="6"/>
      <c r="I36" s="6"/>
      <c r="J36" s="6"/>
      <c r="K36" s="6"/>
      <c r="L36" s="6"/>
      <c r="M36" s="6"/>
      <c r="N36" s="6"/>
      <c r="O36" s="6"/>
      <c r="S36" s="15"/>
      <c r="U36" s="182">
        <v>89</v>
      </c>
      <c r="V36" s="184">
        <v>56</v>
      </c>
      <c r="W36" s="184">
        <v>85</v>
      </c>
      <c r="X36" s="185">
        <v>31</v>
      </c>
    </row>
    <row r="37" spans="1:24" ht="37" x14ac:dyDescent="0.35">
      <c r="A37" s="8"/>
      <c r="B37" s="13"/>
      <c r="C37" s="250" t="s">
        <v>158</v>
      </c>
      <c r="D37" s="251">
        <v>0.95</v>
      </c>
      <c r="E37" s="251">
        <v>0.95</v>
      </c>
      <c r="F37" s="251">
        <v>0.95</v>
      </c>
      <c r="G37" s="251">
        <v>0.95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15"/>
      <c r="U37" s="186">
        <v>96</v>
      </c>
      <c r="V37" s="188">
        <v>62</v>
      </c>
      <c r="W37" s="188">
        <v>76</v>
      </c>
      <c r="X37" s="189">
        <v>32</v>
      </c>
    </row>
    <row r="38" spans="1:24" ht="18.5" x14ac:dyDescent="0.35">
      <c r="A38" s="8"/>
      <c r="B38" s="13"/>
      <c r="C38" s="252" t="s">
        <v>134</v>
      </c>
      <c r="D38" s="253">
        <v>0.05</v>
      </c>
      <c r="E38" s="253">
        <v>0.05</v>
      </c>
      <c r="F38" s="253">
        <v>0.05</v>
      </c>
      <c r="G38" s="253">
        <v>0.05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15"/>
      <c r="U38" s="182">
        <v>96</v>
      </c>
      <c r="V38" s="184">
        <v>29</v>
      </c>
      <c r="W38" s="184">
        <v>87</v>
      </c>
      <c r="X38" s="185">
        <v>32</v>
      </c>
    </row>
    <row r="39" spans="1:24" ht="20.149999999999999" customHeight="1" x14ac:dyDescent="0.35">
      <c r="A39" s="8"/>
      <c r="B39" s="13"/>
      <c r="C39" s="254" t="s">
        <v>159</v>
      </c>
      <c r="D39" s="255">
        <f>-_xlfn.T.INV(D38,D36)</f>
        <v>1.6617711550616978</v>
      </c>
      <c r="E39" s="254">
        <f>-_xlfn.T.INV(E38,E36)</f>
        <v>1.661961084030164</v>
      </c>
      <c r="F39" s="254">
        <f>-_xlfn.T.INV(F38,F36)</f>
        <v>1.6621553258697011</v>
      </c>
      <c r="G39" s="254">
        <f>-_xlfn.T.INV(G38,G36)</f>
        <v>1.6617711550616978</v>
      </c>
      <c r="H39" s="28"/>
      <c r="I39" s="6"/>
      <c r="J39" s="6"/>
      <c r="K39" s="6"/>
      <c r="L39" s="6"/>
      <c r="M39" s="6"/>
      <c r="N39" s="6"/>
      <c r="O39" s="6"/>
      <c r="P39" s="6"/>
      <c r="Q39" s="6"/>
      <c r="R39" s="6"/>
      <c r="S39" s="15"/>
      <c r="U39" s="186">
        <v>100</v>
      </c>
      <c r="V39" s="188">
        <v>50</v>
      </c>
      <c r="W39" s="188">
        <v>92</v>
      </c>
      <c r="X39" s="189">
        <v>30</v>
      </c>
    </row>
    <row r="40" spans="1:24" ht="20.149999999999999" customHeight="1" x14ac:dyDescent="0.35">
      <c r="A40" s="8"/>
      <c r="B40" s="13"/>
      <c r="C40" s="256" t="s">
        <v>117</v>
      </c>
      <c r="D40" s="257">
        <f>D23-D39*D27/SQRT(D35)</f>
        <v>74.337571966857695</v>
      </c>
      <c r="E40" s="257">
        <f t="shared" ref="E40:G40" si="0">E23-E39*E27/SQRT(E35)</f>
        <v>60.501623092022541</v>
      </c>
      <c r="F40" s="257">
        <f t="shared" si="0"/>
        <v>89.310346248119018</v>
      </c>
      <c r="G40" s="257">
        <f t="shared" si="0"/>
        <v>35.441959663650707</v>
      </c>
      <c r="H40" s="28"/>
      <c r="I40" s="6"/>
      <c r="J40" s="6"/>
      <c r="K40" s="6"/>
      <c r="L40" s="6"/>
      <c r="M40" s="29"/>
      <c r="N40" s="6"/>
      <c r="O40" s="6"/>
      <c r="P40" s="6"/>
      <c r="Q40" s="6"/>
      <c r="R40" s="6"/>
      <c r="S40" s="15"/>
      <c r="U40" s="182">
        <v>108</v>
      </c>
      <c r="V40" s="184">
        <v>58</v>
      </c>
      <c r="W40" s="184">
        <v>96</v>
      </c>
      <c r="X40" s="185">
        <v>19</v>
      </c>
    </row>
    <row r="41" spans="1:24" ht="20.149999999999999" customHeight="1" x14ac:dyDescent="0.35">
      <c r="A41" s="8"/>
      <c r="B41" s="13"/>
      <c r="C41" s="258" t="s">
        <v>118</v>
      </c>
      <c r="D41" s="259">
        <f>D23+D39*D27/SQRT(D35)</f>
        <v>81.4015584679249</v>
      </c>
      <c r="E41" s="259">
        <f t="shared" ref="E41:G41" si="1">E23+E39*E27/SQRT(E35)</f>
        <v>68.926948336548875</v>
      </c>
      <c r="F41" s="259">
        <f t="shared" si="1"/>
        <v>94.045209307436537</v>
      </c>
      <c r="G41" s="259">
        <f t="shared" si="1"/>
        <v>41.818909901566684</v>
      </c>
      <c r="H41" s="28"/>
      <c r="I41" s="6"/>
      <c r="J41" s="6"/>
      <c r="K41" s="6"/>
      <c r="L41" s="6"/>
      <c r="M41" s="29"/>
      <c r="N41" s="6"/>
      <c r="O41" s="6"/>
      <c r="P41" s="6"/>
      <c r="Q41" s="6"/>
      <c r="R41" s="6"/>
      <c r="S41" s="15"/>
      <c r="U41" s="186">
        <v>110</v>
      </c>
      <c r="V41" s="188">
        <v>67</v>
      </c>
      <c r="W41" s="188">
        <v>96</v>
      </c>
      <c r="X41" s="189">
        <v>16</v>
      </c>
    </row>
    <row r="42" spans="1:24" ht="20.149999999999999" customHeight="1" x14ac:dyDescent="0.35">
      <c r="A42" s="8"/>
      <c r="B42" s="13"/>
      <c r="C42" s="6"/>
      <c r="D42" s="8"/>
      <c r="E42" s="6"/>
      <c r="F42" s="6"/>
      <c r="G42" s="6"/>
      <c r="H42" s="28"/>
      <c r="I42" s="6"/>
      <c r="J42" s="6"/>
      <c r="K42" s="6"/>
      <c r="L42" s="6"/>
      <c r="M42" s="29"/>
      <c r="N42" s="6"/>
      <c r="O42" s="6"/>
      <c r="P42" s="6"/>
      <c r="Q42" s="6"/>
      <c r="R42" s="6"/>
      <c r="S42" s="15"/>
      <c r="U42" s="182">
        <v>102</v>
      </c>
      <c r="V42" s="184">
        <v>41</v>
      </c>
      <c r="W42" s="184">
        <v>98</v>
      </c>
      <c r="X42" s="185">
        <v>27</v>
      </c>
    </row>
    <row r="43" spans="1:24" ht="20.149999999999999" customHeight="1" x14ac:dyDescent="0.35">
      <c r="A43" s="8"/>
      <c r="B43" s="13"/>
      <c r="C43" s="6"/>
      <c r="D43" s="8"/>
      <c r="E43" s="6"/>
      <c r="F43" s="6"/>
      <c r="G43" s="6"/>
      <c r="H43" s="28"/>
      <c r="I43" s="6"/>
      <c r="J43" s="6"/>
      <c r="K43" s="6"/>
      <c r="L43" s="6"/>
      <c r="M43" s="29"/>
      <c r="N43" s="6"/>
      <c r="O43" s="6"/>
      <c r="P43" s="6"/>
      <c r="Q43" s="6"/>
      <c r="R43" s="6"/>
      <c r="S43" s="15"/>
      <c r="U43" s="186">
        <v>91</v>
      </c>
      <c r="V43" s="188">
        <v>43</v>
      </c>
      <c r="W43" s="188">
        <v>83</v>
      </c>
      <c r="X43" s="189">
        <v>25</v>
      </c>
    </row>
    <row r="44" spans="1:24" ht="20.149999999999999" customHeight="1" x14ac:dyDescent="0.35">
      <c r="A44" s="8"/>
      <c r="B44" s="13"/>
      <c r="C44" s="6"/>
      <c r="D44" s="8"/>
      <c r="E44" s="6"/>
      <c r="F44" s="6"/>
      <c r="G44" s="28"/>
      <c r="H44" s="28"/>
      <c r="I44" s="6"/>
      <c r="J44" s="6"/>
      <c r="K44" s="6"/>
      <c r="L44" s="6"/>
      <c r="M44" s="29"/>
      <c r="N44" s="6"/>
      <c r="O44" s="6"/>
      <c r="P44" s="6"/>
      <c r="Q44" s="6"/>
      <c r="R44" s="6"/>
      <c r="S44" s="15"/>
      <c r="U44" s="182">
        <v>48</v>
      </c>
      <c r="V44" s="184">
        <v>66</v>
      </c>
      <c r="W44" s="184">
        <v>77</v>
      </c>
      <c r="X44" s="185">
        <v>24</v>
      </c>
    </row>
    <row r="45" spans="1:24" ht="20.149999999999999" customHeight="1" thickBot="1" x14ac:dyDescent="0.4">
      <c r="A45" s="8"/>
      <c r="B45" s="17"/>
      <c r="C45" s="18"/>
      <c r="D45" s="19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20"/>
      <c r="U45" s="186">
        <v>58</v>
      </c>
      <c r="V45" s="188">
        <v>63</v>
      </c>
      <c r="W45" s="188">
        <v>87</v>
      </c>
      <c r="X45" s="189">
        <v>28</v>
      </c>
    </row>
    <row r="46" spans="1:24" ht="20.149999999999999" customHeight="1" x14ac:dyDescent="0.35">
      <c r="A46" s="8"/>
      <c r="B46" s="8"/>
      <c r="C46" s="6"/>
      <c r="D46" s="8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U46" s="182">
        <v>73</v>
      </c>
      <c r="V46" s="184">
        <v>15</v>
      </c>
      <c r="W46" s="184">
        <v>94</v>
      </c>
      <c r="X46" s="185">
        <v>28</v>
      </c>
    </row>
    <row r="47" spans="1:24" ht="20.149999999999999" customHeight="1" x14ac:dyDescent="0.35">
      <c r="A47" s="3" t="s">
        <v>6</v>
      </c>
      <c r="B47" s="3"/>
      <c r="C47" s="6"/>
      <c r="D47" s="5" t="s">
        <v>7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7"/>
      <c r="U47" s="186">
        <v>104</v>
      </c>
      <c r="V47" s="188">
        <v>75</v>
      </c>
      <c r="W47" s="188">
        <v>94</v>
      </c>
      <c r="X47" s="189">
        <v>25</v>
      </c>
    </row>
    <row r="48" spans="1:24" ht="20.149999999999999" customHeight="1" x14ac:dyDescent="0.3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182">
        <v>101</v>
      </c>
      <c r="V48" s="184">
        <v>68</v>
      </c>
      <c r="W48" s="184">
        <v>76</v>
      </c>
      <c r="X48" s="185">
        <v>24</v>
      </c>
    </row>
    <row r="49" spans="4:24" ht="20.149999999999999" customHeight="1" x14ac:dyDescent="0.35"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86">
        <v>91</v>
      </c>
      <c r="V49" s="188">
        <v>64</v>
      </c>
      <c r="W49" s="188">
        <v>83</v>
      </c>
      <c r="X49" s="189">
        <v>20</v>
      </c>
    </row>
    <row r="50" spans="4:24" ht="20.149999999999999" customHeight="1" x14ac:dyDescent="0.35"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182">
        <v>95</v>
      </c>
      <c r="V50" s="184">
        <v>79</v>
      </c>
      <c r="W50" s="184">
        <v>104</v>
      </c>
      <c r="X50" s="185">
        <v>13</v>
      </c>
    </row>
    <row r="51" spans="4:24" ht="20.149999999999999" customHeight="1" x14ac:dyDescent="0.35"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86">
        <v>48</v>
      </c>
      <c r="V51" s="188">
        <v>84</v>
      </c>
      <c r="W51" s="188">
        <v>77</v>
      </c>
      <c r="X51" s="189">
        <v>33</v>
      </c>
    </row>
    <row r="52" spans="4:24" ht="20.149999999999999" customHeight="1" x14ac:dyDescent="0.35"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182">
        <v>83</v>
      </c>
      <c r="V52" s="184">
        <v>34</v>
      </c>
      <c r="W52" s="184">
        <v>96</v>
      </c>
      <c r="X52" s="185">
        <v>39</v>
      </c>
    </row>
    <row r="53" spans="4:24" ht="20.149999999999999" customHeight="1" x14ac:dyDescent="0.35"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86">
        <v>87</v>
      </c>
      <c r="V53" s="188">
        <v>80</v>
      </c>
      <c r="W53" s="188">
        <v>118</v>
      </c>
      <c r="X53" s="189">
        <v>31</v>
      </c>
    </row>
    <row r="54" spans="4:24" ht="20.149999999999999" customHeight="1" x14ac:dyDescent="0.35"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182">
        <v>86</v>
      </c>
      <c r="V54" s="184">
        <v>84</v>
      </c>
      <c r="W54" s="184">
        <v>103</v>
      </c>
      <c r="X54" s="185">
        <v>20</v>
      </c>
    </row>
    <row r="55" spans="4:24" ht="20.149999999999999" customHeight="1" x14ac:dyDescent="0.35"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186">
        <v>87</v>
      </c>
      <c r="V55" s="188">
        <v>81</v>
      </c>
      <c r="W55" s="188">
        <v>71</v>
      </c>
      <c r="X55" s="189">
        <v>20</v>
      </c>
    </row>
    <row r="56" spans="4:24" ht="20.149999999999999" customHeight="1" x14ac:dyDescent="0.35"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182">
        <v>84</v>
      </c>
      <c r="V56" s="184">
        <v>88</v>
      </c>
      <c r="W56" s="184">
        <v>93</v>
      </c>
      <c r="X56" s="185">
        <v>29</v>
      </c>
    </row>
    <row r="57" spans="4:24" ht="20.149999999999999" customHeight="1" x14ac:dyDescent="0.35"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186">
        <v>94</v>
      </c>
      <c r="V57" s="188">
        <v>78</v>
      </c>
      <c r="W57" s="188">
        <v>23</v>
      </c>
      <c r="X57" s="189">
        <v>40</v>
      </c>
    </row>
    <row r="58" spans="4:24" ht="20.149999999999999" customHeight="1" x14ac:dyDescent="0.35"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182">
        <v>78</v>
      </c>
      <c r="V58" s="184">
        <v>81</v>
      </c>
      <c r="W58" s="184">
        <v>86</v>
      </c>
      <c r="X58" s="185">
        <v>10</v>
      </c>
    </row>
    <row r="59" spans="4:24" ht="20.149999999999999" customHeight="1" x14ac:dyDescent="0.35"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186">
        <v>53</v>
      </c>
      <c r="V59" s="188">
        <v>92</v>
      </c>
      <c r="W59" s="188">
        <v>93</v>
      </c>
      <c r="X59" s="189">
        <v>8</v>
      </c>
    </row>
    <row r="60" spans="4:24" ht="20.149999999999999" customHeight="1" x14ac:dyDescent="0.35"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182">
        <v>75</v>
      </c>
      <c r="V60" s="184">
        <v>106</v>
      </c>
      <c r="W60" s="184">
        <v>105</v>
      </c>
      <c r="X60" s="185">
        <v>24</v>
      </c>
    </row>
    <row r="61" spans="4:24" ht="20.149999999999999" customHeight="1" x14ac:dyDescent="0.35"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186">
        <v>12</v>
      </c>
      <c r="V61" s="188">
        <v>67</v>
      </c>
      <c r="W61" s="188">
        <v>100</v>
      </c>
      <c r="X61" s="189">
        <v>22</v>
      </c>
    </row>
    <row r="62" spans="4:24" ht="20.149999999999999" customHeight="1" x14ac:dyDescent="0.35"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182">
        <v>67</v>
      </c>
      <c r="V62" s="184">
        <v>88</v>
      </c>
      <c r="W62" s="184">
        <v>106</v>
      </c>
      <c r="X62" s="185">
        <v>22</v>
      </c>
    </row>
    <row r="63" spans="4:24" ht="20.149999999999999" customHeight="1" x14ac:dyDescent="0.35"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186">
        <v>73</v>
      </c>
      <c r="V63" s="188">
        <v>89</v>
      </c>
      <c r="W63" s="188">
        <v>106</v>
      </c>
      <c r="X63" s="189">
        <v>30</v>
      </c>
    </row>
    <row r="64" spans="4:24" ht="20.149999999999999" customHeight="1" x14ac:dyDescent="0.35"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182">
        <v>81</v>
      </c>
      <c r="V64" s="184">
        <v>53</v>
      </c>
      <c r="W64" s="184">
        <v>98</v>
      </c>
      <c r="X64" s="185">
        <v>27</v>
      </c>
    </row>
    <row r="65" spans="21:24" ht="20.149999999999999" customHeight="1" x14ac:dyDescent="0.35">
      <c r="U65" s="186">
        <v>83</v>
      </c>
      <c r="V65" s="188">
        <v>88</v>
      </c>
      <c r="W65" s="188">
        <v>91</v>
      </c>
      <c r="X65" s="189">
        <v>30</v>
      </c>
    </row>
    <row r="66" spans="21:24" ht="20.149999999999999" customHeight="1" x14ac:dyDescent="0.35">
      <c r="U66" s="182">
        <v>79</v>
      </c>
      <c r="V66" s="184">
        <v>92</v>
      </c>
      <c r="W66" s="184">
        <v>96</v>
      </c>
      <c r="X66" s="185">
        <v>31</v>
      </c>
    </row>
    <row r="67" spans="21:24" ht="20.149999999999999" customHeight="1" x14ac:dyDescent="0.35">
      <c r="U67" s="186">
        <v>81</v>
      </c>
      <c r="V67" s="188">
        <v>94</v>
      </c>
      <c r="W67" s="188">
        <v>89</v>
      </c>
      <c r="X67" s="189">
        <v>34</v>
      </c>
    </row>
    <row r="68" spans="21:24" ht="20.149999999999999" customHeight="1" x14ac:dyDescent="0.35">
      <c r="U68" s="182">
        <v>78</v>
      </c>
      <c r="V68" s="184">
        <v>87</v>
      </c>
      <c r="W68" s="184">
        <v>78</v>
      </c>
      <c r="X68" s="185">
        <v>20</v>
      </c>
    </row>
    <row r="69" spans="21:24" ht="20.149999999999999" customHeight="1" x14ac:dyDescent="0.35">
      <c r="U69" s="186">
        <v>73</v>
      </c>
      <c r="V69" s="188">
        <v>87</v>
      </c>
      <c r="W69" s="188">
        <v>91</v>
      </c>
      <c r="X69" s="189">
        <v>32</v>
      </c>
    </row>
    <row r="70" spans="21:24" ht="20.149999999999999" customHeight="1" x14ac:dyDescent="0.35">
      <c r="U70" s="182">
        <v>80</v>
      </c>
      <c r="V70" s="184">
        <v>96</v>
      </c>
      <c r="W70" s="184">
        <v>100</v>
      </c>
      <c r="X70" s="185">
        <v>34</v>
      </c>
    </row>
    <row r="71" spans="21:24" ht="20.149999999999999" customHeight="1" x14ac:dyDescent="0.35">
      <c r="U71" s="186">
        <v>85</v>
      </c>
      <c r="V71" s="188">
        <v>84</v>
      </c>
      <c r="W71" s="188">
        <v>89</v>
      </c>
      <c r="X71" s="189">
        <v>30</v>
      </c>
    </row>
    <row r="72" spans="21:24" ht="20.149999999999999" customHeight="1" x14ac:dyDescent="0.35">
      <c r="U72" s="182">
        <v>82</v>
      </c>
      <c r="V72" s="184">
        <v>97</v>
      </c>
      <c r="W72" s="184">
        <v>100</v>
      </c>
      <c r="X72" s="185">
        <v>32</v>
      </c>
    </row>
    <row r="73" spans="21:24" ht="20.149999999999999" customHeight="1" x14ac:dyDescent="0.35">
      <c r="U73" s="186">
        <v>59</v>
      </c>
      <c r="V73" s="188">
        <v>82</v>
      </c>
      <c r="W73" s="188">
        <v>98</v>
      </c>
      <c r="X73" s="189">
        <v>31</v>
      </c>
    </row>
    <row r="74" spans="21:24" ht="20.149999999999999" customHeight="1" x14ac:dyDescent="0.35">
      <c r="U74" s="182">
        <v>68</v>
      </c>
      <c r="V74" s="184">
        <v>68</v>
      </c>
      <c r="W74" s="184">
        <v>103</v>
      </c>
      <c r="X74" s="185">
        <v>35</v>
      </c>
    </row>
    <row r="75" spans="21:24" ht="20.149999999999999" customHeight="1" x14ac:dyDescent="0.35">
      <c r="U75" s="186">
        <v>82</v>
      </c>
      <c r="V75" s="188">
        <v>91</v>
      </c>
      <c r="W75" s="188">
        <v>75</v>
      </c>
      <c r="X75" s="189">
        <v>30</v>
      </c>
    </row>
    <row r="76" spans="21:24" ht="20.149999999999999" customHeight="1" x14ac:dyDescent="0.35">
      <c r="U76" s="182">
        <v>74</v>
      </c>
      <c r="V76" s="184">
        <v>79</v>
      </c>
      <c r="W76" s="184">
        <v>97</v>
      </c>
      <c r="X76" s="185">
        <v>32</v>
      </c>
    </row>
    <row r="77" spans="21:24" ht="20.149999999999999" customHeight="1" x14ac:dyDescent="0.35">
      <c r="U77" s="186">
        <v>90</v>
      </c>
      <c r="V77" s="188">
        <v>83</v>
      </c>
      <c r="W77" s="188">
        <v>102</v>
      </c>
      <c r="X77" s="189">
        <v>38</v>
      </c>
    </row>
    <row r="78" spans="21:24" ht="20.149999999999999" customHeight="1" x14ac:dyDescent="0.35">
      <c r="U78" s="182">
        <v>84</v>
      </c>
      <c r="V78" s="184">
        <v>77</v>
      </c>
      <c r="W78" s="184">
        <v>95</v>
      </c>
      <c r="X78" s="185">
        <v>37</v>
      </c>
    </row>
    <row r="79" spans="21:24" ht="20.149999999999999" customHeight="1" x14ac:dyDescent="0.35">
      <c r="U79" s="186">
        <v>36</v>
      </c>
      <c r="V79" s="188">
        <v>92</v>
      </c>
      <c r="W79" s="188">
        <v>80</v>
      </c>
      <c r="X79" s="189">
        <v>42</v>
      </c>
    </row>
    <row r="80" spans="21:24" ht="20.149999999999999" customHeight="1" x14ac:dyDescent="0.35">
      <c r="U80" s="182">
        <v>61</v>
      </c>
      <c r="V80" s="184">
        <v>98</v>
      </c>
      <c r="W80" s="184">
        <v>96</v>
      </c>
      <c r="X80" s="185">
        <v>49</v>
      </c>
    </row>
    <row r="81" spans="21:28" ht="20.149999999999999" customHeight="1" x14ac:dyDescent="0.35">
      <c r="U81" s="186">
        <v>68</v>
      </c>
      <c r="V81" s="188">
        <v>116</v>
      </c>
      <c r="W81" s="188">
        <v>90</v>
      </c>
      <c r="X81" s="189">
        <v>59</v>
      </c>
    </row>
    <row r="82" spans="21:28" ht="20.149999999999999" customHeight="1" x14ac:dyDescent="0.35">
      <c r="U82" s="182">
        <v>73</v>
      </c>
      <c r="V82" s="184">
        <v>94</v>
      </c>
      <c r="W82" s="184">
        <v>96</v>
      </c>
      <c r="X82" s="185">
        <v>33</v>
      </c>
    </row>
    <row r="83" spans="21:28" ht="20.149999999999999" customHeight="1" x14ac:dyDescent="0.35">
      <c r="U83" s="186">
        <v>71</v>
      </c>
      <c r="V83" s="188">
        <v>86</v>
      </c>
      <c r="W83" s="188">
        <v>99</v>
      </c>
      <c r="X83" s="189">
        <v>36</v>
      </c>
    </row>
    <row r="84" spans="21:28" ht="20.149999999999999" customHeight="1" x14ac:dyDescent="0.35">
      <c r="U84" s="182">
        <v>55</v>
      </c>
      <c r="V84" s="184">
        <v>90</v>
      </c>
      <c r="W84" s="184">
        <v>104</v>
      </c>
      <c r="X84" s="185">
        <v>22</v>
      </c>
    </row>
    <row r="85" spans="21:28" ht="20.149999999999999" customHeight="1" x14ac:dyDescent="0.35">
      <c r="U85" s="186">
        <v>32</v>
      </c>
      <c r="V85" s="188">
        <v>100</v>
      </c>
      <c r="W85" s="188">
        <v>106</v>
      </c>
      <c r="X85" s="189">
        <v>29</v>
      </c>
    </row>
    <row r="86" spans="21:28" ht="20.149999999999999" customHeight="1" x14ac:dyDescent="0.35">
      <c r="U86" s="182">
        <v>51</v>
      </c>
      <c r="V86" s="184">
        <v>93</v>
      </c>
      <c r="W86" s="184">
        <v>94</v>
      </c>
      <c r="X86" s="185">
        <v>39</v>
      </c>
    </row>
    <row r="87" spans="21:28" ht="20.149999999999999" customHeight="1" x14ac:dyDescent="0.35">
      <c r="U87" s="186">
        <v>30</v>
      </c>
      <c r="V87" s="188">
        <v>93</v>
      </c>
      <c r="W87" s="188">
        <v>93</v>
      </c>
      <c r="X87" s="189">
        <v>36</v>
      </c>
    </row>
    <row r="88" spans="21:28" ht="20.149999999999999" customHeight="1" x14ac:dyDescent="0.35">
      <c r="U88" s="182">
        <v>56</v>
      </c>
      <c r="V88" s="184">
        <v>95</v>
      </c>
      <c r="W88" s="184">
        <v>105</v>
      </c>
      <c r="X88" s="185">
        <v>29</v>
      </c>
    </row>
    <row r="89" spans="21:28" ht="20.149999999999999" customHeight="1" x14ac:dyDescent="0.35">
      <c r="U89" s="186">
        <v>61</v>
      </c>
      <c r="V89" s="188">
        <v>96</v>
      </c>
      <c r="W89" s="188">
        <v>111</v>
      </c>
      <c r="X89" s="189">
        <v>39</v>
      </c>
    </row>
    <row r="90" spans="21:28" ht="20.149999999999999" customHeight="1" x14ac:dyDescent="0.35">
      <c r="U90" s="182">
        <v>61</v>
      </c>
      <c r="V90" s="184">
        <v>82</v>
      </c>
      <c r="W90" s="184">
        <v>107</v>
      </c>
      <c r="X90" s="185">
        <v>48</v>
      </c>
    </row>
    <row r="91" spans="21:28" ht="20.149999999999999" customHeight="1" x14ac:dyDescent="0.35">
      <c r="U91" s="186">
        <v>77</v>
      </c>
      <c r="V91" s="188">
        <v>79</v>
      </c>
      <c r="W91" s="188">
        <v>102</v>
      </c>
      <c r="X91" s="189">
        <v>29</v>
      </c>
    </row>
    <row r="92" spans="21:28" ht="20.149999999999999" customHeight="1" x14ac:dyDescent="0.35">
      <c r="U92" s="182">
        <v>58</v>
      </c>
      <c r="V92" s="184">
        <v>79</v>
      </c>
      <c r="W92" s="184"/>
      <c r="X92" s="185">
        <v>37</v>
      </c>
    </row>
    <row r="93" spans="21:28" ht="20.149999999999999" customHeight="1" x14ac:dyDescent="0.35">
      <c r="U93" s="192">
        <v>73</v>
      </c>
      <c r="V93" s="193"/>
      <c r="W93" s="193"/>
      <c r="X93" s="194">
        <v>43</v>
      </c>
    </row>
    <row r="94" spans="21:28" ht="20.149999999999999" customHeight="1" x14ac:dyDescent="0.35">
      <c r="U94" s="153"/>
      <c r="V94" s="154"/>
      <c r="W94" s="154"/>
      <c r="X94" s="154"/>
      <c r="Y94" s="154"/>
      <c r="Z94" s="154"/>
      <c r="AA94" s="154"/>
      <c r="AB94" s="155"/>
    </row>
    <row r="95" spans="21:28" ht="20.149999999999999" customHeight="1" x14ac:dyDescent="0.35">
      <c r="U95" s="6"/>
    </row>
    <row r="96" spans="21:28" ht="20.149999999999999" customHeight="1" x14ac:dyDescent="0.35">
      <c r="U96" s="6"/>
    </row>
    <row r="97" spans="21:21" ht="20.149999999999999" customHeight="1" x14ac:dyDescent="0.35">
      <c r="U97" s="6"/>
    </row>
    <row r="98" spans="21:21" ht="20.149999999999999" customHeight="1" x14ac:dyDescent="0.35">
      <c r="U98" s="6"/>
    </row>
    <row r="99" spans="21:21" ht="20.149999999999999" customHeight="1" x14ac:dyDescent="0.35">
      <c r="U99" s="6"/>
    </row>
    <row r="100" spans="21:21" ht="20.149999999999999" customHeight="1" x14ac:dyDescent="0.35">
      <c r="U100" s="6"/>
    </row>
    <row r="101" spans="21:21" ht="20.149999999999999" customHeight="1" x14ac:dyDescent="0.35">
      <c r="U101" s="6"/>
    </row>
    <row r="102" spans="21:21" ht="20.149999999999999" customHeight="1" x14ac:dyDescent="0.35">
      <c r="U102" s="6"/>
    </row>
    <row r="103" spans="21:21" ht="20.149999999999999" customHeight="1" x14ac:dyDescent="0.35">
      <c r="U103" s="6"/>
    </row>
    <row r="104" spans="21:21" ht="20.149999999999999" customHeight="1" x14ac:dyDescent="0.35">
      <c r="U104" s="6"/>
    </row>
    <row r="105" spans="21:21" ht="20.149999999999999" customHeight="1" x14ac:dyDescent="0.35">
      <c r="U105" s="6"/>
    </row>
    <row r="106" spans="21:21" ht="20.149999999999999" customHeight="1" x14ac:dyDescent="0.35">
      <c r="U106" s="6"/>
    </row>
    <row r="107" spans="21:21" ht="20.149999999999999" customHeight="1" x14ac:dyDescent="0.35">
      <c r="U107" s="6"/>
    </row>
    <row r="108" spans="21:21" ht="20.149999999999999" customHeight="1" x14ac:dyDescent="0.35">
      <c r="U108" s="6"/>
    </row>
    <row r="109" spans="21:21" ht="20.149999999999999" customHeight="1" x14ac:dyDescent="0.35">
      <c r="U109" s="6"/>
    </row>
    <row r="110" spans="21:21" ht="20.149999999999999" customHeight="1" x14ac:dyDescent="0.35">
      <c r="U110" s="6"/>
    </row>
    <row r="111" spans="21:21" ht="20.149999999999999" customHeight="1" x14ac:dyDescent="0.35">
      <c r="U111" s="6"/>
    </row>
    <row r="112" spans="21:21" ht="20.149999999999999" customHeight="1" x14ac:dyDescent="0.35">
      <c r="U112" s="6"/>
    </row>
    <row r="113" spans="21:21" ht="20.149999999999999" customHeight="1" x14ac:dyDescent="0.35">
      <c r="U113" s="6"/>
    </row>
    <row r="114" spans="21:21" ht="20.149999999999999" customHeight="1" x14ac:dyDescent="0.35">
      <c r="U114" s="6"/>
    </row>
    <row r="115" spans="21:21" ht="20.149999999999999" customHeight="1" x14ac:dyDescent="0.35">
      <c r="U115" s="6"/>
    </row>
    <row r="116" spans="21:21" ht="20.149999999999999" customHeight="1" x14ac:dyDescent="0.35">
      <c r="U116" s="6"/>
    </row>
    <row r="117" spans="21:21" ht="20.149999999999999" customHeight="1" x14ac:dyDescent="0.35">
      <c r="U117" s="6"/>
    </row>
    <row r="118" spans="21:21" ht="20.149999999999999" customHeight="1" x14ac:dyDescent="0.35">
      <c r="U118" s="6"/>
    </row>
    <row r="119" spans="21:21" ht="20.149999999999999" customHeight="1" x14ac:dyDescent="0.35">
      <c r="U119" s="6"/>
    </row>
    <row r="120" spans="21:21" ht="20.149999999999999" customHeight="1" x14ac:dyDescent="0.35">
      <c r="U120" s="6"/>
    </row>
    <row r="121" spans="21:21" ht="20.149999999999999" customHeight="1" x14ac:dyDescent="0.35">
      <c r="U121" s="6"/>
    </row>
    <row r="122" spans="21:21" ht="20.149999999999999" customHeight="1" x14ac:dyDescent="0.35">
      <c r="U122" s="6"/>
    </row>
    <row r="123" spans="21:21" ht="20.149999999999999" customHeight="1" x14ac:dyDescent="0.35">
      <c r="U123" s="6"/>
    </row>
    <row r="124" spans="21:21" ht="20.149999999999999" customHeight="1" x14ac:dyDescent="0.35">
      <c r="U124" s="6"/>
    </row>
    <row r="125" spans="21:21" ht="20.149999999999999" customHeight="1" x14ac:dyDescent="0.35">
      <c r="U125" s="6"/>
    </row>
    <row r="126" spans="21:21" ht="20.149999999999999" customHeight="1" x14ac:dyDescent="0.35">
      <c r="U126" s="6"/>
    </row>
    <row r="127" spans="21:21" ht="20.149999999999999" customHeight="1" x14ac:dyDescent="0.35">
      <c r="U127" s="6"/>
    </row>
    <row r="128" spans="21:21" ht="20.149999999999999" customHeight="1" x14ac:dyDescent="0.35">
      <c r="U128" s="6"/>
    </row>
    <row r="129" spans="21:21" ht="20.149999999999999" customHeight="1" x14ac:dyDescent="0.35">
      <c r="U129" s="6"/>
    </row>
    <row r="130" spans="21:21" ht="20.149999999999999" customHeight="1" x14ac:dyDescent="0.35">
      <c r="U130" s="6"/>
    </row>
    <row r="131" spans="21:21" ht="20.149999999999999" customHeight="1" x14ac:dyDescent="0.35">
      <c r="U131" s="6"/>
    </row>
    <row r="132" spans="21:21" ht="20.149999999999999" customHeight="1" x14ac:dyDescent="0.35">
      <c r="U132" s="6"/>
    </row>
    <row r="133" spans="21:21" ht="20.149999999999999" customHeight="1" x14ac:dyDescent="0.35">
      <c r="U133" s="6"/>
    </row>
    <row r="134" spans="21:21" ht="20.149999999999999" customHeight="1" x14ac:dyDescent="0.35">
      <c r="U134" s="6"/>
    </row>
    <row r="135" spans="21:21" ht="20.149999999999999" customHeight="1" x14ac:dyDescent="0.35">
      <c r="U135" s="6"/>
    </row>
    <row r="136" spans="21:21" ht="20.149999999999999" customHeight="1" x14ac:dyDescent="0.35">
      <c r="U136" s="6"/>
    </row>
    <row r="137" spans="21:21" ht="20.149999999999999" customHeight="1" x14ac:dyDescent="0.35">
      <c r="U137" s="6"/>
    </row>
    <row r="138" spans="21:21" ht="20.149999999999999" customHeight="1" x14ac:dyDescent="0.35">
      <c r="U138" s="6"/>
    </row>
    <row r="139" spans="21:21" ht="20.149999999999999" customHeight="1" x14ac:dyDescent="0.35">
      <c r="U139" s="6"/>
    </row>
    <row r="140" spans="21:21" ht="20.149999999999999" customHeight="1" x14ac:dyDescent="0.35">
      <c r="U140" s="6"/>
    </row>
    <row r="141" spans="21:21" ht="20.149999999999999" customHeight="1" x14ac:dyDescent="0.35">
      <c r="U141" s="6"/>
    </row>
    <row r="142" spans="21:21" ht="20.149999999999999" customHeight="1" x14ac:dyDescent="0.35">
      <c r="U142" s="6"/>
    </row>
    <row r="143" spans="21:21" ht="20.149999999999999" customHeight="1" x14ac:dyDescent="0.35">
      <c r="U143" s="6"/>
    </row>
    <row r="144" spans="21:21" ht="20.149999999999999" customHeight="1" x14ac:dyDescent="0.35">
      <c r="U144" s="6"/>
    </row>
    <row r="145" spans="21:21" ht="20.149999999999999" customHeight="1" x14ac:dyDescent="0.35">
      <c r="U145" s="6"/>
    </row>
    <row r="146" spans="21:21" ht="20.149999999999999" customHeight="1" x14ac:dyDescent="0.35">
      <c r="U146" s="6"/>
    </row>
    <row r="147" spans="21:21" ht="20.149999999999999" customHeight="1" x14ac:dyDescent="0.35">
      <c r="U147" s="6"/>
    </row>
    <row r="148" spans="21:21" ht="20.149999999999999" customHeight="1" x14ac:dyDescent="0.35">
      <c r="U148" s="6"/>
    </row>
    <row r="149" spans="21:21" ht="20.149999999999999" customHeight="1" x14ac:dyDescent="0.35">
      <c r="U149" s="6"/>
    </row>
    <row r="150" spans="21:21" ht="20.149999999999999" customHeight="1" x14ac:dyDescent="0.35">
      <c r="U150" s="6"/>
    </row>
    <row r="151" spans="21:21" ht="20.149999999999999" customHeight="1" x14ac:dyDescent="0.35">
      <c r="U151" s="6"/>
    </row>
    <row r="152" spans="21:21" ht="20.149999999999999" customHeight="1" x14ac:dyDescent="0.35">
      <c r="U152" s="6"/>
    </row>
    <row r="153" spans="21:21" ht="20.149999999999999" customHeight="1" x14ac:dyDescent="0.35">
      <c r="U153" s="6"/>
    </row>
    <row r="154" spans="21:21" ht="20.149999999999999" customHeight="1" x14ac:dyDescent="0.35">
      <c r="U154" s="6"/>
    </row>
    <row r="155" spans="21:21" ht="20.149999999999999" customHeight="1" x14ac:dyDescent="0.35">
      <c r="U155" s="6"/>
    </row>
    <row r="156" spans="21:21" ht="20.149999999999999" customHeight="1" x14ac:dyDescent="0.35">
      <c r="U156" s="6"/>
    </row>
    <row r="157" spans="21:21" ht="20.149999999999999" customHeight="1" x14ac:dyDescent="0.35">
      <c r="U157" s="6"/>
    </row>
    <row r="158" spans="21:21" ht="20.149999999999999" customHeight="1" x14ac:dyDescent="0.35">
      <c r="U158" s="6"/>
    </row>
    <row r="159" spans="21:21" ht="20.149999999999999" customHeight="1" x14ac:dyDescent="0.35">
      <c r="U159" s="6"/>
    </row>
    <row r="160" spans="21:21" ht="20.149999999999999" customHeight="1" x14ac:dyDescent="0.35">
      <c r="U160" s="6"/>
    </row>
    <row r="161" spans="21:21" ht="20.149999999999999" customHeight="1" x14ac:dyDescent="0.35">
      <c r="U161" s="6"/>
    </row>
    <row r="162" spans="21:21" ht="20.149999999999999" customHeight="1" x14ac:dyDescent="0.35">
      <c r="U162" s="6"/>
    </row>
    <row r="163" spans="21:21" ht="20.149999999999999" customHeight="1" x14ac:dyDescent="0.35">
      <c r="U163" s="6"/>
    </row>
    <row r="164" spans="21:21" ht="20.149999999999999" customHeight="1" x14ac:dyDescent="0.35">
      <c r="U164" s="6"/>
    </row>
    <row r="165" spans="21:21" ht="20.149999999999999" customHeight="1" x14ac:dyDescent="0.35">
      <c r="U165" s="6"/>
    </row>
    <row r="166" spans="21:21" ht="20.149999999999999" customHeight="1" x14ac:dyDescent="0.35">
      <c r="U166" s="6"/>
    </row>
    <row r="167" spans="21:21" ht="20.149999999999999" customHeight="1" x14ac:dyDescent="0.35">
      <c r="U167" s="6"/>
    </row>
    <row r="168" spans="21:21" ht="20.149999999999999" customHeight="1" x14ac:dyDescent="0.35">
      <c r="U168" s="6"/>
    </row>
    <row r="169" spans="21:21" ht="20.149999999999999" customHeight="1" x14ac:dyDescent="0.35">
      <c r="U169" s="6"/>
    </row>
    <row r="170" spans="21:21" ht="20.149999999999999" customHeight="1" x14ac:dyDescent="0.35">
      <c r="U170" s="6"/>
    </row>
    <row r="171" spans="21:21" ht="20.149999999999999" customHeight="1" x14ac:dyDescent="0.35">
      <c r="U171" s="6"/>
    </row>
    <row r="172" spans="21:21" ht="20.149999999999999" customHeight="1" x14ac:dyDescent="0.35">
      <c r="U172" s="6"/>
    </row>
    <row r="173" spans="21:21" ht="20.149999999999999" customHeight="1" x14ac:dyDescent="0.35">
      <c r="U173" s="6"/>
    </row>
    <row r="174" spans="21:21" ht="20.149999999999999" customHeight="1" x14ac:dyDescent="0.35">
      <c r="U174" s="6"/>
    </row>
    <row r="175" spans="21:21" ht="20.149999999999999" customHeight="1" x14ac:dyDescent="0.35">
      <c r="U175" s="6"/>
    </row>
    <row r="176" spans="21:21" ht="20.149999999999999" customHeight="1" x14ac:dyDescent="0.35">
      <c r="U176" s="6"/>
    </row>
    <row r="177" spans="21:21" ht="20.149999999999999" customHeight="1" x14ac:dyDescent="0.35">
      <c r="U177" s="6"/>
    </row>
    <row r="178" spans="21:21" ht="20.149999999999999" customHeight="1" x14ac:dyDescent="0.35">
      <c r="U178" s="6"/>
    </row>
    <row r="179" spans="21:21" ht="20.149999999999999" customHeight="1" x14ac:dyDescent="0.35">
      <c r="U179" s="6"/>
    </row>
    <row r="180" spans="21:21" ht="20.149999999999999" customHeight="1" x14ac:dyDescent="0.35">
      <c r="U180" s="6"/>
    </row>
    <row r="181" spans="21:21" ht="20.149999999999999" customHeight="1" x14ac:dyDescent="0.35">
      <c r="U181" s="6"/>
    </row>
    <row r="182" spans="21:21" ht="20.149999999999999" customHeight="1" x14ac:dyDescent="0.35">
      <c r="U182" s="6"/>
    </row>
    <row r="183" spans="21:21" ht="20.149999999999999" customHeight="1" x14ac:dyDescent="0.35">
      <c r="U183" s="6"/>
    </row>
    <row r="184" spans="21:21" ht="20.149999999999999" customHeight="1" x14ac:dyDescent="0.35">
      <c r="U184" s="6"/>
    </row>
    <row r="185" spans="21:21" ht="20.149999999999999" customHeight="1" x14ac:dyDescent="0.35">
      <c r="U185" s="6"/>
    </row>
    <row r="186" spans="21:21" ht="20.149999999999999" customHeight="1" x14ac:dyDescent="0.35">
      <c r="U186" s="6"/>
    </row>
    <row r="187" spans="21:21" ht="20.149999999999999" customHeight="1" x14ac:dyDescent="0.35">
      <c r="U187" s="6"/>
    </row>
    <row r="188" spans="21:21" ht="20.149999999999999" customHeight="1" x14ac:dyDescent="0.35">
      <c r="U188" s="6"/>
    </row>
    <row r="189" spans="21:21" ht="20.149999999999999" customHeight="1" x14ac:dyDescent="0.35">
      <c r="U189" s="6"/>
    </row>
    <row r="190" spans="21:21" ht="20.149999999999999" customHeight="1" x14ac:dyDescent="0.35">
      <c r="U190" s="6"/>
    </row>
    <row r="191" spans="21:21" ht="20.149999999999999" customHeight="1" x14ac:dyDescent="0.35">
      <c r="U191" s="6"/>
    </row>
    <row r="192" spans="21:21" ht="20.149999999999999" customHeight="1" x14ac:dyDescent="0.35">
      <c r="U192" s="6"/>
    </row>
    <row r="193" spans="21:21" ht="20.149999999999999" customHeight="1" x14ac:dyDescent="0.35">
      <c r="U193" s="6"/>
    </row>
    <row r="194" spans="21:21" ht="20.149999999999999" customHeight="1" x14ac:dyDescent="0.35">
      <c r="U194" s="6"/>
    </row>
    <row r="195" spans="21:21" ht="20.149999999999999" customHeight="1" x14ac:dyDescent="0.35">
      <c r="U195" s="6"/>
    </row>
    <row r="196" spans="21:21" ht="20.149999999999999" customHeight="1" x14ac:dyDescent="0.35">
      <c r="U196" s="6"/>
    </row>
    <row r="197" spans="21:21" ht="20.149999999999999" customHeight="1" x14ac:dyDescent="0.35">
      <c r="U197" s="6"/>
    </row>
    <row r="198" spans="21:21" ht="20.149999999999999" customHeight="1" x14ac:dyDescent="0.35">
      <c r="U198" s="6"/>
    </row>
    <row r="199" spans="21:21" ht="20.149999999999999" customHeight="1" x14ac:dyDescent="0.35">
      <c r="U199" s="6"/>
    </row>
    <row r="200" spans="21:21" ht="20.149999999999999" customHeight="1" x14ac:dyDescent="0.35">
      <c r="U200" s="6"/>
    </row>
    <row r="201" spans="21:21" ht="20.149999999999999" customHeight="1" x14ac:dyDescent="0.35">
      <c r="U201" s="6"/>
    </row>
    <row r="202" spans="21:21" ht="20.149999999999999" customHeight="1" x14ac:dyDescent="0.35">
      <c r="U202" s="6"/>
    </row>
    <row r="203" spans="21:21" ht="20.149999999999999" customHeight="1" x14ac:dyDescent="0.35">
      <c r="U203" s="6"/>
    </row>
    <row r="204" spans="21:21" ht="20.149999999999999" customHeight="1" x14ac:dyDescent="0.35">
      <c r="U204" s="6"/>
    </row>
    <row r="205" spans="21:21" ht="20.149999999999999" customHeight="1" x14ac:dyDescent="0.35">
      <c r="U205" s="6"/>
    </row>
    <row r="206" spans="21:21" ht="20.149999999999999" customHeight="1" x14ac:dyDescent="0.35">
      <c r="U206" s="6"/>
    </row>
    <row r="207" spans="21:21" ht="20.149999999999999" customHeight="1" x14ac:dyDescent="0.35">
      <c r="U207" s="6"/>
    </row>
    <row r="208" spans="21:21" ht="20.149999999999999" customHeight="1" x14ac:dyDescent="0.35">
      <c r="U208" s="6"/>
    </row>
    <row r="209" spans="21:21" ht="20.149999999999999" customHeight="1" x14ac:dyDescent="0.35">
      <c r="U209" s="6"/>
    </row>
    <row r="210" spans="21:21" ht="20.149999999999999" customHeight="1" x14ac:dyDescent="0.35">
      <c r="U210" s="6"/>
    </row>
    <row r="211" spans="21:21" ht="20.149999999999999" customHeight="1" x14ac:dyDescent="0.35">
      <c r="U211" s="6"/>
    </row>
    <row r="212" spans="21:21" ht="20.149999999999999" customHeight="1" x14ac:dyDescent="0.35">
      <c r="U212" s="6"/>
    </row>
    <row r="213" spans="21:21" ht="20.149999999999999" customHeight="1" x14ac:dyDescent="0.35">
      <c r="U213" s="6"/>
    </row>
    <row r="214" spans="21:21" ht="20.149999999999999" customHeight="1" x14ac:dyDescent="0.35">
      <c r="U214" s="6"/>
    </row>
    <row r="215" spans="21:21" ht="20.149999999999999" customHeight="1" x14ac:dyDescent="0.35">
      <c r="U215" s="6"/>
    </row>
    <row r="216" spans="21:21" ht="20.149999999999999" customHeight="1" x14ac:dyDescent="0.35">
      <c r="U216" s="6"/>
    </row>
    <row r="217" spans="21:21" ht="20.149999999999999" customHeight="1" x14ac:dyDescent="0.35">
      <c r="U217" s="6"/>
    </row>
    <row r="218" spans="21:21" ht="20.149999999999999" customHeight="1" x14ac:dyDescent="0.35">
      <c r="U218" s="6"/>
    </row>
    <row r="219" spans="21:21" ht="20.149999999999999" customHeight="1" x14ac:dyDescent="0.35">
      <c r="U219" s="6"/>
    </row>
    <row r="220" spans="21:21" ht="20.149999999999999" customHeight="1" x14ac:dyDescent="0.35">
      <c r="U220" s="6"/>
    </row>
    <row r="221" spans="21:21" ht="20.149999999999999" customHeight="1" x14ac:dyDescent="0.35">
      <c r="U221" s="6"/>
    </row>
    <row r="222" spans="21:21" ht="20.149999999999999" customHeight="1" x14ac:dyDescent="0.35">
      <c r="U222" s="6"/>
    </row>
    <row r="223" spans="21:21" ht="20.149999999999999" customHeight="1" x14ac:dyDescent="0.35">
      <c r="U223" s="6"/>
    </row>
    <row r="224" spans="21:21" ht="20.149999999999999" customHeight="1" x14ac:dyDescent="0.35">
      <c r="U224" s="6"/>
    </row>
    <row r="225" spans="21:21" ht="20.149999999999999" customHeight="1" x14ac:dyDescent="0.35">
      <c r="U225" s="6"/>
    </row>
    <row r="226" spans="21:21" ht="20.149999999999999" customHeight="1" x14ac:dyDescent="0.35">
      <c r="U226" s="6"/>
    </row>
    <row r="227" spans="21:21" ht="20.149999999999999" customHeight="1" x14ac:dyDescent="0.35">
      <c r="U227" s="6"/>
    </row>
    <row r="228" spans="21:21" ht="20.149999999999999" customHeight="1" x14ac:dyDescent="0.35">
      <c r="U228" s="6"/>
    </row>
    <row r="229" spans="21:21" ht="20.149999999999999" customHeight="1" x14ac:dyDescent="0.35">
      <c r="U229" s="6"/>
    </row>
    <row r="230" spans="21:21" ht="20.149999999999999" customHeight="1" x14ac:dyDescent="0.35">
      <c r="U230" s="6"/>
    </row>
    <row r="231" spans="21:21" ht="20.149999999999999" customHeight="1" x14ac:dyDescent="0.35">
      <c r="U231" s="6"/>
    </row>
    <row r="232" spans="21:21" ht="20.149999999999999" customHeight="1" x14ac:dyDescent="0.35">
      <c r="U232" s="6"/>
    </row>
    <row r="233" spans="21:21" ht="20.149999999999999" customHeight="1" x14ac:dyDescent="0.35">
      <c r="U233" s="6"/>
    </row>
    <row r="234" spans="21:21" ht="20.149999999999999" customHeight="1" x14ac:dyDescent="0.35">
      <c r="U234" s="6"/>
    </row>
    <row r="235" spans="21:21" ht="20.149999999999999" customHeight="1" x14ac:dyDescent="0.35">
      <c r="U235" s="6"/>
    </row>
    <row r="236" spans="21:21" ht="20.149999999999999" customHeight="1" x14ac:dyDescent="0.35">
      <c r="U236" s="6"/>
    </row>
    <row r="237" spans="21:21" ht="20.149999999999999" customHeight="1" x14ac:dyDescent="0.35">
      <c r="U237" s="6"/>
    </row>
    <row r="238" spans="21:21" ht="20.149999999999999" customHeight="1" x14ac:dyDescent="0.35">
      <c r="U238" s="6"/>
    </row>
    <row r="239" spans="21:21" ht="20.149999999999999" customHeight="1" x14ac:dyDescent="0.35">
      <c r="U239" s="6"/>
    </row>
    <row r="240" spans="21:21" ht="20.149999999999999" customHeight="1" x14ac:dyDescent="0.35">
      <c r="U240" s="6"/>
    </row>
    <row r="241" spans="21:21" ht="20.149999999999999" customHeight="1" x14ac:dyDescent="0.35">
      <c r="U241" s="6"/>
    </row>
    <row r="242" spans="21:21" ht="20.149999999999999" customHeight="1" x14ac:dyDescent="0.35">
      <c r="U242" s="6"/>
    </row>
    <row r="243" spans="21:21" ht="20.149999999999999" customHeight="1" x14ac:dyDescent="0.35">
      <c r="U243" s="6"/>
    </row>
    <row r="244" spans="21:21" ht="20.149999999999999" customHeight="1" x14ac:dyDescent="0.35">
      <c r="U244" s="6"/>
    </row>
    <row r="245" spans="21:21" ht="20.149999999999999" customHeight="1" x14ac:dyDescent="0.35">
      <c r="U245" s="6"/>
    </row>
    <row r="246" spans="21:21" ht="20.149999999999999" customHeight="1" x14ac:dyDescent="0.35">
      <c r="U246" s="6"/>
    </row>
    <row r="247" spans="21:21" ht="20.149999999999999" customHeight="1" x14ac:dyDescent="0.35">
      <c r="U247" s="6"/>
    </row>
    <row r="248" spans="21:21" ht="20.149999999999999" customHeight="1" x14ac:dyDescent="0.35">
      <c r="U248" s="6"/>
    </row>
    <row r="249" spans="21:21" ht="20.149999999999999" customHeight="1" x14ac:dyDescent="0.35">
      <c r="U249" s="6"/>
    </row>
    <row r="250" spans="21:21" ht="20.149999999999999" customHeight="1" x14ac:dyDescent="0.35">
      <c r="U250" s="6"/>
    </row>
    <row r="251" spans="21:21" ht="20.149999999999999" customHeight="1" x14ac:dyDescent="0.35">
      <c r="U251" s="6"/>
    </row>
    <row r="252" spans="21:21" ht="20.149999999999999" customHeight="1" x14ac:dyDescent="0.35">
      <c r="U252" s="6"/>
    </row>
    <row r="253" spans="21:21" ht="20.149999999999999" customHeight="1" x14ac:dyDescent="0.35">
      <c r="U253" s="6"/>
    </row>
    <row r="254" spans="21:21" ht="20.149999999999999" customHeight="1" x14ac:dyDescent="0.35">
      <c r="U254" s="6"/>
    </row>
    <row r="255" spans="21:21" ht="20.149999999999999" customHeight="1" x14ac:dyDescent="0.35">
      <c r="U255" s="6"/>
    </row>
    <row r="256" spans="21:21" ht="20.149999999999999" customHeight="1" x14ac:dyDescent="0.35">
      <c r="U256" s="6"/>
    </row>
    <row r="257" spans="21:21" ht="20.149999999999999" customHeight="1" x14ac:dyDescent="0.35">
      <c r="U257" s="6"/>
    </row>
    <row r="258" spans="21:21" ht="20.149999999999999" customHeight="1" x14ac:dyDescent="0.35">
      <c r="U258" s="6"/>
    </row>
    <row r="259" spans="21:21" ht="20.149999999999999" customHeight="1" x14ac:dyDescent="0.35">
      <c r="U259" s="6"/>
    </row>
    <row r="260" spans="21:21" ht="20.149999999999999" customHeight="1" x14ac:dyDescent="0.35">
      <c r="U260" s="6"/>
    </row>
    <row r="261" spans="21:21" ht="20.149999999999999" customHeight="1" x14ac:dyDescent="0.35">
      <c r="U261" s="6"/>
    </row>
    <row r="262" spans="21:21" ht="20.149999999999999" customHeight="1" x14ac:dyDescent="0.35">
      <c r="U262" s="6"/>
    </row>
    <row r="263" spans="21:21" ht="20.149999999999999" customHeight="1" x14ac:dyDescent="0.35">
      <c r="U263" s="6"/>
    </row>
    <row r="273" s="4" customFormat="1" x14ac:dyDescent="0.35"/>
    <row r="274" s="4" customFormat="1" x14ac:dyDescent="0.35"/>
    <row r="275" s="4" customFormat="1" x14ac:dyDescent="0.35"/>
    <row r="276" s="4" customFormat="1" x14ac:dyDescent="0.35"/>
    <row r="277" s="4" customFormat="1" x14ac:dyDescent="0.35"/>
    <row r="278" s="4" customFormat="1" x14ac:dyDescent="0.35"/>
    <row r="279" s="4" customFormat="1" x14ac:dyDescent="0.35"/>
    <row r="280" s="4" customFormat="1" x14ac:dyDescent="0.35"/>
    <row r="281" s="4" customFormat="1" x14ac:dyDescent="0.35"/>
    <row r="282" s="4" customFormat="1" x14ac:dyDescent="0.35"/>
    <row r="283" s="4" customFormat="1" x14ac:dyDescent="0.35"/>
    <row r="284" s="4" customFormat="1" x14ac:dyDescent="0.35"/>
    <row r="285" s="4" customFormat="1" x14ac:dyDescent="0.35"/>
    <row r="286" s="4" customFormat="1" x14ac:dyDescent="0.35"/>
    <row r="287" s="4" customFormat="1" x14ac:dyDescent="0.35"/>
    <row r="288" s="4" customFormat="1" x14ac:dyDescent="0.35"/>
    <row r="289" s="4" customFormat="1" x14ac:dyDescent="0.35"/>
    <row r="290" s="4" customFormat="1" x14ac:dyDescent="0.35"/>
    <row r="291" s="4" customFormat="1" x14ac:dyDescent="0.35"/>
    <row r="292" s="4" customFormat="1" x14ac:dyDescent="0.35"/>
    <row r="293" s="4" customFormat="1" x14ac:dyDescent="0.35"/>
    <row r="294" s="4" customFormat="1" x14ac:dyDescent="0.35"/>
    <row r="295" s="4" customFormat="1" x14ac:dyDescent="0.35"/>
    <row r="296" s="4" customFormat="1" x14ac:dyDescent="0.35"/>
    <row r="297" s="4" customFormat="1" x14ac:dyDescent="0.35"/>
    <row r="298" s="4" customFormat="1" x14ac:dyDescent="0.35"/>
    <row r="299" s="4" customFormat="1" x14ac:dyDescent="0.35"/>
    <row r="300" s="4" customFormat="1" x14ac:dyDescent="0.35"/>
    <row r="301" s="4" customFormat="1" x14ac:dyDescent="0.35"/>
    <row r="302" s="4" customFormat="1" x14ac:dyDescent="0.35"/>
    <row r="303" s="4" customFormat="1" x14ac:dyDescent="0.35"/>
    <row r="304" s="4" customFormat="1" x14ac:dyDescent="0.35"/>
    <row r="305" s="4" customFormat="1" x14ac:dyDescent="0.35"/>
    <row r="306" s="4" customFormat="1" x14ac:dyDescent="0.35"/>
    <row r="307" s="4" customFormat="1" x14ac:dyDescent="0.35"/>
    <row r="308" s="4" customFormat="1" x14ac:dyDescent="0.35"/>
    <row r="309" s="4" customFormat="1" x14ac:dyDescent="0.35"/>
    <row r="310" s="4" customFormat="1" x14ac:dyDescent="0.35"/>
    <row r="311" s="4" customFormat="1" x14ac:dyDescent="0.35"/>
    <row r="312" s="4" customFormat="1" x14ac:dyDescent="0.35"/>
    <row r="313" s="4" customFormat="1" x14ac:dyDescent="0.35"/>
    <row r="314" s="4" customFormat="1" x14ac:dyDescent="0.35"/>
    <row r="315" s="4" customFormat="1" x14ac:dyDescent="0.35"/>
    <row r="316" s="4" customFormat="1" x14ac:dyDescent="0.35"/>
    <row r="317" s="4" customFormat="1" x14ac:dyDescent="0.35"/>
  </sheetData>
  <mergeCells count="3">
    <mergeCell ref="C7:D7"/>
    <mergeCell ref="C8:D8"/>
    <mergeCell ref="C9:D9"/>
  </mergeCells>
  <printOptions horizontalCentered="1"/>
  <pageMargins left="0.11811023622047245" right="0.11811023622047245" top="0.15748031496062992" bottom="0.15748031496062992" header="0.31496062992125984" footer="0.31496062992125984"/>
  <pageSetup paperSize="9" scale="57" fitToHeight="11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B2E81-395E-47B0-9735-2DA7E2374CA5}">
  <dimension ref="A1:X265"/>
  <sheetViews>
    <sheetView zoomScale="58" zoomScaleNormal="55" workbookViewId="0">
      <selection activeCell="H17" sqref="H17"/>
    </sheetView>
  </sheetViews>
  <sheetFormatPr defaultColWidth="16.6328125" defaultRowHeight="20.149999999999999" customHeight="1" x14ac:dyDescent="0.35"/>
  <cols>
    <col min="1" max="2" width="6" style="94" customWidth="1"/>
    <col min="3" max="3" width="24.54296875" style="94" customWidth="1"/>
    <col min="4" max="4" width="12.81640625" style="91" customWidth="1"/>
    <col min="5" max="5" width="12.81640625" style="94" customWidth="1"/>
    <col min="6" max="6" width="12.81640625" style="91" customWidth="1"/>
    <col min="7" max="17" width="16.6328125" style="91"/>
    <col min="18" max="18" width="16.6328125" style="85"/>
    <col min="19" max="16384" width="16.6328125" style="91"/>
  </cols>
  <sheetData>
    <row r="1" spans="1:21" ht="20.149999999999999" customHeight="1" thickBot="1" x14ac:dyDescent="0.4">
      <c r="A1" s="90" t="s">
        <v>3</v>
      </c>
      <c r="B1" s="90"/>
      <c r="C1" s="90"/>
      <c r="E1" s="92" t="s">
        <v>4</v>
      </c>
      <c r="P1" s="93" t="s">
        <v>87</v>
      </c>
      <c r="R1" s="178" t="s">
        <v>143</v>
      </c>
      <c r="S1" s="178" t="s">
        <v>140</v>
      </c>
      <c r="T1" s="178" t="s">
        <v>141</v>
      </c>
      <c r="U1" s="179" t="s">
        <v>142</v>
      </c>
    </row>
    <row r="2" spans="1:21" ht="20.149999999999999" customHeight="1" x14ac:dyDescent="0.35">
      <c r="B2" s="95"/>
      <c r="C2" s="96"/>
      <c r="D2" s="97"/>
      <c r="E2" s="96"/>
      <c r="F2" s="97"/>
      <c r="G2" s="97"/>
      <c r="H2" s="97"/>
      <c r="I2" s="97"/>
      <c r="J2" s="97"/>
      <c r="K2" s="97"/>
      <c r="L2" s="97"/>
      <c r="M2" s="97"/>
      <c r="N2" s="97"/>
      <c r="O2" s="97"/>
      <c r="P2" s="98"/>
      <c r="R2" s="182">
        <v>101</v>
      </c>
      <c r="S2" s="183">
        <v>33</v>
      </c>
      <c r="T2" s="184">
        <v>93</v>
      </c>
      <c r="U2" s="185">
        <v>75</v>
      </c>
    </row>
    <row r="3" spans="1:21" ht="20.149999999999999" customHeight="1" x14ac:dyDescent="0.35">
      <c r="B3" s="99"/>
      <c r="C3" s="90" t="s">
        <v>86</v>
      </c>
      <c r="D3" s="111"/>
      <c r="E3" s="91"/>
      <c r="P3" s="100"/>
      <c r="R3" s="186">
        <v>103</v>
      </c>
      <c r="S3" s="187">
        <v>39</v>
      </c>
      <c r="T3" s="188">
        <v>121</v>
      </c>
      <c r="U3" s="189">
        <v>78</v>
      </c>
    </row>
    <row r="4" spans="1:21" ht="20.149999999999999" customHeight="1" x14ac:dyDescent="0.35">
      <c r="B4" s="99"/>
      <c r="C4" s="94" t="s">
        <v>148</v>
      </c>
      <c r="D4" s="94"/>
      <c r="E4" s="112"/>
      <c r="P4" s="100"/>
      <c r="R4" s="182">
        <v>95</v>
      </c>
      <c r="S4" s="183">
        <v>42</v>
      </c>
      <c r="T4" s="184">
        <v>94</v>
      </c>
      <c r="U4" s="185">
        <v>72</v>
      </c>
    </row>
    <row r="5" spans="1:21" ht="20.149999999999999" customHeight="1" x14ac:dyDescent="0.35">
      <c r="B5" s="99"/>
      <c r="D5" s="94"/>
      <c r="E5" s="91"/>
      <c r="P5" s="100"/>
      <c r="R5" s="186">
        <v>90</v>
      </c>
      <c r="S5" s="187">
        <v>12</v>
      </c>
      <c r="T5" s="188">
        <v>93</v>
      </c>
      <c r="U5" s="189">
        <v>70</v>
      </c>
    </row>
    <row r="6" spans="1:21" ht="20.149999999999999" customHeight="1" x14ac:dyDescent="0.35">
      <c r="B6" s="99"/>
      <c r="C6" s="94" t="s">
        <v>149</v>
      </c>
      <c r="E6" s="112"/>
      <c r="P6" s="100"/>
      <c r="R6" s="182">
        <v>98</v>
      </c>
      <c r="S6" s="183">
        <v>38</v>
      </c>
      <c r="T6" s="184">
        <v>92</v>
      </c>
      <c r="U6" s="185">
        <v>77</v>
      </c>
    </row>
    <row r="7" spans="1:21" ht="20.149999999999999" customHeight="1" thickBot="1" x14ac:dyDescent="0.4">
      <c r="B7" s="101"/>
      <c r="C7" s="102"/>
      <c r="D7" s="102"/>
      <c r="E7" s="102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4"/>
      <c r="R7" s="186">
        <v>67</v>
      </c>
      <c r="S7" s="187">
        <v>42</v>
      </c>
      <c r="T7" s="188">
        <v>81</v>
      </c>
      <c r="U7" s="189">
        <v>52</v>
      </c>
    </row>
    <row r="8" spans="1:21" ht="20.149999999999999" customHeight="1" x14ac:dyDescent="0.35">
      <c r="R8" s="182">
        <v>54</v>
      </c>
      <c r="S8" s="183">
        <v>38</v>
      </c>
      <c r="T8" s="184">
        <v>107</v>
      </c>
      <c r="U8" s="185">
        <v>14</v>
      </c>
    </row>
    <row r="9" spans="1:21" ht="20.149999999999999" customHeight="1" thickBot="1" x14ac:dyDescent="0.4">
      <c r="A9" s="90" t="s">
        <v>5</v>
      </c>
      <c r="B9" s="90"/>
      <c r="C9" s="90"/>
      <c r="D9" s="105"/>
      <c r="E9" s="92" t="s">
        <v>4</v>
      </c>
      <c r="P9" s="93" t="str">
        <f>P1</f>
        <v>Q.5 - Hypothesis Test (BikeHired and Seasons)</v>
      </c>
      <c r="R9" s="186">
        <v>40</v>
      </c>
      <c r="S9" s="187">
        <v>13</v>
      </c>
      <c r="T9" s="188">
        <v>98</v>
      </c>
      <c r="U9" s="189">
        <v>66</v>
      </c>
    </row>
    <row r="10" spans="1:21" ht="20.149999999999999" customHeight="1" x14ac:dyDescent="0.35">
      <c r="B10" s="95"/>
      <c r="C10" s="96"/>
      <c r="D10" s="97"/>
      <c r="E10" s="96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8"/>
      <c r="R10" s="182">
        <v>37</v>
      </c>
      <c r="S10" s="183">
        <v>40</v>
      </c>
      <c r="T10" s="184">
        <v>81</v>
      </c>
      <c r="U10" s="185">
        <v>72</v>
      </c>
    </row>
    <row r="11" spans="1:21" ht="20.149999999999999" customHeight="1" x14ac:dyDescent="0.35">
      <c r="B11" s="99"/>
      <c r="C11" s="117"/>
      <c r="D11" s="118"/>
      <c r="E11" s="119"/>
      <c r="F11" s="120"/>
      <c r="G11" s="121"/>
      <c r="H11" s="106"/>
      <c r="I11" s="106"/>
      <c r="J11" s="106"/>
      <c r="K11" s="106"/>
      <c r="L11" s="106"/>
      <c r="P11" s="100"/>
      <c r="R11" s="186">
        <v>71</v>
      </c>
      <c r="S11" s="187">
        <v>42</v>
      </c>
      <c r="T11" s="188">
        <v>85</v>
      </c>
      <c r="U11" s="189">
        <v>64</v>
      </c>
    </row>
    <row r="12" spans="1:21" ht="20.149999999999999" customHeight="1" x14ac:dyDescent="0.35">
      <c r="B12" s="99"/>
      <c r="C12" s="122"/>
      <c r="H12" s="107"/>
      <c r="I12" s="107"/>
      <c r="J12" s="107"/>
      <c r="K12" s="107"/>
      <c r="L12" s="107"/>
      <c r="P12" s="100"/>
      <c r="R12" s="182">
        <v>107</v>
      </c>
      <c r="S12" s="183">
        <v>49</v>
      </c>
      <c r="T12" s="184">
        <v>87</v>
      </c>
      <c r="U12" s="185">
        <v>55</v>
      </c>
    </row>
    <row r="13" spans="1:21" ht="20.149999999999999" customHeight="1" x14ac:dyDescent="0.35">
      <c r="B13" s="99"/>
      <c r="C13" s="117"/>
      <c r="H13" s="107"/>
      <c r="I13" s="107"/>
      <c r="J13" s="107"/>
      <c r="K13" s="107"/>
      <c r="L13" s="107"/>
      <c r="P13" s="100"/>
      <c r="R13" s="186">
        <v>101</v>
      </c>
      <c r="S13" s="187">
        <v>41</v>
      </c>
      <c r="T13" s="188">
        <v>102</v>
      </c>
      <c r="U13" s="189">
        <v>66</v>
      </c>
    </row>
    <row r="14" spans="1:21" ht="18.5" x14ac:dyDescent="0.35">
      <c r="B14" s="99"/>
      <c r="C14" s="122"/>
      <c r="H14" s="108"/>
      <c r="I14" s="109"/>
      <c r="J14" s="109"/>
      <c r="K14" s="109"/>
      <c r="L14" s="109"/>
      <c r="M14" s="109"/>
      <c r="N14" s="109"/>
      <c r="O14" s="109"/>
      <c r="P14" s="100"/>
      <c r="R14" s="182">
        <v>94</v>
      </c>
      <c r="S14" s="183">
        <v>41</v>
      </c>
      <c r="T14" s="184">
        <v>110</v>
      </c>
      <c r="U14" s="185">
        <v>70</v>
      </c>
    </row>
    <row r="15" spans="1:21" ht="18.5" x14ac:dyDescent="0.35">
      <c r="B15" s="99"/>
      <c r="C15" s="236"/>
      <c r="D15" s="206" t="s">
        <v>142</v>
      </c>
      <c r="E15" s="206" t="s">
        <v>141</v>
      </c>
      <c r="F15" s="206" t="s">
        <v>143</v>
      </c>
      <c r="G15" s="206" t="s">
        <v>140</v>
      </c>
      <c r="I15" s="161"/>
      <c r="J15" s="164" t="s">
        <v>142</v>
      </c>
      <c r="K15" s="165" t="s">
        <v>141</v>
      </c>
      <c r="L15" s="163" t="s">
        <v>143</v>
      </c>
      <c r="M15" s="163" t="s">
        <v>140</v>
      </c>
      <c r="P15" s="100"/>
      <c r="R15" s="186">
        <v>95</v>
      </c>
      <c r="S15" s="187">
        <v>43</v>
      </c>
      <c r="T15" s="188">
        <v>118</v>
      </c>
      <c r="U15" s="189">
        <v>75</v>
      </c>
    </row>
    <row r="16" spans="1:21" ht="20.149999999999999" customHeight="1" x14ac:dyDescent="0.35">
      <c r="B16" s="99"/>
      <c r="C16" s="139"/>
      <c r="D16" s="139"/>
      <c r="E16" s="139"/>
      <c r="F16" s="159"/>
      <c r="G16" s="159"/>
      <c r="I16" s="162" t="s">
        <v>150</v>
      </c>
      <c r="J16" s="166">
        <v>0.05</v>
      </c>
      <c r="K16" s="166">
        <v>0.05</v>
      </c>
      <c r="L16" s="166">
        <v>0.05</v>
      </c>
      <c r="M16" s="166">
        <v>0.05</v>
      </c>
      <c r="P16" s="100"/>
      <c r="R16" s="182">
        <v>96</v>
      </c>
      <c r="S16" s="183">
        <v>54</v>
      </c>
      <c r="T16" s="184">
        <v>106</v>
      </c>
      <c r="U16" s="185">
        <v>75</v>
      </c>
    </row>
    <row r="17" spans="3:21" ht="20.149999999999999" customHeight="1" x14ac:dyDescent="0.35">
      <c r="C17" s="279" t="s">
        <v>101</v>
      </c>
      <c r="D17" s="280">
        <v>38.630434782608695</v>
      </c>
      <c r="E17" s="280">
        <v>91.677777777777777</v>
      </c>
      <c r="F17" s="280">
        <v>77.652173913043484</v>
      </c>
      <c r="G17" s="280">
        <v>65.054945054945051</v>
      </c>
      <c r="I17" s="162" t="s">
        <v>151</v>
      </c>
      <c r="J17" s="167">
        <f>-_xlfn.T.INV(J16,91)</f>
        <v>1.6617711550616978</v>
      </c>
      <c r="K17" s="167">
        <f>-_xlfn.T.INV(K16,89)</f>
        <v>1.6621553258697011</v>
      </c>
      <c r="L17" s="281">
        <f>-_xlfn.T.INV(L16,91)</f>
        <v>1.6617711550616978</v>
      </c>
      <c r="M17" s="281">
        <f>-_xlfn.T.INV(M16,90)</f>
        <v>1.661961084030164</v>
      </c>
      <c r="P17" s="100"/>
      <c r="R17" s="186">
        <v>74</v>
      </c>
      <c r="S17" s="187">
        <v>65</v>
      </c>
      <c r="T17" s="188">
        <v>89</v>
      </c>
      <c r="U17" s="189">
        <v>72</v>
      </c>
    </row>
    <row r="18" spans="3:21" ht="18.5" x14ac:dyDescent="0.35">
      <c r="C18" s="139" t="s">
        <v>102</v>
      </c>
      <c r="D18" s="159">
        <v>1.9187209437629238</v>
      </c>
      <c r="E18" s="159">
        <v>1.4243142580071633</v>
      </c>
      <c r="F18" s="159">
        <v>2.1419654417848237</v>
      </c>
      <c r="G18" s="159">
        <v>2.5237026617886436</v>
      </c>
      <c r="I18" s="168" t="s">
        <v>154</v>
      </c>
      <c r="J18" s="169">
        <f>(D17-75)/(D21/SQRT(D29))</f>
        <v>-18.955109306340646</v>
      </c>
      <c r="K18" s="169">
        <f>(E17-75)/(E21/SQRT(E29))</f>
        <v>11.709338500277724</v>
      </c>
      <c r="L18" s="282">
        <f>(F17-75)/(F21/SQRT(F29))</f>
        <v>1.2381964065832554</v>
      </c>
      <c r="M18" s="282">
        <f>(G17-75)/(G21/SQRT(G29))</f>
        <v>-3.9406603224828838</v>
      </c>
      <c r="P18" s="100"/>
      <c r="R18" s="182">
        <v>95</v>
      </c>
      <c r="S18" s="183">
        <v>62</v>
      </c>
      <c r="T18" s="184">
        <v>91</v>
      </c>
      <c r="U18" s="185">
        <v>55</v>
      </c>
    </row>
    <row r="19" spans="3:21" ht="31" x14ac:dyDescent="0.35">
      <c r="C19" s="139" t="s">
        <v>103</v>
      </c>
      <c r="D19" s="159">
        <v>32</v>
      </c>
      <c r="E19" s="159">
        <v>93</v>
      </c>
      <c r="F19" s="159">
        <v>81.5</v>
      </c>
      <c r="G19" s="159">
        <v>66</v>
      </c>
      <c r="I19" s="168"/>
      <c r="J19" s="170" t="s">
        <v>152</v>
      </c>
      <c r="K19" s="170" t="s">
        <v>153</v>
      </c>
      <c r="L19" s="274" t="s">
        <v>184</v>
      </c>
      <c r="M19" s="274" t="s">
        <v>185</v>
      </c>
      <c r="P19" s="100"/>
      <c r="R19" s="186">
        <v>91</v>
      </c>
      <c r="S19" s="187">
        <v>49</v>
      </c>
      <c r="T19" s="188">
        <v>87</v>
      </c>
      <c r="U19" s="189">
        <v>48</v>
      </c>
    </row>
    <row r="20" spans="3:21" ht="20.149999999999999" customHeight="1" x14ac:dyDescent="0.35">
      <c r="C20" s="139" t="s">
        <v>104</v>
      </c>
      <c r="D20" s="159">
        <v>20</v>
      </c>
      <c r="E20" s="159">
        <v>93</v>
      </c>
      <c r="F20" s="159">
        <v>73</v>
      </c>
      <c r="G20" s="159">
        <v>42</v>
      </c>
      <c r="I20" s="171"/>
      <c r="J20" s="171"/>
      <c r="K20" s="171"/>
      <c r="L20" s="160"/>
      <c r="M20" s="160"/>
      <c r="P20" s="100"/>
      <c r="R20" s="182">
        <v>85</v>
      </c>
      <c r="S20" s="183">
        <v>42</v>
      </c>
      <c r="T20" s="184">
        <v>76</v>
      </c>
      <c r="U20" s="185">
        <v>68</v>
      </c>
    </row>
    <row r="21" spans="3:21" ht="18.5" x14ac:dyDescent="0.35">
      <c r="C21" s="275" t="s">
        <v>105</v>
      </c>
      <c r="D21" s="276">
        <v>18.403724773077123</v>
      </c>
      <c r="E21" s="276">
        <v>13.512231477466061</v>
      </c>
      <c r="F21" s="276">
        <v>20.545010775116225</v>
      </c>
      <c r="G21" s="276">
        <v>24.074589018004787</v>
      </c>
      <c r="I21" s="171"/>
      <c r="J21" s="171"/>
      <c r="K21" s="171"/>
      <c r="L21" s="160"/>
      <c r="M21" s="160"/>
      <c r="P21" s="100"/>
      <c r="R21" s="186">
        <v>91</v>
      </c>
      <c r="S21" s="187">
        <v>54</v>
      </c>
      <c r="T21" s="188">
        <v>68</v>
      </c>
      <c r="U21" s="189">
        <v>75</v>
      </c>
    </row>
    <row r="22" spans="3:21" ht="18.5" x14ac:dyDescent="0.35">
      <c r="C22" s="139" t="s">
        <v>106</v>
      </c>
      <c r="D22" s="159">
        <v>338.69708552317257</v>
      </c>
      <c r="E22" s="159">
        <v>182.58039950062468</v>
      </c>
      <c r="F22" s="159">
        <v>422.09746774964185</v>
      </c>
      <c r="G22" s="159">
        <v>579.58583638583661</v>
      </c>
      <c r="J22" s="109"/>
      <c r="P22" s="177"/>
      <c r="R22" s="181">
        <v>53</v>
      </c>
      <c r="S22" s="190">
        <v>73</v>
      </c>
      <c r="T22" s="183">
        <v>42</v>
      </c>
      <c r="U22" s="191">
        <v>66</v>
      </c>
    </row>
    <row r="23" spans="3:21" ht="20.149999999999999" customHeight="1" x14ac:dyDescent="0.35">
      <c r="C23" s="139" t="s">
        <v>107</v>
      </c>
      <c r="D23" s="159">
        <v>-0.52340035947503738</v>
      </c>
      <c r="E23" s="159">
        <v>6.4526920491749244</v>
      </c>
      <c r="F23" s="159">
        <v>0.19499737960448016</v>
      </c>
      <c r="G23" s="159">
        <v>-0.99125546762524941</v>
      </c>
      <c r="P23" s="177"/>
      <c r="R23" s="186">
        <v>87</v>
      </c>
      <c r="S23" s="187">
        <v>37</v>
      </c>
      <c r="T23" s="188">
        <v>72</v>
      </c>
      <c r="U23" s="189">
        <v>62</v>
      </c>
    </row>
    <row r="24" spans="3:21" ht="18.5" x14ac:dyDescent="0.35">
      <c r="C24" s="139" t="s">
        <v>108</v>
      </c>
      <c r="D24" s="159">
        <v>0.71748706756655778</v>
      </c>
      <c r="E24" s="159">
        <v>-1.4239800748346134</v>
      </c>
      <c r="F24" s="159">
        <v>-0.74406218445559125</v>
      </c>
      <c r="G24" s="159">
        <v>-0.16754428725425741</v>
      </c>
      <c r="P24" s="177"/>
      <c r="R24" s="182">
        <v>96</v>
      </c>
      <c r="S24" s="183">
        <v>44</v>
      </c>
      <c r="T24" s="184">
        <v>76</v>
      </c>
      <c r="U24" s="185">
        <v>44</v>
      </c>
    </row>
    <row r="25" spans="3:21" ht="20.149999999999999" customHeight="1" x14ac:dyDescent="0.35">
      <c r="C25" s="139" t="s">
        <v>109</v>
      </c>
      <c r="D25" s="159">
        <v>70</v>
      </c>
      <c r="E25" s="159">
        <v>98</v>
      </c>
      <c r="F25" s="159">
        <v>98</v>
      </c>
      <c r="G25" s="159">
        <v>104</v>
      </c>
      <c r="P25" s="177"/>
      <c r="R25" s="186">
        <v>48</v>
      </c>
      <c r="S25" s="188">
        <v>50</v>
      </c>
      <c r="T25" s="188">
        <v>92</v>
      </c>
      <c r="U25" s="189">
        <v>20</v>
      </c>
    </row>
    <row r="26" spans="3:21" ht="20.149999999999999" customHeight="1" x14ac:dyDescent="0.35">
      <c r="C26" s="139" t="s">
        <v>110</v>
      </c>
      <c r="D26" s="159">
        <v>8</v>
      </c>
      <c r="E26" s="159">
        <v>23</v>
      </c>
      <c r="F26" s="159">
        <v>12</v>
      </c>
      <c r="G26" s="159">
        <v>12</v>
      </c>
      <c r="M26" s="172" t="s">
        <v>144</v>
      </c>
      <c r="N26" s="173"/>
      <c r="O26" s="174" t="s">
        <v>147</v>
      </c>
      <c r="P26" s="177"/>
      <c r="R26" s="182">
        <v>109</v>
      </c>
      <c r="S26" s="184">
        <v>33</v>
      </c>
      <c r="T26" s="184">
        <v>93</v>
      </c>
      <c r="U26" s="185">
        <v>15</v>
      </c>
    </row>
    <row r="27" spans="3:21" ht="20.149999999999999" customHeight="1" x14ac:dyDescent="0.35">
      <c r="C27" s="139" t="s">
        <v>111</v>
      </c>
      <c r="D27" s="159">
        <v>78</v>
      </c>
      <c r="E27" s="159">
        <v>121</v>
      </c>
      <c r="F27" s="159">
        <v>110</v>
      </c>
      <c r="G27" s="159">
        <v>116</v>
      </c>
      <c r="M27" s="172" t="s">
        <v>145</v>
      </c>
      <c r="N27" s="175"/>
      <c r="O27" s="176" t="s">
        <v>146</v>
      </c>
      <c r="P27" s="177"/>
      <c r="R27" s="186">
        <v>100</v>
      </c>
      <c r="S27" s="188">
        <v>40</v>
      </c>
      <c r="T27" s="188">
        <v>88</v>
      </c>
      <c r="U27" s="189">
        <v>27</v>
      </c>
    </row>
    <row r="28" spans="3:21" ht="20.149999999999999" customHeight="1" x14ac:dyDescent="0.35">
      <c r="C28" s="139" t="s">
        <v>112</v>
      </c>
      <c r="D28" s="159">
        <v>3554</v>
      </c>
      <c r="E28" s="159">
        <v>8251</v>
      </c>
      <c r="F28" s="159">
        <v>7144</v>
      </c>
      <c r="G28" s="159">
        <v>5920</v>
      </c>
      <c r="P28" s="177"/>
      <c r="R28" s="182">
        <v>93</v>
      </c>
      <c r="S28" s="184">
        <v>48</v>
      </c>
      <c r="T28" s="184">
        <v>77</v>
      </c>
      <c r="U28" s="185">
        <v>23</v>
      </c>
    </row>
    <row r="29" spans="3:21" ht="20.149999999999999" customHeight="1" x14ac:dyDescent="0.35">
      <c r="C29" s="277" t="s">
        <v>113</v>
      </c>
      <c r="D29" s="278">
        <v>92</v>
      </c>
      <c r="E29" s="278">
        <v>90</v>
      </c>
      <c r="F29" s="278">
        <v>92</v>
      </c>
      <c r="G29" s="278">
        <v>91</v>
      </c>
      <c r="P29" s="177"/>
      <c r="R29" s="186">
        <v>83</v>
      </c>
      <c r="S29" s="188">
        <v>30</v>
      </c>
      <c r="T29" s="188">
        <v>89</v>
      </c>
      <c r="U29" s="189">
        <v>46</v>
      </c>
    </row>
    <row r="30" spans="3:21" ht="20.149999999999999" customHeight="1" x14ac:dyDescent="0.35">
      <c r="P30" s="177"/>
      <c r="R30" s="182">
        <v>79</v>
      </c>
      <c r="S30" s="184">
        <v>34</v>
      </c>
      <c r="T30" s="184">
        <v>86</v>
      </c>
      <c r="U30" s="185">
        <v>48</v>
      </c>
    </row>
    <row r="31" spans="3:21" ht="20.149999999999999" customHeight="1" x14ac:dyDescent="0.35">
      <c r="P31" s="177"/>
      <c r="R31" s="186">
        <v>97</v>
      </c>
      <c r="S31" s="188">
        <v>44</v>
      </c>
      <c r="T31" s="188">
        <v>86</v>
      </c>
      <c r="U31" s="189">
        <v>60</v>
      </c>
    </row>
    <row r="32" spans="3:21" ht="18.5" x14ac:dyDescent="0.35">
      <c r="P32" s="177"/>
      <c r="R32" s="182">
        <v>104</v>
      </c>
      <c r="S32" s="184">
        <v>45</v>
      </c>
      <c r="T32" s="184">
        <v>97</v>
      </c>
      <c r="U32" s="185">
        <v>49</v>
      </c>
    </row>
    <row r="33" spans="1:21" ht="20.149999999999999" customHeight="1" x14ac:dyDescent="0.35">
      <c r="B33" s="99"/>
      <c r="P33" s="177"/>
      <c r="R33" s="186">
        <v>49</v>
      </c>
      <c r="S33" s="188">
        <v>65</v>
      </c>
      <c r="T33" s="188">
        <v>71</v>
      </c>
      <c r="U33" s="189">
        <v>20</v>
      </c>
    </row>
    <row r="34" spans="1:21" ht="20.149999999999999" customHeight="1" x14ac:dyDescent="0.35">
      <c r="B34" s="99"/>
      <c r="P34" s="177"/>
      <c r="R34" s="182">
        <v>58</v>
      </c>
      <c r="S34" s="184">
        <v>63</v>
      </c>
      <c r="T34" s="184">
        <v>92</v>
      </c>
      <c r="U34" s="185">
        <v>16</v>
      </c>
    </row>
    <row r="35" spans="1:21" ht="20.149999999999999" customHeight="1" x14ac:dyDescent="0.35">
      <c r="B35" s="99"/>
      <c r="P35" s="177"/>
      <c r="R35" s="186">
        <v>72</v>
      </c>
      <c r="S35" s="188">
        <v>36</v>
      </c>
      <c r="T35" s="188">
        <v>97</v>
      </c>
      <c r="U35" s="189">
        <v>27</v>
      </c>
    </row>
    <row r="36" spans="1:21" ht="20.149999999999999" customHeight="1" x14ac:dyDescent="0.35">
      <c r="B36" s="99"/>
      <c r="P36" s="177"/>
      <c r="R36" s="182">
        <v>89</v>
      </c>
      <c r="S36" s="184">
        <v>56</v>
      </c>
      <c r="T36" s="184">
        <v>85</v>
      </c>
      <c r="U36" s="185">
        <v>31</v>
      </c>
    </row>
    <row r="37" spans="1:21" ht="20.149999999999999" customHeight="1" x14ac:dyDescent="0.35">
      <c r="B37" s="99"/>
      <c r="C37" s="125"/>
      <c r="D37" s="123"/>
      <c r="E37" s="127"/>
      <c r="F37" s="124"/>
      <c r="G37" s="124"/>
      <c r="H37" s="124"/>
      <c r="I37" s="109"/>
      <c r="J37" s="109"/>
      <c r="K37" s="109"/>
      <c r="L37" s="109"/>
      <c r="M37" s="109"/>
      <c r="N37" s="109"/>
      <c r="O37" s="109"/>
      <c r="P37" s="177"/>
      <c r="R37" s="186">
        <v>96</v>
      </c>
      <c r="S37" s="188">
        <v>62</v>
      </c>
      <c r="T37" s="188">
        <v>76</v>
      </c>
      <c r="U37" s="189">
        <v>32</v>
      </c>
    </row>
    <row r="38" spans="1:21" ht="20.149999999999999" customHeight="1" x14ac:dyDescent="0.35">
      <c r="B38" s="99"/>
      <c r="C38" s="125"/>
      <c r="D38" s="126"/>
      <c r="E38" s="127"/>
      <c r="F38" s="127"/>
      <c r="G38" s="127"/>
      <c r="H38" s="127"/>
      <c r="I38" s="109"/>
      <c r="J38" s="113"/>
      <c r="K38" s="113"/>
      <c r="L38" s="113"/>
      <c r="M38" s="113"/>
      <c r="N38" s="113"/>
      <c r="O38" s="113"/>
      <c r="P38" s="114"/>
      <c r="R38" s="182">
        <v>96</v>
      </c>
      <c r="S38" s="184">
        <v>29</v>
      </c>
      <c r="T38" s="184">
        <v>87</v>
      </c>
      <c r="U38" s="185">
        <v>32</v>
      </c>
    </row>
    <row r="39" spans="1:21" ht="20.149999999999999" customHeight="1" x14ac:dyDescent="0.35">
      <c r="B39" s="99"/>
      <c r="C39" s="128"/>
      <c r="D39" s="123"/>
      <c r="E39" s="127"/>
      <c r="F39" s="124"/>
      <c r="G39" s="124"/>
      <c r="H39" s="124"/>
      <c r="I39" s="109"/>
      <c r="J39" s="109"/>
      <c r="K39" s="109"/>
      <c r="L39" s="109"/>
      <c r="M39" s="109"/>
      <c r="N39" s="109"/>
      <c r="O39" s="109"/>
      <c r="P39" s="100"/>
      <c r="R39" s="186">
        <v>100</v>
      </c>
      <c r="S39" s="188">
        <v>50</v>
      </c>
      <c r="T39" s="188">
        <v>92</v>
      </c>
      <c r="U39" s="189">
        <v>30</v>
      </c>
    </row>
    <row r="40" spans="1:21" ht="20.149999999999999" customHeight="1" x14ac:dyDescent="0.35">
      <c r="B40" s="99"/>
      <c r="C40" s="128"/>
      <c r="D40" s="123"/>
      <c r="E40" s="127"/>
      <c r="F40" s="124"/>
      <c r="G40" s="124"/>
      <c r="H40" s="124"/>
      <c r="I40" s="109"/>
      <c r="J40" s="109"/>
      <c r="K40" s="109"/>
      <c r="L40" s="109"/>
      <c r="M40" s="109"/>
      <c r="N40" s="109"/>
      <c r="O40" s="109"/>
      <c r="P40" s="100"/>
      <c r="R40" s="182">
        <v>108</v>
      </c>
      <c r="S40" s="184">
        <v>58</v>
      </c>
      <c r="T40" s="184">
        <v>96</v>
      </c>
      <c r="U40" s="185">
        <v>19</v>
      </c>
    </row>
    <row r="41" spans="1:21" ht="20.149999999999999" customHeight="1" x14ac:dyDescent="0.35">
      <c r="B41" s="99"/>
      <c r="C41" s="129"/>
      <c r="D41" s="130"/>
      <c r="E41" s="131"/>
      <c r="F41" s="132"/>
      <c r="G41" s="132"/>
      <c r="H41" s="132"/>
      <c r="I41" s="109"/>
      <c r="J41" s="109"/>
      <c r="K41" s="109"/>
      <c r="L41" s="109"/>
      <c r="M41" s="115"/>
      <c r="N41" s="109"/>
      <c r="O41" s="109"/>
      <c r="P41" s="100"/>
      <c r="R41" s="186">
        <v>110</v>
      </c>
      <c r="S41" s="188">
        <v>67</v>
      </c>
      <c r="T41" s="188">
        <v>96</v>
      </c>
      <c r="U41" s="189">
        <v>16</v>
      </c>
    </row>
    <row r="42" spans="1:21" ht="20.149999999999999" customHeight="1" x14ac:dyDescent="0.35">
      <c r="B42" s="99"/>
      <c r="C42" s="133"/>
      <c r="D42" s="109"/>
      <c r="E42" s="109"/>
      <c r="F42" s="109"/>
      <c r="G42" s="109"/>
      <c r="H42" s="109"/>
      <c r="I42" s="109"/>
      <c r="J42" s="109"/>
      <c r="K42" s="109"/>
      <c r="L42" s="109"/>
      <c r="M42" s="115"/>
      <c r="N42" s="109"/>
      <c r="O42" s="109"/>
      <c r="P42" s="100"/>
      <c r="R42" s="182">
        <v>102</v>
      </c>
      <c r="S42" s="184">
        <v>41</v>
      </c>
      <c r="T42" s="184">
        <v>98</v>
      </c>
      <c r="U42" s="185">
        <v>27</v>
      </c>
    </row>
    <row r="43" spans="1:21" ht="20.149999999999999" customHeight="1" x14ac:dyDescent="0.35">
      <c r="B43" s="99"/>
      <c r="C43" s="110"/>
      <c r="D43" s="109"/>
      <c r="E43" s="109"/>
      <c r="F43" s="109"/>
      <c r="G43" s="109"/>
      <c r="H43" s="109"/>
      <c r="I43" s="109"/>
      <c r="J43" s="109"/>
      <c r="K43" s="109"/>
      <c r="L43" s="109"/>
      <c r="M43" s="115"/>
      <c r="N43" s="109"/>
      <c r="O43" s="109"/>
      <c r="P43" s="100"/>
      <c r="R43" s="186">
        <v>91</v>
      </c>
      <c r="S43" s="188">
        <v>43</v>
      </c>
      <c r="T43" s="188">
        <v>83</v>
      </c>
      <c r="U43" s="189">
        <v>25</v>
      </c>
    </row>
    <row r="44" spans="1:21" ht="20.149999999999999" customHeight="1" x14ac:dyDescent="0.35">
      <c r="B44" s="99"/>
      <c r="C44" s="110"/>
      <c r="D44" s="109"/>
      <c r="E44" s="109"/>
      <c r="F44" s="109"/>
      <c r="G44" s="109"/>
      <c r="H44" s="109"/>
      <c r="I44" s="109"/>
      <c r="J44" s="109"/>
      <c r="K44" s="109"/>
      <c r="L44" s="109"/>
      <c r="M44" s="115"/>
      <c r="N44" s="109"/>
      <c r="O44" s="109"/>
      <c r="P44" s="100"/>
      <c r="R44" s="182">
        <v>48</v>
      </c>
      <c r="S44" s="184">
        <v>66</v>
      </c>
      <c r="T44" s="184">
        <v>77</v>
      </c>
      <c r="U44" s="185">
        <v>24</v>
      </c>
    </row>
    <row r="45" spans="1:21" ht="20.149999999999999" customHeight="1" x14ac:dyDescent="0.35">
      <c r="B45" s="99"/>
      <c r="C45" s="110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0"/>
      <c r="R45" s="186">
        <v>58</v>
      </c>
      <c r="S45" s="188">
        <v>63</v>
      </c>
      <c r="T45" s="188">
        <v>87</v>
      </c>
      <c r="U45" s="189">
        <v>28</v>
      </c>
    </row>
    <row r="46" spans="1:21" ht="19" thickBot="1" x14ac:dyDescent="0.4">
      <c r="B46" s="101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4"/>
      <c r="R46" s="182">
        <v>73</v>
      </c>
      <c r="S46" s="184">
        <v>15</v>
      </c>
      <c r="T46" s="184">
        <v>94</v>
      </c>
      <c r="U46" s="185">
        <v>28</v>
      </c>
    </row>
    <row r="47" spans="1:21" ht="18.5" x14ac:dyDescent="0.35">
      <c r="C47" s="91"/>
      <c r="E47" s="91"/>
      <c r="R47" s="186">
        <v>104</v>
      </c>
      <c r="S47" s="188">
        <v>75</v>
      </c>
      <c r="T47" s="188">
        <v>94</v>
      </c>
      <c r="U47" s="189">
        <v>25</v>
      </c>
    </row>
    <row r="48" spans="1:21" ht="18.5" x14ac:dyDescent="0.35">
      <c r="A48" s="90" t="s">
        <v>6</v>
      </c>
      <c r="B48" s="91"/>
      <c r="E48" s="92" t="s">
        <v>83</v>
      </c>
      <c r="R48" s="182">
        <v>101</v>
      </c>
      <c r="S48" s="184">
        <v>68</v>
      </c>
      <c r="T48" s="184">
        <v>76</v>
      </c>
      <c r="U48" s="185">
        <v>24</v>
      </c>
    </row>
    <row r="49" spans="1:21" ht="19" thickBot="1" x14ac:dyDescent="0.4">
      <c r="R49" s="186">
        <v>91</v>
      </c>
      <c r="S49" s="188">
        <v>64</v>
      </c>
      <c r="T49" s="188">
        <v>83</v>
      </c>
      <c r="U49" s="189">
        <v>20</v>
      </c>
    </row>
    <row r="50" spans="1:21" ht="18.5" x14ac:dyDescent="0.35">
      <c r="E50" s="157"/>
      <c r="G50" s="157"/>
      <c r="R50" s="182">
        <v>95</v>
      </c>
      <c r="S50" s="184">
        <v>79</v>
      </c>
      <c r="T50" s="184">
        <v>104</v>
      </c>
      <c r="U50" s="185">
        <v>13</v>
      </c>
    </row>
    <row r="51" spans="1:21" ht="18.5" x14ac:dyDescent="0.35">
      <c r="A51"/>
      <c r="B51"/>
      <c r="C51"/>
      <c r="D51"/>
      <c r="E51"/>
      <c r="G51"/>
      <c r="I51"/>
      <c r="J51"/>
      <c r="K51"/>
      <c r="L51"/>
      <c r="M51"/>
      <c r="N51"/>
      <c r="O51"/>
      <c r="P51"/>
      <c r="R51" s="186">
        <v>48</v>
      </c>
      <c r="S51" s="188">
        <v>84</v>
      </c>
      <c r="T51" s="188">
        <v>77</v>
      </c>
      <c r="U51" s="189">
        <v>33</v>
      </c>
    </row>
    <row r="52" spans="1:21" ht="18.5" x14ac:dyDescent="0.35">
      <c r="A52"/>
      <c r="B52"/>
      <c r="C52"/>
      <c r="D52"/>
      <c r="E52"/>
      <c r="G52"/>
      <c r="I52"/>
      <c r="J52"/>
      <c r="K52"/>
      <c r="L52"/>
      <c r="M52"/>
      <c r="N52"/>
      <c r="O52"/>
      <c r="P52"/>
      <c r="R52" s="182">
        <v>83</v>
      </c>
      <c r="S52" s="184">
        <v>34</v>
      </c>
      <c r="T52" s="184">
        <v>96</v>
      </c>
      <c r="U52" s="185">
        <v>39</v>
      </c>
    </row>
    <row r="53" spans="1:21" ht="18.5" x14ac:dyDescent="0.35">
      <c r="A53"/>
      <c r="B53"/>
      <c r="C53"/>
      <c r="D53"/>
      <c r="E53"/>
      <c r="G53"/>
      <c r="I53"/>
      <c r="J53"/>
      <c r="K53"/>
      <c r="L53"/>
      <c r="M53"/>
      <c r="N53"/>
      <c r="O53"/>
      <c r="P53"/>
      <c r="R53" s="186">
        <v>87</v>
      </c>
      <c r="S53" s="188">
        <v>80</v>
      </c>
      <c r="T53" s="188">
        <v>118</v>
      </c>
      <c r="U53" s="189">
        <v>31</v>
      </c>
    </row>
    <row r="54" spans="1:21" ht="18.5" x14ac:dyDescent="0.35">
      <c r="A54"/>
      <c r="B54"/>
      <c r="C54"/>
      <c r="D54"/>
      <c r="E54"/>
      <c r="G54"/>
      <c r="I54"/>
      <c r="J54"/>
      <c r="K54"/>
      <c r="L54"/>
      <c r="M54"/>
      <c r="N54"/>
      <c r="O54"/>
      <c r="P54"/>
      <c r="R54" s="182">
        <v>86</v>
      </c>
      <c r="S54" s="184">
        <v>84</v>
      </c>
      <c r="T54" s="184">
        <v>103</v>
      </c>
      <c r="U54" s="185">
        <v>20</v>
      </c>
    </row>
    <row r="55" spans="1:21" ht="18.5" x14ac:dyDescent="0.35">
      <c r="A55"/>
      <c r="B55"/>
      <c r="C55"/>
      <c r="D55"/>
      <c r="E55"/>
      <c r="G55"/>
      <c r="I55"/>
      <c r="J55"/>
      <c r="K55"/>
      <c r="L55"/>
      <c r="M55"/>
      <c r="N55"/>
      <c r="O55"/>
      <c r="P55"/>
      <c r="R55" s="186">
        <v>87</v>
      </c>
      <c r="S55" s="188">
        <v>81</v>
      </c>
      <c r="T55" s="188">
        <v>71</v>
      </c>
      <c r="U55" s="189">
        <v>20</v>
      </c>
    </row>
    <row r="56" spans="1:21" ht="18.5" x14ac:dyDescent="0.35">
      <c r="A56"/>
      <c r="B56"/>
      <c r="C56"/>
      <c r="D56"/>
      <c r="E56"/>
      <c r="G56"/>
      <c r="I56"/>
      <c r="J56"/>
      <c r="K56"/>
      <c r="L56"/>
      <c r="M56"/>
      <c r="N56"/>
      <c r="O56"/>
      <c r="P56"/>
      <c r="R56" s="182">
        <v>84</v>
      </c>
      <c r="S56" s="184">
        <v>88</v>
      </c>
      <c r="T56" s="184">
        <v>93</v>
      </c>
      <c r="U56" s="185">
        <v>29</v>
      </c>
    </row>
    <row r="57" spans="1:21" ht="18.5" x14ac:dyDescent="0.35">
      <c r="A57"/>
      <c r="B57"/>
      <c r="C57"/>
      <c r="D57"/>
      <c r="E57"/>
      <c r="G57"/>
      <c r="I57"/>
      <c r="J57"/>
      <c r="K57"/>
      <c r="L57"/>
      <c r="M57"/>
      <c r="N57"/>
      <c r="O57"/>
      <c r="P57"/>
      <c r="R57" s="186">
        <v>94</v>
      </c>
      <c r="S57" s="188">
        <v>78</v>
      </c>
      <c r="T57" s="188">
        <v>23</v>
      </c>
      <c r="U57" s="189">
        <v>40</v>
      </c>
    </row>
    <row r="58" spans="1:21" ht="18.5" x14ac:dyDescent="0.35">
      <c r="A58"/>
      <c r="B58"/>
      <c r="C58"/>
      <c r="D58"/>
      <c r="E58"/>
      <c r="G58"/>
      <c r="I58"/>
      <c r="J58"/>
      <c r="K58"/>
      <c r="L58"/>
      <c r="M58"/>
      <c r="N58"/>
      <c r="O58"/>
      <c r="P58"/>
      <c r="R58" s="182">
        <v>78</v>
      </c>
      <c r="S58" s="184">
        <v>81</v>
      </c>
      <c r="T58" s="184">
        <v>86</v>
      </c>
      <c r="U58" s="185">
        <v>10</v>
      </c>
    </row>
    <row r="59" spans="1:21" ht="18.5" x14ac:dyDescent="0.35">
      <c r="A59"/>
      <c r="B59"/>
      <c r="C59"/>
      <c r="D59"/>
      <c r="E59"/>
      <c r="G59"/>
      <c r="I59"/>
      <c r="J59"/>
      <c r="K59"/>
      <c r="L59"/>
      <c r="M59"/>
      <c r="N59"/>
      <c r="O59"/>
      <c r="P59"/>
      <c r="R59" s="186">
        <v>53</v>
      </c>
      <c r="S59" s="188">
        <v>92</v>
      </c>
      <c r="T59" s="188">
        <v>93</v>
      </c>
      <c r="U59" s="189">
        <v>8</v>
      </c>
    </row>
    <row r="60" spans="1:21" s="94" customFormat="1" ht="18.5" x14ac:dyDescent="0.35">
      <c r="A60"/>
      <c r="B60"/>
      <c r="C60"/>
      <c r="D60"/>
      <c r="E60"/>
      <c r="G60"/>
      <c r="I60"/>
      <c r="J60"/>
      <c r="K60"/>
      <c r="L60"/>
      <c r="M60"/>
      <c r="N60"/>
      <c r="O60"/>
      <c r="P60"/>
      <c r="R60" s="182">
        <v>75</v>
      </c>
      <c r="S60" s="184">
        <v>106</v>
      </c>
      <c r="T60" s="184">
        <v>105</v>
      </c>
      <c r="U60" s="185">
        <v>24</v>
      </c>
    </row>
    <row r="61" spans="1:21" s="94" customFormat="1" ht="18.5" x14ac:dyDescent="0.35">
      <c r="A61"/>
      <c r="B61"/>
      <c r="C61"/>
      <c r="D61"/>
      <c r="E61"/>
      <c r="G61"/>
      <c r="I61"/>
      <c r="J61"/>
      <c r="K61"/>
      <c r="L61"/>
      <c r="M61"/>
      <c r="N61"/>
      <c r="O61"/>
      <c r="P61"/>
      <c r="R61" s="186">
        <v>12</v>
      </c>
      <c r="S61" s="188">
        <v>67</v>
      </c>
      <c r="T61" s="188">
        <v>100</v>
      </c>
      <c r="U61" s="189">
        <v>22</v>
      </c>
    </row>
    <row r="62" spans="1:21" s="94" customFormat="1" ht="18.5" x14ac:dyDescent="0.35">
      <c r="A62"/>
      <c r="B62"/>
      <c r="C62"/>
      <c r="D62"/>
      <c r="E62"/>
      <c r="G62"/>
      <c r="I62"/>
      <c r="J62"/>
      <c r="K62"/>
      <c r="L62"/>
      <c r="M62"/>
      <c r="N62"/>
      <c r="O62"/>
      <c r="P62"/>
      <c r="R62" s="182">
        <v>67</v>
      </c>
      <c r="S62" s="184">
        <v>88</v>
      </c>
      <c r="T62" s="184">
        <v>106</v>
      </c>
      <c r="U62" s="185">
        <v>22</v>
      </c>
    </row>
    <row r="63" spans="1:21" s="94" customFormat="1" ht="18.5" x14ac:dyDescent="0.35">
      <c r="A63"/>
      <c r="B63"/>
      <c r="C63"/>
      <c r="D63"/>
      <c r="E63"/>
      <c r="G63"/>
      <c r="I63"/>
      <c r="J63"/>
      <c r="K63"/>
      <c r="L63"/>
      <c r="M63"/>
      <c r="N63"/>
      <c r="O63"/>
      <c r="P63"/>
      <c r="R63" s="186">
        <v>73</v>
      </c>
      <c r="S63" s="188">
        <v>89</v>
      </c>
      <c r="T63" s="188">
        <v>106</v>
      </c>
      <c r="U63" s="189">
        <v>30</v>
      </c>
    </row>
    <row r="64" spans="1:21" s="94" customFormat="1" ht="19" thickBot="1" x14ac:dyDescent="0.4">
      <c r="A64"/>
      <c r="B64"/>
      <c r="C64"/>
      <c r="D64"/>
      <c r="E64" s="156"/>
      <c r="G64" s="156"/>
      <c r="I64"/>
      <c r="J64"/>
      <c r="K64"/>
      <c r="L64"/>
      <c r="M64"/>
      <c r="N64"/>
      <c r="O64"/>
      <c r="P64"/>
      <c r="R64" s="182">
        <v>81</v>
      </c>
      <c r="S64" s="184">
        <v>53</v>
      </c>
      <c r="T64" s="184">
        <v>98</v>
      </c>
      <c r="U64" s="185">
        <v>27</v>
      </c>
    </row>
    <row r="65" spans="1:21" s="94" customFormat="1" ht="18.5" x14ac:dyDescent="0.3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R65" s="186">
        <v>83</v>
      </c>
      <c r="S65" s="188">
        <v>88</v>
      </c>
      <c r="T65" s="188">
        <v>91</v>
      </c>
      <c r="U65" s="189">
        <v>30</v>
      </c>
    </row>
    <row r="66" spans="1:21" s="94" customFormat="1" ht="18.5" x14ac:dyDescent="0.35">
      <c r="F66" t="e">
        <f>(G44-F27)/(G48/SQRT(G56))</f>
        <v>#DIV/0!</v>
      </c>
      <c r="R66" s="182">
        <v>79</v>
      </c>
      <c r="S66" s="184">
        <v>92</v>
      </c>
      <c r="T66" s="184">
        <v>96</v>
      </c>
      <c r="U66" s="185">
        <v>31</v>
      </c>
    </row>
    <row r="67" spans="1:21" s="94" customFormat="1" ht="18.5" x14ac:dyDescent="0.35">
      <c r="R67" s="186">
        <v>81</v>
      </c>
      <c r="S67" s="188">
        <v>94</v>
      </c>
      <c r="T67" s="188">
        <v>89</v>
      </c>
      <c r="U67" s="189">
        <v>34</v>
      </c>
    </row>
    <row r="68" spans="1:21" s="94" customFormat="1" ht="18.5" x14ac:dyDescent="0.35">
      <c r="R68" s="182">
        <v>78</v>
      </c>
      <c r="S68" s="184">
        <v>87</v>
      </c>
      <c r="T68" s="184">
        <v>78</v>
      </c>
      <c r="U68" s="185">
        <v>20</v>
      </c>
    </row>
    <row r="69" spans="1:21" s="94" customFormat="1" ht="18.5" x14ac:dyDescent="0.35">
      <c r="R69" s="186">
        <v>73</v>
      </c>
      <c r="S69" s="188">
        <v>87</v>
      </c>
      <c r="T69" s="188">
        <v>91</v>
      </c>
      <c r="U69" s="189">
        <v>32</v>
      </c>
    </row>
    <row r="70" spans="1:21" s="94" customFormat="1" ht="18.5" x14ac:dyDescent="0.35">
      <c r="R70" s="182">
        <v>80</v>
      </c>
      <c r="S70" s="184">
        <v>96</v>
      </c>
      <c r="T70" s="184">
        <v>100</v>
      </c>
      <c r="U70" s="185">
        <v>34</v>
      </c>
    </row>
    <row r="71" spans="1:21" s="94" customFormat="1" ht="18.5" x14ac:dyDescent="0.35">
      <c r="R71" s="186">
        <v>85</v>
      </c>
      <c r="S71" s="188">
        <v>84</v>
      </c>
      <c r="T71" s="188">
        <v>89</v>
      </c>
      <c r="U71" s="189">
        <v>30</v>
      </c>
    </row>
    <row r="72" spans="1:21" s="94" customFormat="1" ht="18.5" x14ac:dyDescent="0.35">
      <c r="R72" s="182">
        <v>82</v>
      </c>
      <c r="S72" s="184">
        <v>97</v>
      </c>
      <c r="T72" s="184">
        <v>100</v>
      </c>
      <c r="U72" s="185">
        <v>32</v>
      </c>
    </row>
    <row r="73" spans="1:21" s="94" customFormat="1" ht="18.5" x14ac:dyDescent="0.35">
      <c r="R73" s="186">
        <v>59</v>
      </c>
      <c r="S73" s="188">
        <v>82</v>
      </c>
      <c r="T73" s="188">
        <v>98</v>
      </c>
      <c r="U73" s="189">
        <v>31</v>
      </c>
    </row>
    <row r="74" spans="1:21" s="94" customFormat="1" ht="18.5" x14ac:dyDescent="0.35">
      <c r="R74" s="182">
        <v>68</v>
      </c>
      <c r="S74" s="184">
        <v>68</v>
      </c>
      <c r="T74" s="184">
        <v>103</v>
      </c>
      <c r="U74" s="185">
        <v>35</v>
      </c>
    </row>
    <row r="75" spans="1:21" s="94" customFormat="1" ht="18.5" x14ac:dyDescent="0.35">
      <c r="R75" s="186">
        <v>82</v>
      </c>
      <c r="S75" s="188">
        <v>91</v>
      </c>
      <c r="T75" s="188">
        <v>75</v>
      </c>
      <c r="U75" s="189">
        <v>30</v>
      </c>
    </row>
    <row r="76" spans="1:21" s="94" customFormat="1" ht="18.5" x14ac:dyDescent="0.35">
      <c r="R76" s="182">
        <v>74</v>
      </c>
      <c r="S76" s="184">
        <v>79</v>
      </c>
      <c r="T76" s="184">
        <v>97</v>
      </c>
      <c r="U76" s="185">
        <v>32</v>
      </c>
    </row>
    <row r="77" spans="1:21" s="94" customFormat="1" ht="18.5" x14ac:dyDescent="0.35">
      <c r="R77" s="186">
        <v>90</v>
      </c>
      <c r="S77" s="188">
        <v>83</v>
      </c>
      <c r="T77" s="188">
        <v>102</v>
      </c>
      <c r="U77" s="189">
        <v>38</v>
      </c>
    </row>
    <row r="78" spans="1:21" s="94" customFormat="1" ht="18.5" x14ac:dyDescent="0.35">
      <c r="R78" s="182">
        <v>84</v>
      </c>
      <c r="S78" s="184">
        <v>77</v>
      </c>
      <c r="T78" s="184">
        <v>95</v>
      </c>
      <c r="U78" s="185">
        <v>37</v>
      </c>
    </row>
    <row r="79" spans="1:21" s="94" customFormat="1" ht="18.5" x14ac:dyDescent="0.35">
      <c r="R79" s="186">
        <v>36</v>
      </c>
      <c r="S79" s="188">
        <v>92</v>
      </c>
      <c r="T79" s="188">
        <v>80</v>
      </c>
      <c r="U79" s="189">
        <v>42</v>
      </c>
    </row>
    <row r="80" spans="1:21" s="94" customFormat="1" ht="18.5" x14ac:dyDescent="0.35">
      <c r="R80" s="182">
        <v>61</v>
      </c>
      <c r="S80" s="184">
        <v>98</v>
      </c>
      <c r="T80" s="184">
        <v>96</v>
      </c>
      <c r="U80" s="185">
        <v>49</v>
      </c>
    </row>
    <row r="81" spans="18:24" s="94" customFormat="1" ht="18.5" x14ac:dyDescent="0.35">
      <c r="R81" s="186">
        <v>68</v>
      </c>
      <c r="S81" s="188">
        <v>116</v>
      </c>
      <c r="T81" s="188">
        <v>90</v>
      </c>
      <c r="U81" s="189">
        <v>59</v>
      </c>
    </row>
    <row r="82" spans="18:24" s="94" customFormat="1" ht="18.5" x14ac:dyDescent="0.35">
      <c r="R82" s="182">
        <v>73</v>
      </c>
      <c r="S82" s="184">
        <v>94</v>
      </c>
      <c r="T82" s="184">
        <v>96</v>
      </c>
      <c r="U82" s="185">
        <v>33</v>
      </c>
    </row>
    <row r="83" spans="18:24" s="94" customFormat="1" ht="18.5" x14ac:dyDescent="0.35">
      <c r="R83" s="186">
        <v>71</v>
      </c>
      <c r="S83" s="188">
        <v>86</v>
      </c>
      <c r="T83" s="188">
        <v>99</v>
      </c>
      <c r="U83" s="189">
        <v>36</v>
      </c>
    </row>
    <row r="84" spans="18:24" s="94" customFormat="1" ht="18.5" x14ac:dyDescent="0.35">
      <c r="R84" s="182">
        <v>55</v>
      </c>
      <c r="S84" s="184">
        <v>90</v>
      </c>
      <c r="T84" s="184">
        <v>104</v>
      </c>
      <c r="U84" s="185">
        <v>22</v>
      </c>
    </row>
    <row r="85" spans="18:24" s="94" customFormat="1" ht="18.5" x14ac:dyDescent="0.35">
      <c r="R85" s="186">
        <v>32</v>
      </c>
      <c r="S85" s="188">
        <v>100</v>
      </c>
      <c r="T85" s="188">
        <v>106</v>
      </c>
      <c r="U85" s="189">
        <v>29</v>
      </c>
    </row>
    <row r="86" spans="18:24" s="94" customFormat="1" ht="18.5" x14ac:dyDescent="0.35">
      <c r="R86" s="182">
        <v>51</v>
      </c>
      <c r="S86" s="184">
        <v>93</v>
      </c>
      <c r="T86" s="184">
        <v>94</v>
      </c>
      <c r="U86" s="185">
        <v>39</v>
      </c>
    </row>
    <row r="87" spans="18:24" s="94" customFormat="1" ht="18.5" x14ac:dyDescent="0.35">
      <c r="R87" s="186">
        <v>30</v>
      </c>
      <c r="S87" s="188">
        <v>93</v>
      </c>
      <c r="T87" s="188">
        <v>93</v>
      </c>
      <c r="U87" s="189">
        <v>36</v>
      </c>
    </row>
    <row r="88" spans="18:24" s="94" customFormat="1" ht="18.5" x14ac:dyDescent="0.35">
      <c r="R88" s="182">
        <v>56</v>
      </c>
      <c r="S88" s="184">
        <v>95</v>
      </c>
      <c r="T88" s="184">
        <v>105</v>
      </c>
      <c r="U88" s="185">
        <v>29</v>
      </c>
    </row>
    <row r="89" spans="18:24" s="94" customFormat="1" ht="18.5" x14ac:dyDescent="0.35">
      <c r="R89" s="186">
        <v>61</v>
      </c>
      <c r="S89" s="188">
        <v>96</v>
      </c>
      <c r="T89" s="188">
        <v>111</v>
      </c>
      <c r="U89" s="189">
        <v>39</v>
      </c>
    </row>
    <row r="90" spans="18:24" s="94" customFormat="1" ht="18.5" x14ac:dyDescent="0.35">
      <c r="R90" s="182">
        <v>61</v>
      </c>
      <c r="S90" s="184">
        <v>82</v>
      </c>
      <c r="T90" s="184">
        <v>107</v>
      </c>
      <c r="U90" s="185">
        <v>48</v>
      </c>
    </row>
    <row r="91" spans="18:24" s="94" customFormat="1" ht="18.5" x14ac:dyDescent="0.35">
      <c r="R91" s="186">
        <v>77</v>
      </c>
      <c r="S91" s="188">
        <v>79</v>
      </c>
      <c r="T91" s="188">
        <v>102</v>
      </c>
      <c r="U91" s="189">
        <v>29</v>
      </c>
    </row>
    <row r="92" spans="18:24" s="94" customFormat="1" ht="18.5" x14ac:dyDescent="0.35">
      <c r="R92" s="182">
        <v>58</v>
      </c>
      <c r="S92" s="184">
        <v>79</v>
      </c>
      <c r="T92" s="184"/>
      <c r="U92" s="185">
        <v>37</v>
      </c>
      <c r="V92" s="154"/>
    </row>
    <row r="93" spans="18:24" s="94" customFormat="1" ht="18.5" x14ac:dyDescent="0.35">
      <c r="R93" s="192">
        <v>73</v>
      </c>
      <c r="S93" s="193"/>
      <c r="T93" s="193"/>
      <c r="U93" s="194">
        <v>43</v>
      </c>
      <c r="V93" s="154"/>
    </row>
    <row r="94" spans="18:24" s="94" customFormat="1" ht="18.5" x14ac:dyDescent="0.35">
      <c r="R94" s="4"/>
      <c r="S94" s="180"/>
      <c r="T94" s="180"/>
      <c r="U94" s="180"/>
      <c r="V94" s="154"/>
      <c r="W94" s="154"/>
      <c r="X94" s="155"/>
    </row>
    <row r="95" spans="18:24" s="94" customFormat="1" ht="18.5" x14ac:dyDescent="0.35">
      <c r="R95" s="158"/>
    </row>
    <row r="96" spans="18:24" s="94" customFormat="1" ht="18.5" x14ac:dyDescent="0.35">
      <c r="R96" s="158"/>
    </row>
    <row r="97" spans="18:18" s="94" customFormat="1" ht="18.5" x14ac:dyDescent="0.35">
      <c r="R97" s="158"/>
    </row>
    <row r="98" spans="18:18" s="94" customFormat="1" ht="18.5" x14ac:dyDescent="0.35">
      <c r="R98" s="85"/>
    </row>
    <row r="99" spans="18:18" s="94" customFormat="1" ht="18.5" x14ac:dyDescent="0.35">
      <c r="R99" s="85"/>
    </row>
    <row r="100" spans="18:18" s="94" customFormat="1" ht="18.5" x14ac:dyDescent="0.35">
      <c r="R100" s="85"/>
    </row>
    <row r="101" spans="18:18" s="94" customFormat="1" ht="18.5" x14ac:dyDescent="0.35">
      <c r="R101" s="85"/>
    </row>
    <row r="102" spans="18:18" s="94" customFormat="1" ht="18.5" x14ac:dyDescent="0.35">
      <c r="R102" s="85"/>
    </row>
    <row r="103" spans="18:18" s="94" customFormat="1" ht="18.5" x14ac:dyDescent="0.35">
      <c r="R103" s="85"/>
    </row>
    <row r="104" spans="18:18" s="94" customFormat="1" ht="18.5" x14ac:dyDescent="0.35">
      <c r="R104" s="85"/>
    </row>
    <row r="105" spans="18:18" s="94" customFormat="1" ht="18.5" x14ac:dyDescent="0.35">
      <c r="R105" s="85"/>
    </row>
    <row r="106" spans="18:18" s="94" customFormat="1" ht="18.5" x14ac:dyDescent="0.35">
      <c r="R106" s="85"/>
    </row>
    <row r="107" spans="18:18" s="94" customFormat="1" ht="18.5" x14ac:dyDescent="0.35">
      <c r="R107" s="85"/>
    </row>
    <row r="108" spans="18:18" s="94" customFormat="1" ht="18.5" x14ac:dyDescent="0.35">
      <c r="R108" s="85"/>
    </row>
    <row r="109" spans="18:18" s="94" customFormat="1" ht="18.5" x14ac:dyDescent="0.35">
      <c r="R109" s="85"/>
    </row>
    <row r="110" spans="18:18" s="94" customFormat="1" ht="18.5" x14ac:dyDescent="0.35">
      <c r="R110" s="85"/>
    </row>
    <row r="111" spans="18:18" s="94" customFormat="1" ht="18.5" x14ac:dyDescent="0.35">
      <c r="R111" s="85"/>
    </row>
    <row r="112" spans="18:18" s="94" customFormat="1" ht="18.5" x14ac:dyDescent="0.35">
      <c r="R112" s="85"/>
    </row>
    <row r="113" spans="18:18" s="94" customFormat="1" ht="18.5" x14ac:dyDescent="0.35">
      <c r="R113" s="85"/>
    </row>
    <row r="114" spans="18:18" s="94" customFormat="1" ht="18.5" x14ac:dyDescent="0.35">
      <c r="R114" s="85"/>
    </row>
    <row r="115" spans="18:18" s="94" customFormat="1" ht="18.5" x14ac:dyDescent="0.35">
      <c r="R115" s="85"/>
    </row>
    <row r="116" spans="18:18" s="94" customFormat="1" ht="18.5" x14ac:dyDescent="0.35">
      <c r="R116" s="85"/>
    </row>
    <row r="117" spans="18:18" s="94" customFormat="1" ht="18.5" x14ac:dyDescent="0.35">
      <c r="R117" s="85"/>
    </row>
    <row r="118" spans="18:18" s="94" customFormat="1" ht="18.5" x14ac:dyDescent="0.35">
      <c r="R118" s="85"/>
    </row>
    <row r="119" spans="18:18" s="94" customFormat="1" ht="18.5" x14ac:dyDescent="0.35">
      <c r="R119" s="85"/>
    </row>
    <row r="120" spans="18:18" s="94" customFormat="1" ht="18.5" x14ac:dyDescent="0.35">
      <c r="R120" s="85"/>
    </row>
    <row r="121" spans="18:18" s="94" customFormat="1" ht="18.5" x14ac:dyDescent="0.35">
      <c r="R121" s="85"/>
    </row>
    <row r="122" spans="18:18" s="94" customFormat="1" ht="18.5" x14ac:dyDescent="0.35">
      <c r="R122" s="85"/>
    </row>
    <row r="123" spans="18:18" s="94" customFormat="1" ht="18.5" x14ac:dyDescent="0.35">
      <c r="R123" s="85"/>
    </row>
    <row r="124" spans="18:18" s="94" customFormat="1" ht="18.5" x14ac:dyDescent="0.35">
      <c r="R124" s="85"/>
    </row>
    <row r="125" spans="18:18" s="94" customFormat="1" ht="18.5" x14ac:dyDescent="0.35">
      <c r="R125" s="85"/>
    </row>
    <row r="126" spans="18:18" s="94" customFormat="1" ht="18.5" x14ac:dyDescent="0.35">
      <c r="R126" s="85"/>
    </row>
    <row r="127" spans="18:18" s="94" customFormat="1" ht="18.5" x14ac:dyDescent="0.35">
      <c r="R127" s="85"/>
    </row>
    <row r="128" spans="18:18" s="94" customFormat="1" ht="18.5" x14ac:dyDescent="0.35">
      <c r="R128" s="85"/>
    </row>
    <row r="129" spans="18:18" s="94" customFormat="1" ht="18.5" x14ac:dyDescent="0.35">
      <c r="R129" s="85"/>
    </row>
    <row r="130" spans="18:18" s="94" customFormat="1" ht="18.5" x14ac:dyDescent="0.35">
      <c r="R130" s="85"/>
    </row>
    <row r="131" spans="18:18" s="94" customFormat="1" ht="18.5" x14ac:dyDescent="0.35">
      <c r="R131" s="85"/>
    </row>
    <row r="132" spans="18:18" s="94" customFormat="1" ht="18.5" x14ac:dyDescent="0.35">
      <c r="R132" s="85"/>
    </row>
    <row r="133" spans="18:18" s="94" customFormat="1" ht="18.5" x14ac:dyDescent="0.35">
      <c r="R133" s="85"/>
    </row>
    <row r="134" spans="18:18" s="94" customFormat="1" ht="18.5" x14ac:dyDescent="0.35">
      <c r="R134" s="85"/>
    </row>
    <row r="135" spans="18:18" s="94" customFormat="1" ht="18.5" x14ac:dyDescent="0.35">
      <c r="R135" s="85"/>
    </row>
    <row r="136" spans="18:18" s="94" customFormat="1" ht="18.5" x14ac:dyDescent="0.35">
      <c r="R136" s="85"/>
    </row>
    <row r="137" spans="18:18" s="94" customFormat="1" ht="18.5" x14ac:dyDescent="0.35">
      <c r="R137" s="85"/>
    </row>
    <row r="138" spans="18:18" s="94" customFormat="1" ht="18.5" x14ac:dyDescent="0.35">
      <c r="R138" s="85"/>
    </row>
    <row r="139" spans="18:18" s="94" customFormat="1" ht="18.5" x14ac:dyDescent="0.35">
      <c r="R139" s="85"/>
    </row>
    <row r="140" spans="18:18" s="94" customFormat="1" ht="18.5" x14ac:dyDescent="0.35">
      <c r="R140" s="85"/>
    </row>
    <row r="141" spans="18:18" s="94" customFormat="1" ht="18.5" x14ac:dyDescent="0.35">
      <c r="R141" s="85"/>
    </row>
    <row r="142" spans="18:18" s="94" customFormat="1" ht="18.5" x14ac:dyDescent="0.35">
      <c r="R142" s="85"/>
    </row>
    <row r="143" spans="18:18" s="94" customFormat="1" ht="18.5" x14ac:dyDescent="0.35">
      <c r="R143" s="85"/>
    </row>
    <row r="144" spans="18:18" s="94" customFormat="1" ht="18.5" x14ac:dyDescent="0.35">
      <c r="R144" s="85"/>
    </row>
    <row r="145" spans="18:18" s="94" customFormat="1" ht="18.5" x14ac:dyDescent="0.35">
      <c r="R145" s="85"/>
    </row>
    <row r="146" spans="18:18" s="94" customFormat="1" ht="18.5" x14ac:dyDescent="0.35">
      <c r="R146" s="85"/>
    </row>
    <row r="147" spans="18:18" s="94" customFormat="1" ht="18.5" x14ac:dyDescent="0.35">
      <c r="R147" s="85"/>
    </row>
    <row r="148" spans="18:18" s="94" customFormat="1" ht="18.5" x14ac:dyDescent="0.35">
      <c r="R148" s="85"/>
    </row>
    <row r="149" spans="18:18" s="94" customFormat="1" ht="18.5" x14ac:dyDescent="0.35">
      <c r="R149" s="85"/>
    </row>
    <row r="150" spans="18:18" s="94" customFormat="1" ht="18.5" x14ac:dyDescent="0.35">
      <c r="R150" s="85"/>
    </row>
    <row r="151" spans="18:18" s="94" customFormat="1" ht="18.5" x14ac:dyDescent="0.35">
      <c r="R151" s="85"/>
    </row>
    <row r="152" spans="18:18" s="94" customFormat="1" ht="18.5" x14ac:dyDescent="0.35">
      <c r="R152" s="85"/>
    </row>
    <row r="153" spans="18:18" s="94" customFormat="1" ht="18.5" x14ac:dyDescent="0.35">
      <c r="R153" s="85"/>
    </row>
    <row r="154" spans="18:18" s="94" customFormat="1" ht="18.5" x14ac:dyDescent="0.35">
      <c r="R154" s="85"/>
    </row>
    <row r="155" spans="18:18" s="94" customFormat="1" ht="18.5" x14ac:dyDescent="0.35">
      <c r="R155" s="85"/>
    </row>
    <row r="156" spans="18:18" s="94" customFormat="1" ht="18.5" x14ac:dyDescent="0.35">
      <c r="R156" s="85"/>
    </row>
    <row r="157" spans="18:18" s="94" customFormat="1" ht="18.5" x14ac:dyDescent="0.35">
      <c r="R157" s="85"/>
    </row>
    <row r="158" spans="18:18" s="94" customFormat="1" ht="18.5" x14ac:dyDescent="0.35">
      <c r="R158" s="85"/>
    </row>
    <row r="159" spans="18:18" s="94" customFormat="1" ht="18.5" x14ac:dyDescent="0.35">
      <c r="R159" s="85"/>
    </row>
    <row r="160" spans="18:18" s="94" customFormat="1" ht="18.5" x14ac:dyDescent="0.35">
      <c r="R160" s="85"/>
    </row>
    <row r="161" spans="18:18" s="94" customFormat="1" ht="18.5" x14ac:dyDescent="0.35">
      <c r="R161" s="85"/>
    </row>
    <row r="162" spans="18:18" s="94" customFormat="1" ht="18.5" x14ac:dyDescent="0.35">
      <c r="R162" s="85"/>
    </row>
    <row r="163" spans="18:18" s="94" customFormat="1" ht="18.5" x14ac:dyDescent="0.35">
      <c r="R163" s="85"/>
    </row>
    <row r="164" spans="18:18" s="94" customFormat="1" ht="18.5" x14ac:dyDescent="0.35">
      <c r="R164" s="85"/>
    </row>
    <row r="165" spans="18:18" s="94" customFormat="1" ht="18.5" x14ac:dyDescent="0.35">
      <c r="R165" s="85"/>
    </row>
    <row r="166" spans="18:18" s="94" customFormat="1" ht="18.5" x14ac:dyDescent="0.35">
      <c r="R166" s="85"/>
    </row>
    <row r="167" spans="18:18" s="94" customFormat="1" ht="18.5" x14ac:dyDescent="0.35">
      <c r="R167" s="85"/>
    </row>
    <row r="168" spans="18:18" s="94" customFormat="1" ht="18.5" x14ac:dyDescent="0.35">
      <c r="R168" s="85"/>
    </row>
    <row r="169" spans="18:18" s="94" customFormat="1" ht="18.5" x14ac:dyDescent="0.35">
      <c r="R169" s="85"/>
    </row>
    <row r="170" spans="18:18" s="94" customFormat="1" ht="18.5" x14ac:dyDescent="0.35">
      <c r="R170" s="85"/>
    </row>
    <row r="171" spans="18:18" s="94" customFormat="1" ht="18.5" x14ac:dyDescent="0.35">
      <c r="R171" s="85"/>
    </row>
    <row r="172" spans="18:18" s="94" customFormat="1" ht="18.5" x14ac:dyDescent="0.35">
      <c r="R172" s="85"/>
    </row>
    <row r="173" spans="18:18" s="94" customFormat="1" ht="18.5" x14ac:dyDescent="0.35">
      <c r="R173" s="85"/>
    </row>
    <row r="174" spans="18:18" s="94" customFormat="1" ht="18.5" x14ac:dyDescent="0.35">
      <c r="R174" s="85"/>
    </row>
    <row r="175" spans="18:18" s="94" customFormat="1" ht="18.5" x14ac:dyDescent="0.35">
      <c r="R175" s="85"/>
    </row>
    <row r="176" spans="18:18" s="94" customFormat="1" ht="18.5" x14ac:dyDescent="0.35">
      <c r="R176" s="85"/>
    </row>
    <row r="177" spans="18:18" s="94" customFormat="1" ht="18.5" x14ac:dyDescent="0.35">
      <c r="R177" s="85"/>
    </row>
    <row r="178" spans="18:18" s="94" customFormat="1" ht="18.5" x14ac:dyDescent="0.35">
      <c r="R178" s="85"/>
    </row>
    <row r="179" spans="18:18" s="94" customFormat="1" ht="18.5" x14ac:dyDescent="0.35">
      <c r="R179" s="85"/>
    </row>
    <row r="180" spans="18:18" s="94" customFormat="1" ht="18.5" x14ac:dyDescent="0.35">
      <c r="R180" s="85"/>
    </row>
    <row r="181" spans="18:18" s="94" customFormat="1" ht="18.5" x14ac:dyDescent="0.35">
      <c r="R181" s="85"/>
    </row>
    <row r="182" spans="18:18" s="94" customFormat="1" ht="18.5" x14ac:dyDescent="0.35">
      <c r="R182" s="85"/>
    </row>
    <row r="183" spans="18:18" s="94" customFormat="1" ht="18.5" x14ac:dyDescent="0.35">
      <c r="R183" s="85"/>
    </row>
    <row r="184" spans="18:18" s="94" customFormat="1" ht="18.5" x14ac:dyDescent="0.35">
      <c r="R184" s="85"/>
    </row>
    <row r="185" spans="18:18" s="94" customFormat="1" ht="18.5" x14ac:dyDescent="0.35">
      <c r="R185" s="85"/>
    </row>
    <row r="186" spans="18:18" s="94" customFormat="1" ht="18.5" x14ac:dyDescent="0.35">
      <c r="R186" s="85"/>
    </row>
    <row r="187" spans="18:18" s="94" customFormat="1" ht="18.5" x14ac:dyDescent="0.35">
      <c r="R187" s="85"/>
    </row>
    <row r="188" spans="18:18" s="94" customFormat="1" ht="18.5" x14ac:dyDescent="0.35">
      <c r="R188" s="85"/>
    </row>
    <row r="189" spans="18:18" s="94" customFormat="1" ht="18.5" x14ac:dyDescent="0.35">
      <c r="R189" s="85"/>
    </row>
    <row r="190" spans="18:18" s="94" customFormat="1" ht="18.5" x14ac:dyDescent="0.35">
      <c r="R190" s="85"/>
    </row>
    <row r="191" spans="18:18" s="94" customFormat="1" ht="18.5" x14ac:dyDescent="0.35">
      <c r="R191" s="85"/>
    </row>
    <row r="192" spans="18:18" s="94" customFormat="1" ht="18.5" x14ac:dyDescent="0.35">
      <c r="R192" s="85"/>
    </row>
    <row r="193" spans="18:18" s="94" customFormat="1" ht="18.5" x14ac:dyDescent="0.35">
      <c r="R193" s="85"/>
    </row>
    <row r="194" spans="18:18" s="94" customFormat="1" ht="18.5" x14ac:dyDescent="0.35">
      <c r="R194" s="85"/>
    </row>
    <row r="195" spans="18:18" s="94" customFormat="1" ht="18.5" x14ac:dyDescent="0.35">
      <c r="R195" s="85"/>
    </row>
    <row r="196" spans="18:18" s="94" customFormat="1" ht="18.5" x14ac:dyDescent="0.35">
      <c r="R196" s="85"/>
    </row>
    <row r="197" spans="18:18" s="94" customFormat="1" ht="18.5" x14ac:dyDescent="0.35">
      <c r="R197" s="85"/>
    </row>
    <row r="198" spans="18:18" s="94" customFormat="1" ht="18.5" x14ac:dyDescent="0.35">
      <c r="R198" s="85"/>
    </row>
    <row r="199" spans="18:18" s="94" customFormat="1" ht="18.5" x14ac:dyDescent="0.35">
      <c r="R199" s="85"/>
    </row>
    <row r="200" spans="18:18" s="94" customFormat="1" ht="18.5" x14ac:dyDescent="0.35">
      <c r="R200" s="85"/>
    </row>
    <row r="201" spans="18:18" s="94" customFormat="1" ht="18.5" x14ac:dyDescent="0.35">
      <c r="R201" s="85"/>
    </row>
    <row r="202" spans="18:18" s="94" customFormat="1" ht="18.5" x14ac:dyDescent="0.35">
      <c r="R202" s="85"/>
    </row>
    <row r="203" spans="18:18" s="94" customFormat="1" ht="18.5" x14ac:dyDescent="0.35">
      <c r="R203" s="85"/>
    </row>
    <row r="204" spans="18:18" s="94" customFormat="1" ht="18.5" x14ac:dyDescent="0.35">
      <c r="R204" s="85"/>
    </row>
    <row r="205" spans="18:18" s="94" customFormat="1" ht="18.5" x14ac:dyDescent="0.35">
      <c r="R205" s="85"/>
    </row>
    <row r="206" spans="18:18" s="94" customFormat="1" ht="18.5" x14ac:dyDescent="0.35">
      <c r="R206" s="85"/>
    </row>
    <row r="207" spans="18:18" s="94" customFormat="1" ht="18.5" x14ac:dyDescent="0.35">
      <c r="R207" s="85"/>
    </row>
    <row r="208" spans="18:18" s="94" customFormat="1" ht="18.5" x14ac:dyDescent="0.35">
      <c r="R208" s="85"/>
    </row>
    <row r="209" spans="18:18" s="94" customFormat="1" ht="18.5" x14ac:dyDescent="0.35">
      <c r="R209" s="85"/>
    </row>
    <row r="210" spans="18:18" s="94" customFormat="1" ht="18.5" x14ac:dyDescent="0.35">
      <c r="R210" s="85"/>
    </row>
    <row r="211" spans="18:18" s="94" customFormat="1" ht="18.5" x14ac:dyDescent="0.35">
      <c r="R211" s="85"/>
    </row>
    <row r="212" spans="18:18" s="94" customFormat="1" ht="18.5" x14ac:dyDescent="0.35">
      <c r="R212" s="85"/>
    </row>
    <row r="213" spans="18:18" s="94" customFormat="1" ht="18.5" x14ac:dyDescent="0.35">
      <c r="R213" s="85"/>
    </row>
    <row r="214" spans="18:18" s="94" customFormat="1" ht="18.5" x14ac:dyDescent="0.35">
      <c r="R214" s="85"/>
    </row>
    <row r="215" spans="18:18" s="94" customFormat="1" ht="18.5" x14ac:dyDescent="0.35">
      <c r="R215" s="85"/>
    </row>
    <row r="216" spans="18:18" s="94" customFormat="1" ht="18.5" x14ac:dyDescent="0.35">
      <c r="R216" s="85"/>
    </row>
    <row r="217" spans="18:18" s="94" customFormat="1" ht="18.5" x14ac:dyDescent="0.35">
      <c r="R217" s="85"/>
    </row>
    <row r="218" spans="18:18" s="94" customFormat="1" ht="18.5" x14ac:dyDescent="0.35">
      <c r="R218" s="85"/>
    </row>
    <row r="219" spans="18:18" s="94" customFormat="1" ht="18.5" x14ac:dyDescent="0.35">
      <c r="R219" s="85"/>
    </row>
    <row r="220" spans="18:18" s="94" customFormat="1" ht="18.5" x14ac:dyDescent="0.35">
      <c r="R220" s="85"/>
    </row>
    <row r="221" spans="18:18" s="94" customFormat="1" ht="18.5" x14ac:dyDescent="0.35">
      <c r="R221" s="85"/>
    </row>
    <row r="222" spans="18:18" s="94" customFormat="1" ht="18.5" x14ac:dyDescent="0.35">
      <c r="R222" s="85"/>
    </row>
    <row r="223" spans="18:18" s="94" customFormat="1" ht="18.5" x14ac:dyDescent="0.35">
      <c r="R223" s="85"/>
    </row>
    <row r="224" spans="18:18" s="94" customFormat="1" ht="18.5" x14ac:dyDescent="0.35">
      <c r="R224" s="85"/>
    </row>
    <row r="225" spans="18:18" s="94" customFormat="1" ht="18.5" x14ac:dyDescent="0.35">
      <c r="R225" s="85"/>
    </row>
    <row r="226" spans="18:18" s="94" customFormat="1" ht="18.5" x14ac:dyDescent="0.35">
      <c r="R226" s="85"/>
    </row>
    <row r="227" spans="18:18" s="94" customFormat="1" ht="18.5" x14ac:dyDescent="0.35">
      <c r="R227" s="85"/>
    </row>
    <row r="228" spans="18:18" s="94" customFormat="1" ht="18.5" x14ac:dyDescent="0.35">
      <c r="R228" s="85"/>
    </row>
    <row r="229" spans="18:18" s="94" customFormat="1" ht="18.5" x14ac:dyDescent="0.35">
      <c r="R229" s="85"/>
    </row>
    <row r="230" spans="18:18" s="94" customFormat="1" ht="18.5" x14ac:dyDescent="0.35">
      <c r="R230" s="85"/>
    </row>
    <row r="231" spans="18:18" s="94" customFormat="1" ht="18.5" x14ac:dyDescent="0.35">
      <c r="R231" s="85"/>
    </row>
    <row r="232" spans="18:18" s="94" customFormat="1" ht="18.5" x14ac:dyDescent="0.35">
      <c r="R232" s="85"/>
    </row>
    <row r="233" spans="18:18" s="94" customFormat="1" ht="18.5" x14ac:dyDescent="0.35">
      <c r="R233" s="85"/>
    </row>
    <row r="234" spans="18:18" s="94" customFormat="1" ht="18.5" x14ac:dyDescent="0.35">
      <c r="R234" s="85"/>
    </row>
    <row r="235" spans="18:18" s="94" customFormat="1" ht="18.5" x14ac:dyDescent="0.35">
      <c r="R235" s="85"/>
    </row>
    <row r="236" spans="18:18" s="94" customFormat="1" ht="18.5" x14ac:dyDescent="0.35">
      <c r="R236" s="85"/>
    </row>
    <row r="237" spans="18:18" s="94" customFormat="1" ht="18.5" x14ac:dyDescent="0.35">
      <c r="R237" s="85"/>
    </row>
    <row r="238" spans="18:18" s="94" customFormat="1" ht="18.5" x14ac:dyDescent="0.35">
      <c r="R238" s="85"/>
    </row>
    <row r="239" spans="18:18" s="94" customFormat="1" ht="18.5" x14ac:dyDescent="0.35">
      <c r="R239" s="85"/>
    </row>
    <row r="240" spans="18:18" s="94" customFormat="1" ht="18.5" x14ac:dyDescent="0.35">
      <c r="R240" s="85"/>
    </row>
    <row r="241" spans="18:18" s="94" customFormat="1" ht="18.5" x14ac:dyDescent="0.35">
      <c r="R241" s="85"/>
    </row>
    <row r="242" spans="18:18" s="94" customFormat="1" ht="18.5" x14ac:dyDescent="0.35">
      <c r="R242" s="85"/>
    </row>
    <row r="243" spans="18:18" s="94" customFormat="1" ht="18.5" x14ac:dyDescent="0.35">
      <c r="R243" s="85"/>
    </row>
    <row r="244" spans="18:18" s="94" customFormat="1" ht="18.5" x14ac:dyDescent="0.35">
      <c r="R244" s="85"/>
    </row>
    <row r="245" spans="18:18" s="94" customFormat="1" ht="18.5" x14ac:dyDescent="0.35">
      <c r="R245" s="85"/>
    </row>
    <row r="246" spans="18:18" s="94" customFormat="1" ht="18.5" x14ac:dyDescent="0.35">
      <c r="R246" s="85"/>
    </row>
    <row r="247" spans="18:18" s="94" customFormat="1" ht="18.5" x14ac:dyDescent="0.35">
      <c r="R247" s="85"/>
    </row>
    <row r="248" spans="18:18" s="94" customFormat="1" ht="18.5" x14ac:dyDescent="0.35">
      <c r="R248" s="85"/>
    </row>
    <row r="249" spans="18:18" s="94" customFormat="1" ht="18.5" x14ac:dyDescent="0.35">
      <c r="R249" s="85"/>
    </row>
    <row r="250" spans="18:18" s="94" customFormat="1" ht="18.5" x14ac:dyDescent="0.35">
      <c r="R250" s="85"/>
    </row>
    <row r="251" spans="18:18" s="94" customFormat="1" ht="18.5" x14ac:dyDescent="0.35">
      <c r="R251" s="85"/>
    </row>
    <row r="252" spans="18:18" s="94" customFormat="1" ht="18.5" x14ac:dyDescent="0.35">
      <c r="R252" s="85"/>
    </row>
    <row r="253" spans="18:18" s="94" customFormat="1" ht="18.5" x14ac:dyDescent="0.35">
      <c r="R253" s="85"/>
    </row>
    <row r="254" spans="18:18" s="94" customFormat="1" ht="18.5" x14ac:dyDescent="0.35">
      <c r="R254" s="85"/>
    </row>
    <row r="255" spans="18:18" s="94" customFormat="1" ht="18.5" x14ac:dyDescent="0.35">
      <c r="R255" s="85"/>
    </row>
    <row r="256" spans="18:18" s="94" customFormat="1" ht="18.5" x14ac:dyDescent="0.35">
      <c r="R256" s="85"/>
    </row>
    <row r="257" spans="18:18" s="94" customFormat="1" ht="18.5" x14ac:dyDescent="0.35">
      <c r="R257" s="85"/>
    </row>
    <row r="258" spans="18:18" s="94" customFormat="1" ht="18.5" x14ac:dyDescent="0.35">
      <c r="R258" s="85"/>
    </row>
    <row r="259" spans="18:18" s="94" customFormat="1" ht="18.5" x14ac:dyDescent="0.35">
      <c r="R259" s="85"/>
    </row>
    <row r="260" spans="18:18" s="94" customFormat="1" ht="18.5" x14ac:dyDescent="0.35">
      <c r="R260" s="85"/>
    </row>
    <row r="261" spans="18:18" s="94" customFormat="1" ht="18.5" x14ac:dyDescent="0.35">
      <c r="R261" s="85"/>
    </row>
    <row r="262" spans="18:18" s="94" customFormat="1" ht="18.5" x14ac:dyDescent="0.35">
      <c r="R262" s="85"/>
    </row>
    <row r="263" spans="18:18" s="94" customFormat="1" ht="18.5" x14ac:dyDescent="0.35">
      <c r="R263" s="85"/>
    </row>
    <row r="264" spans="18:18" s="94" customFormat="1" ht="18.5" x14ac:dyDescent="0.35">
      <c r="R264" s="85"/>
    </row>
    <row r="265" spans="18:18" s="94" customFormat="1" ht="18.5" x14ac:dyDescent="0.35">
      <c r="R265" s="85"/>
    </row>
  </sheetData>
  <phoneticPr fontId="40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Data Description</vt:lpstr>
      <vt:lpstr>ePowerDynamics Data</vt:lpstr>
      <vt:lpstr>Q1.1</vt:lpstr>
      <vt:lpstr>Q1.2</vt:lpstr>
      <vt:lpstr>Q2.1</vt:lpstr>
      <vt:lpstr>Q2.2</vt:lpstr>
      <vt:lpstr>Q2.3</vt:lpstr>
      <vt:lpstr>Q3</vt:lpstr>
      <vt:lpstr>Q4</vt:lpstr>
      <vt:lpstr>Q5</vt:lpstr>
      <vt:lpstr>Q1.1!Print_Titles</vt:lpstr>
      <vt:lpstr>Q1.2!Print_Titles</vt:lpstr>
      <vt:lpstr>Q2.1!Print_Titles</vt:lpstr>
      <vt:lpstr>Q2.2!Print_Titles</vt:lpstr>
      <vt:lpstr>Q2.3!Print_Titles</vt:lpstr>
      <vt:lpstr>'Q3'!Print_Titles</vt:lpstr>
      <vt:lpstr>'Q4'!Print_Titles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 Kaldi</dc:creator>
  <cp:lastModifiedBy>Astrid Dias</cp:lastModifiedBy>
  <dcterms:created xsi:type="dcterms:W3CDTF">2023-07-20T12:15:48Z</dcterms:created>
  <dcterms:modified xsi:type="dcterms:W3CDTF">2024-09-02T01:08:42Z</dcterms:modified>
</cp:coreProperties>
</file>