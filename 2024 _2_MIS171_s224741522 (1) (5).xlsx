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drawings/drawing3.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202300"/>
  <mc:AlternateContent xmlns:mc="http://schemas.openxmlformats.org/markup-compatibility/2006">
    <mc:Choice Requires="x15">
      <x15ac:absPath xmlns:x15ac="http://schemas.microsoft.com/office/spreadsheetml/2010/11/ac" url="https://deakin365-my.sharepoint.com/personal/s224741522_deakin_edu_au/Documents/Attachments/"/>
    </mc:Choice>
  </mc:AlternateContent>
  <xr:revisionPtr revIDLastSave="0" documentId="13_ncr:20001_{D0D3AC37-994A-4864-AFA0-F6D683C43771}" xr6:coauthVersionLast="47" xr6:coauthVersionMax="47" xr10:uidLastSave="{00000000-0000-0000-0000-000000000000}"/>
  <bookViews>
    <workbookView xWindow="-110" yWindow="-110" windowWidth="25180" windowHeight="16140" activeTab="2" xr2:uid="{82472DA0-CD9E-45D8-80D8-768C02176A76}"/>
  </bookViews>
  <sheets>
    <sheet name="Data Description" sheetId="2" r:id="rId1"/>
    <sheet name="ePowerDynamic Data Set" sheetId="3" r:id="rId2"/>
    <sheet name="Dashboard" sheetId="4" r:id="rId3"/>
    <sheet name="Sheet2" sheetId="6" r:id="rId4"/>
    <sheet name="Sheet1" sheetId="5" r:id="rId5"/>
  </sheets>
  <definedNames>
    <definedName name="_xlchart.v1.0" hidden="1">Sheet1!$L$2</definedName>
    <definedName name="_xlchart.v1.1" hidden="1">Sheet1!$L$3:$L$367</definedName>
    <definedName name="_xlchart.v1.2" hidden="1">Sheet1!$M$2</definedName>
    <definedName name="_xlchart.v1.3" hidden="1">Sheet1!$M$3:$M$367</definedName>
    <definedName name="_xlcn.WorksheetConnection_2024T2MIS171Assignment1Data1.xlsxTable11" hidden="1">Table1[]</definedName>
    <definedName name="Slicer_activity">#N/A</definedName>
    <definedName name="Slicer_Holiday">#N/A</definedName>
    <definedName name="Slicer_Month">#N/A</definedName>
    <definedName name="Slicer_Season">#N/A</definedName>
    <definedName name="Slicer_Weather">#N/A</definedName>
    <definedName name="Slicer_Weekday">#N/A</definedName>
  </definedNames>
  <calcPr calcId="191029"/>
  <pivotCaches>
    <pivotCache cacheId="8" r:id="rId6"/>
    <pivotCache cacheId="25"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rental bikes" name="Table6 rental bikes" connection="WorksheetConnection_2024 T2 MIS171 Assignment 1 Data (1).xlsx!Table6[rental bikes]"/>
          <x15:modelTable id="Table1" name="Table1" connection="WorksheetConnection_2024 T2 MIS171 Assignment 1 Data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5" i="5" l="1"/>
  <c r="R25" i="5"/>
  <c r="S29" i="5"/>
  <c r="S30" i="5"/>
  <c r="R29" i="5"/>
  <c r="R30" i="5"/>
  <c r="S21" i="5"/>
  <c r="R21" i="5"/>
  <c r="S23" i="5"/>
  <c r="R23" i="5"/>
  <c r="S22" i="5"/>
  <c r="S20" i="5"/>
  <c r="R22" i="5"/>
  <c r="R24" i="5" s="1"/>
  <c r="R20" i="5"/>
  <c r="R33" i="5" s="1"/>
  <c r="S24" i="5" l="1"/>
  <c r="S33" i="5" s="1"/>
  <c r="R32" i="5"/>
  <c r="S32" i="5"/>
  <c r="N359" i="5" l="1"/>
  <c r="N312" i="5"/>
  <c r="N304" i="5"/>
  <c r="N276" i="5"/>
  <c r="N245" i="5"/>
  <c r="N271" i="5"/>
  <c r="N353" i="5"/>
  <c r="N348" i="5"/>
  <c r="N292" i="5"/>
  <c r="N249" i="5"/>
  <c r="N201" i="5"/>
  <c r="N248" i="5"/>
  <c r="N212" i="5"/>
  <c r="N339" i="5"/>
  <c r="N347" i="5"/>
  <c r="N273" i="5"/>
  <c r="N170" i="5"/>
  <c r="N253" i="5"/>
  <c r="N250" i="5"/>
  <c r="N274" i="5"/>
  <c r="N323" i="5"/>
  <c r="N344" i="5"/>
  <c r="N258" i="5"/>
  <c r="N174" i="5"/>
  <c r="N220" i="5"/>
  <c r="N247" i="5"/>
  <c r="N203" i="5"/>
  <c r="N342" i="5"/>
  <c r="N350" i="5"/>
  <c r="N289" i="5"/>
  <c r="N252" i="5"/>
  <c r="N161" i="5"/>
  <c r="N196" i="5"/>
  <c r="N331" i="5"/>
  <c r="N363" i="5"/>
  <c r="N356" i="5"/>
  <c r="N270" i="5"/>
  <c r="N244" i="5"/>
  <c r="N251" i="5"/>
  <c r="N200" i="5"/>
  <c r="N266" i="5"/>
  <c r="N337" i="5"/>
  <c r="N361" i="5"/>
  <c r="N287" i="5"/>
  <c r="N240" i="5"/>
  <c r="N172" i="5"/>
  <c r="N216" i="5"/>
  <c r="N232" i="5"/>
  <c r="N335" i="5"/>
  <c r="N281" i="5"/>
  <c r="N215" i="5"/>
  <c r="N229" i="5"/>
  <c r="N176" i="5"/>
  <c r="N228" i="5"/>
  <c r="N199" i="5"/>
  <c r="N321" i="5"/>
  <c r="N336" i="5"/>
  <c r="N284" i="5"/>
  <c r="N184" i="5"/>
  <c r="N107" i="5"/>
  <c r="N185" i="5"/>
  <c r="N268" i="5"/>
  <c r="N306" i="5"/>
  <c r="N355" i="5"/>
  <c r="N283" i="5"/>
  <c r="N175" i="5"/>
  <c r="N173" i="5"/>
  <c r="N219" i="5"/>
  <c r="N233" i="5"/>
  <c r="N341" i="5"/>
  <c r="N322" i="5"/>
  <c r="N75" i="5"/>
  <c r="N234" i="5"/>
  <c r="N182" i="5"/>
  <c r="N140" i="5"/>
  <c r="N191" i="5"/>
  <c r="N330" i="5"/>
  <c r="N27" i="5"/>
  <c r="N190" i="5"/>
  <c r="N167" i="5"/>
  <c r="N83" i="5"/>
  <c r="N99" i="5"/>
  <c r="N265" i="5"/>
  <c r="N308" i="5"/>
  <c r="N278" i="5"/>
  <c r="N55" i="5"/>
  <c r="N166" i="5"/>
  <c r="N139" i="5"/>
  <c r="N60" i="5"/>
  <c r="N231" i="5"/>
  <c r="N338" i="5"/>
  <c r="N277" i="5"/>
  <c r="N121" i="5"/>
  <c r="N74" i="5"/>
  <c r="N57" i="5"/>
  <c r="N122" i="5"/>
  <c r="N80" i="5"/>
  <c r="N146" i="5"/>
  <c r="N296" i="5"/>
  <c r="N120" i="5"/>
  <c r="N64" i="5"/>
  <c r="N82" i="5"/>
  <c r="N147" i="5"/>
  <c r="N136" i="5"/>
  <c r="N300" i="5"/>
  <c r="N319" i="5"/>
  <c r="N279" i="5"/>
  <c r="N137" i="5"/>
  <c r="N119" i="5"/>
  <c r="N117" i="5"/>
  <c r="N129" i="5"/>
  <c r="N295" i="5"/>
  <c r="N209" i="5"/>
  <c r="N98" i="5"/>
  <c r="N7" i="5"/>
  <c r="N77" i="5"/>
  <c r="N118" i="5"/>
  <c r="N97" i="5"/>
  <c r="N26" i="5"/>
  <c r="N188" i="5"/>
  <c r="N78" i="5"/>
  <c r="N42" i="5"/>
  <c r="N100" i="5"/>
  <c r="N63" i="5"/>
  <c r="N36" i="5"/>
  <c r="N210" i="5"/>
  <c r="N135" i="5"/>
  <c r="N35" i="5"/>
  <c r="N45" i="5"/>
  <c r="N65" i="5"/>
  <c r="N18" i="5"/>
  <c r="N72" i="5"/>
  <c r="N187" i="5"/>
  <c r="N165" i="5"/>
  <c r="N181" i="5"/>
  <c r="N105" i="5"/>
  <c r="N81" i="5"/>
  <c r="N62" i="5"/>
  <c r="N76" i="5"/>
  <c r="N134" i="5"/>
  <c r="N116" i="5"/>
  <c r="N58" i="5"/>
  <c r="N23" i="5"/>
  <c r="N25" i="5"/>
  <c r="N21" i="5"/>
  <c r="N44" i="5"/>
  <c r="N128" i="5"/>
  <c r="N30" i="5"/>
  <c r="N43" i="5"/>
  <c r="N22" i="5"/>
  <c r="N20" i="5"/>
  <c r="N15" i="5"/>
  <c r="N19" i="5"/>
  <c r="N54" i="5"/>
  <c r="N31" i="5"/>
  <c r="N12" i="5"/>
  <c r="N3" i="5"/>
  <c r="N5" i="5"/>
  <c r="N79" i="5"/>
  <c r="N34" i="5"/>
  <c r="N53" i="5"/>
  <c r="N29" i="5"/>
  <c r="N38" i="5"/>
  <c r="N46" i="5"/>
  <c r="N41" i="5"/>
  <c r="N4" i="5"/>
  <c r="N28" i="5"/>
  <c r="N96" i="5"/>
  <c r="N73" i="5"/>
  <c r="N17" i="5"/>
  <c r="N16" i="5"/>
  <c r="N11" i="5"/>
  <c r="N13" i="5"/>
  <c r="N14" i="5"/>
  <c r="N9" i="5"/>
  <c r="N10" i="5"/>
  <c r="N56" i="5"/>
  <c r="N40" i="5"/>
  <c r="N39" i="5"/>
  <c r="N37" i="5"/>
  <c r="N33" i="5"/>
  <c r="N51" i="5"/>
  <c r="N127" i="5"/>
  <c r="N189" i="5"/>
  <c r="N158" i="5"/>
  <c r="N104" i="5"/>
  <c r="N101" i="5"/>
  <c r="N32" i="5"/>
  <c r="N145" i="5"/>
  <c r="N115" i="5"/>
  <c r="N52" i="5"/>
  <c r="N66" i="5"/>
  <c r="N108" i="5"/>
  <c r="N49" i="5"/>
  <c r="N94" i="5"/>
  <c r="N110" i="5"/>
  <c r="N85" i="5"/>
  <c r="N123" i="5"/>
  <c r="N89" i="5"/>
  <c r="N93" i="5"/>
  <c r="N92" i="5"/>
  <c r="N71" i="5"/>
  <c r="N70" i="5"/>
  <c r="N138" i="5"/>
  <c r="N159" i="5"/>
  <c r="N111" i="5"/>
  <c r="N69" i="5"/>
  <c r="N8" i="5"/>
  <c r="N67" i="5"/>
  <c r="N113" i="5"/>
  <c r="N192" i="5"/>
  <c r="N211" i="5"/>
  <c r="N114" i="5"/>
  <c r="N91" i="5"/>
  <c r="N90" i="5"/>
  <c r="N50" i="5"/>
  <c r="N112" i="5"/>
  <c r="N254" i="5"/>
  <c r="N309" i="5"/>
  <c r="N305" i="5"/>
  <c r="N164" i="5"/>
  <c r="N48" i="5"/>
  <c r="N24" i="5"/>
  <c r="N87" i="5"/>
  <c r="N255" i="5"/>
  <c r="N291" i="5"/>
  <c r="N109" i="5"/>
  <c r="N68" i="5"/>
  <c r="N59" i="5"/>
  <c r="N156" i="5"/>
  <c r="N186" i="5"/>
  <c r="N298" i="5"/>
  <c r="N314" i="5"/>
  <c r="N148" i="5"/>
  <c r="N88" i="5"/>
  <c r="N126" i="5"/>
  <c r="N144" i="5"/>
  <c r="N132" i="5"/>
  <c r="N290" i="5"/>
  <c r="N307" i="5"/>
  <c r="N154" i="5"/>
  <c r="N125" i="5"/>
  <c r="N133" i="5"/>
  <c r="N143" i="5"/>
  <c r="N131" i="5"/>
  <c r="N280" i="5"/>
  <c r="N6" i="5"/>
  <c r="N153" i="5"/>
  <c r="N106" i="5"/>
  <c r="N142" i="5"/>
  <c r="N226" i="5"/>
  <c r="N217" i="5"/>
  <c r="N334" i="5"/>
  <c r="N328" i="5"/>
  <c r="N218" i="5"/>
  <c r="N155" i="5"/>
  <c r="N103" i="5"/>
  <c r="N205" i="5"/>
  <c r="N222" i="5"/>
  <c r="N345" i="5"/>
  <c r="N352" i="5"/>
  <c r="N169" i="5"/>
  <c r="N124" i="5"/>
  <c r="N84" i="5"/>
  <c r="N202" i="5"/>
  <c r="N329" i="5"/>
  <c r="N364" i="5"/>
  <c r="N360" i="5"/>
  <c r="N293" i="5"/>
  <c r="N207" i="5"/>
  <c r="N179" i="5"/>
  <c r="N163" i="5"/>
  <c r="N130" i="5"/>
  <c r="N180" i="5"/>
  <c r="N157" i="5"/>
  <c r="N275" i="5"/>
  <c r="N208" i="5"/>
  <c r="N160" i="5"/>
  <c r="N162" i="5"/>
  <c r="N223" i="5"/>
  <c r="N333" i="5"/>
  <c r="N349" i="5"/>
  <c r="N102" i="5"/>
  <c r="N178" i="5"/>
  <c r="N177" i="5"/>
  <c r="N151" i="5"/>
  <c r="N221" i="5"/>
  <c r="N318" i="5"/>
  <c r="N324" i="5"/>
  <c r="N246" i="5"/>
  <c r="N152" i="5"/>
  <c r="N206" i="5"/>
  <c r="N227" i="5"/>
  <c r="N225" i="5"/>
  <c r="N340" i="5"/>
  <c r="N346" i="5"/>
  <c r="N141" i="5"/>
  <c r="N61" i="5"/>
  <c r="N47" i="5"/>
  <c r="N86" i="5"/>
  <c r="N310" i="5"/>
  <c r="N366" i="5"/>
  <c r="N354" i="5"/>
  <c r="N285" i="5"/>
  <c r="N263" i="5"/>
  <c r="N230" i="5"/>
  <c r="N264" i="5"/>
  <c r="N243" i="5"/>
  <c r="N320" i="5"/>
  <c r="N95" i="5"/>
  <c r="N242" i="5"/>
  <c r="N150" i="5"/>
  <c r="N294" i="5"/>
  <c r="N316" i="5"/>
  <c r="N272" i="5"/>
  <c r="N311" i="5"/>
  <c r="N351" i="5"/>
  <c r="N256" i="5"/>
  <c r="N194" i="5"/>
  <c r="N204" i="5"/>
  <c r="N224" i="5"/>
  <c r="N257" i="5"/>
  <c r="N317" i="5"/>
  <c r="N325" i="5"/>
  <c r="N303" i="5"/>
  <c r="N261" i="5"/>
  <c r="N286" i="5"/>
  <c r="N282" i="5"/>
  <c r="N267" i="5"/>
  <c r="N313" i="5"/>
  <c r="N326" i="5"/>
  <c r="N299" i="5"/>
  <c r="N259" i="5"/>
  <c r="N149" i="5"/>
  <c r="N262" i="5"/>
  <c r="N235" i="5"/>
  <c r="N327" i="5"/>
  <c r="N332" i="5"/>
  <c r="N195" i="5"/>
  <c r="N183" i="5"/>
  <c r="N241" i="5"/>
  <c r="N239" i="5"/>
  <c r="N171" i="5"/>
  <c r="N301" i="5"/>
  <c r="N297" i="5"/>
  <c r="N168" i="5"/>
  <c r="N193" i="5"/>
  <c r="N198" i="5"/>
  <c r="N237" i="5"/>
  <c r="N269" i="5"/>
  <c r="N357" i="5"/>
  <c r="N365" i="5"/>
  <c r="N315" i="5"/>
  <c r="N288" i="5"/>
  <c r="N236" i="5"/>
  <c r="N197" i="5"/>
  <c r="N214" i="5"/>
  <c r="N343" i="5"/>
  <c r="N358" i="5"/>
  <c r="N213" i="5"/>
  <c r="N238" i="5"/>
  <c r="N260" i="5"/>
  <c r="N302" i="5"/>
  <c r="N367" i="5"/>
  <c r="N362" i="5"/>
  <c r="N366" i="3" l="1"/>
  <c r="N290" i="3"/>
  <c r="N282" i="3"/>
  <c r="N274" i="3"/>
  <c r="N213" i="3"/>
  <c r="N355" i="3"/>
  <c r="N321" i="3"/>
  <c r="N214" i="3"/>
  <c r="N234" i="3"/>
  <c r="N243" i="3"/>
  <c r="N337" i="3"/>
  <c r="N360" i="3"/>
  <c r="N364" i="3"/>
  <c r="N350" i="3"/>
  <c r="N256" i="3"/>
  <c r="N266" i="3"/>
  <c r="N244" i="3"/>
  <c r="N189" i="3"/>
  <c r="N157" i="3"/>
  <c r="N149" i="3"/>
  <c r="N169" i="3"/>
  <c r="N190" i="3"/>
  <c r="N275" i="3"/>
  <c r="N283" i="3"/>
  <c r="N252" i="3"/>
  <c r="N193" i="3"/>
  <c r="N257" i="3"/>
  <c r="N238" i="3"/>
  <c r="N239" i="3"/>
  <c r="N316" i="3"/>
  <c r="N165" i="3"/>
  <c r="N276" i="3"/>
  <c r="N317" i="3"/>
  <c r="N235" i="3"/>
  <c r="N191" i="3"/>
  <c r="N245" i="3"/>
  <c r="N277" i="3"/>
  <c r="N304" i="3"/>
  <c r="N305" i="3"/>
  <c r="N322" i="3"/>
  <c r="N223" i="3"/>
  <c r="N194" i="3"/>
  <c r="N246" i="3"/>
  <c r="N291" i="3"/>
  <c r="N292" i="3"/>
  <c r="N192" i="3"/>
  <c r="N224" i="3"/>
  <c r="N344" i="3"/>
  <c r="N195" i="3"/>
  <c r="N306" i="3"/>
  <c r="N365" i="3"/>
  <c r="N341" i="3"/>
  <c r="N166" i="3"/>
  <c r="N284" i="3"/>
  <c r="N23" i="3"/>
  <c r="N240" i="3"/>
  <c r="N285" i="3"/>
  <c r="N348" i="3"/>
  <c r="N334" i="3"/>
  <c r="N342" i="3"/>
  <c r="N298" i="3"/>
  <c r="N262" i="3"/>
  <c r="N323" i="3"/>
  <c r="N153" i="3"/>
  <c r="N122" i="3"/>
  <c r="N82" i="3"/>
  <c r="N71" i="3"/>
  <c r="N167" i="3"/>
  <c r="N356" i="3"/>
  <c r="N335" i="3"/>
  <c r="N293" i="3"/>
  <c r="N299" i="3"/>
  <c r="N307" i="3"/>
  <c r="N180" i="3"/>
  <c r="N300" i="3"/>
  <c r="N267" i="3"/>
  <c r="N236" i="3"/>
  <c r="N268" i="3"/>
  <c r="N174" i="3"/>
  <c r="N247" i="3"/>
  <c r="N308" i="3"/>
  <c r="N103" i="3"/>
  <c r="N359" i="3"/>
  <c r="N328" i="3"/>
  <c r="N286" i="3"/>
  <c r="N225" i="3"/>
  <c r="N204" i="3"/>
  <c r="N318" i="3"/>
  <c r="N345" i="3"/>
  <c r="N110" i="3"/>
  <c r="N130" i="3"/>
  <c r="N170" i="3"/>
  <c r="N258" i="3"/>
  <c r="N309" i="3"/>
  <c r="N310" i="3"/>
  <c r="N329" i="3"/>
  <c r="N358" i="3"/>
  <c r="N361" i="3"/>
  <c r="N338" i="3"/>
  <c r="N269" i="3"/>
  <c r="N104" i="3"/>
  <c r="N131" i="3"/>
  <c r="N175" i="3"/>
  <c r="N346" i="3"/>
  <c r="N336" i="3"/>
  <c r="N270" i="3"/>
  <c r="N301" i="3"/>
  <c r="N105" i="3"/>
  <c r="N226" i="3"/>
  <c r="N248" i="3"/>
  <c r="N241" i="3"/>
  <c r="N249" i="3"/>
  <c r="N229" i="3"/>
  <c r="N294" i="3"/>
  <c r="N199" i="3"/>
  <c r="N119" i="3"/>
  <c r="N182" i="3"/>
  <c r="N4" i="3"/>
  <c r="N154" i="3"/>
  <c r="N176" i="3"/>
  <c r="N215" i="3"/>
  <c r="N227" i="3"/>
  <c r="N205" i="3"/>
  <c r="N216" i="3"/>
  <c r="N200" i="3"/>
  <c r="N177" i="3"/>
  <c r="N210" i="3"/>
  <c r="N237" i="3"/>
  <c r="N219" i="3"/>
  <c r="N134" i="3"/>
  <c r="N158" i="3"/>
  <c r="N220" i="3"/>
  <c r="N181" i="3"/>
  <c r="N263" i="3"/>
  <c r="N230" i="3"/>
  <c r="N67" i="3"/>
  <c r="N137" i="3"/>
  <c r="N159" i="3"/>
  <c r="N178" i="3"/>
  <c r="N168" i="3"/>
  <c r="N125" i="3"/>
  <c r="N52" i="3"/>
  <c r="N117" i="3"/>
  <c r="N41" i="3"/>
  <c r="N128" i="3"/>
  <c r="N138" i="3"/>
  <c r="N139" i="3"/>
  <c r="N196" i="3"/>
  <c r="N132" i="3"/>
  <c r="N179" i="3"/>
  <c r="N183" i="3"/>
  <c r="N201" i="3"/>
  <c r="N171" i="3"/>
  <c r="N163" i="3"/>
  <c r="N197" i="3"/>
  <c r="N118" i="3"/>
  <c r="N8" i="3"/>
  <c r="N150" i="3"/>
  <c r="N172" i="3"/>
  <c r="N145" i="3"/>
  <c r="N126" i="3"/>
  <c r="N151" i="3"/>
  <c r="N164" i="3"/>
  <c r="N184" i="3"/>
  <c r="N185" i="3"/>
  <c r="N173" i="3"/>
  <c r="N127" i="3"/>
  <c r="N106" i="3"/>
  <c r="N160" i="3"/>
  <c r="N186" i="3"/>
  <c r="N120" i="3"/>
  <c r="N140" i="3"/>
  <c r="N98" i="3"/>
  <c r="N14" i="3"/>
  <c r="N9" i="3"/>
  <c r="N30" i="3"/>
  <c r="N24" i="3"/>
  <c r="N102" i="3"/>
  <c r="N107" i="3"/>
  <c r="N136" i="3"/>
  <c r="N111" i="3"/>
  <c r="N15" i="3"/>
  <c r="N11" i="3"/>
  <c r="N31" i="3"/>
  <c r="N48" i="3"/>
  <c r="N53" i="3"/>
  <c r="N54" i="3"/>
  <c r="N42" i="3"/>
  <c r="N13" i="3"/>
  <c r="N12" i="3"/>
  <c r="N32" i="3"/>
  <c r="N28" i="3"/>
  <c r="N25" i="3"/>
  <c r="N34" i="3"/>
  <c r="N35" i="3"/>
  <c r="N29" i="3"/>
  <c r="N26" i="3"/>
  <c r="N16" i="3"/>
  <c r="N6" i="3"/>
  <c r="N58" i="3"/>
  <c r="N78" i="3"/>
  <c r="N49" i="3"/>
  <c r="N17" i="3"/>
  <c r="N18" i="3"/>
  <c r="N36" i="3"/>
  <c r="N83" i="3"/>
  <c r="N3" i="3"/>
  <c r="N2" i="3"/>
  <c r="N27" i="3"/>
  <c r="N20" i="3"/>
  <c r="N21" i="3"/>
  <c r="N43" i="3"/>
  <c r="N33" i="3"/>
  <c r="N44" i="3"/>
  <c r="N50" i="3"/>
  <c r="N62" i="3"/>
  <c r="N19" i="3"/>
  <c r="N55" i="3"/>
  <c r="N63" i="3"/>
  <c r="N45" i="3"/>
  <c r="N56" i="3"/>
  <c r="N51" i="3"/>
  <c r="N66" i="3"/>
  <c r="N46" i="3"/>
  <c r="N57" i="3"/>
  <c r="N75" i="3"/>
  <c r="N72" i="3"/>
  <c r="N89" i="3"/>
  <c r="N112" i="3"/>
  <c r="N135" i="3"/>
  <c r="N59" i="3"/>
  <c r="N68" i="3"/>
  <c r="N22" i="3"/>
  <c r="N37" i="3"/>
  <c r="N79" i="3"/>
  <c r="N69" i="3"/>
  <c r="N38" i="3"/>
  <c r="N80" i="3"/>
  <c r="N108" i="3"/>
  <c r="N39" i="3"/>
  <c r="N73" i="3"/>
  <c r="N95" i="3"/>
  <c r="N60" i="3"/>
  <c r="N81" i="3"/>
  <c r="N90" i="3"/>
  <c r="N5" i="3"/>
  <c r="N76" i="3"/>
  <c r="N91" i="3"/>
  <c r="N77" i="3"/>
  <c r="N7" i="3"/>
  <c r="N84" i="3"/>
  <c r="N92" i="3"/>
  <c r="N113" i="3"/>
  <c r="N86" i="3"/>
  <c r="N87" i="3"/>
  <c r="N96" i="3"/>
  <c r="N123" i="3"/>
  <c r="N147" i="3"/>
  <c r="N141" i="3"/>
  <c r="N114" i="3"/>
  <c r="N93" i="3"/>
  <c r="N124" i="3"/>
  <c r="N94" i="3"/>
  <c r="N74" i="3"/>
  <c r="N99" i="3"/>
  <c r="N115" i="3"/>
  <c r="N61" i="3"/>
  <c r="N85" i="3"/>
  <c r="N109" i="3"/>
  <c r="N47" i="3"/>
  <c r="N64" i="3"/>
  <c r="N100" i="3"/>
  <c r="N101" i="3"/>
  <c r="N148" i="3"/>
  <c r="N143" i="3"/>
  <c r="N70" i="3"/>
  <c r="N129" i="3"/>
  <c r="N142" i="3"/>
  <c r="N40" i="3"/>
  <c r="N116" i="3"/>
  <c r="N133" i="3"/>
  <c r="N155" i="3"/>
  <c r="N88" i="3"/>
  <c r="N97" i="3"/>
  <c r="N152" i="3"/>
  <c r="N144" i="3"/>
  <c r="N10" i="3"/>
  <c r="N187" i="3"/>
  <c r="N161" i="3"/>
  <c r="N146" i="3"/>
  <c r="N206" i="3"/>
  <c r="N231" i="3"/>
  <c r="N65" i="3"/>
  <c r="N211" i="3"/>
  <c r="N232" i="3"/>
  <c r="N217" i="3"/>
  <c r="N253" i="3"/>
  <c r="N202" i="3"/>
  <c r="N218" i="3"/>
  <c r="N278" i="3"/>
  <c r="N351" i="3"/>
  <c r="N156" i="3"/>
  <c r="N254" i="3"/>
  <c r="N259" i="3"/>
  <c r="N121" i="3"/>
  <c r="N255" i="3"/>
  <c r="N279" i="3"/>
  <c r="N295" i="3"/>
  <c r="N250" i="3"/>
  <c r="N251" i="3"/>
  <c r="N311" i="3"/>
  <c r="N233" i="3"/>
  <c r="N319" i="3"/>
  <c r="N221" i="3"/>
  <c r="N162" i="3"/>
  <c r="N271" i="3"/>
  <c r="N207" i="3"/>
  <c r="N228" i="3"/>
  <c r="N198" i="3"/>
  <c r="N280" i="3"/>
  <c r="N324" i="3"/>
  <c r="N363" i="3"/>
  <c r="N296" i="3"/>
  <c r="N242" i="3"/>
  <c r="N264" i="3"/>
  <c r="N330" i="3"/>
  <c r="N287" i="3"/>
  <c r="N288" i="3"/>
  <c r="N302" i="3"/>
  <c r="N312" i="3"/>
  <c r="N222" i="3"/>
  <c r="N208" i="3"/>
  <c r="N209" i="3"/>
  <c r="N331" i="3"/>
  <c r="N352" i="3"/>
  <c r="N353" i="3"/>
  <c r="N325" i="3"/>
  <c r="N272" i="3"/>
  <c r="N313" i="3"/>
  <c r="N260" i="3"/>
  <c r="N203" i="3"/>
  <c r="N273" i="3"/>
  <c r="N332" i="3"/>
  <c r="N261" i="3"/>
  <c r="N333" i="3"/>
  <c r="N326" i="3"/>
  <c r="N343" i="3"/>
  <c r="N188" i="3"/>
  <c r="N320" i="3"/>
  <c r="N339" i="3"/>
  <c r="N303" i="3"/>
  <c r="N212" i="3"/>
  <c r="N314" i="3"/>
  <c r="N265" i="3"/>
  <c r="N315" i="3"/>
  <c r="N327" i="3"/>
  <c r="N347" i="3"/>
  <c r="N354" i="3"/>
  <c r="N297" i="3"/>
  <c r="N289" i="3"/>
  <c r="N349" i="3"/>
  <c r="N362" i="3"/>
  <c r="N357" i="3"/>
  <c r="N340" i="3"/>
  <c r="N28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tc={5ED4CA5E-6BE8-4B94-950F-EBD205F0F7DD}</author>
  </authors>
  <commentList>
    <comment ref="A18" authorId="0" shapeId="0" xr:uid="{5ED4CA5E-6BE8-4B94-950F-EBD205F0F7DD}">
      <text>
        <t xml:space="preserve">[Threaded comment]
Your version of Excel allows you to read this threaded comment; however, any edits to it will get removed if the file is opened in a newer version of Excel. Learn more: https://go.microsoft.com/fwlink/?linkid=870924
Comment:
    I have created a new variable called "activity" and it represents the count of rental bikes including both ebike and pbike and whether the rental activity is quiet,modest,good or busy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E53F4C-AFB7-478E-83E7-A4D6949D22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9D2A6B-9687-475A-BCA2-A80A5D28F108}" name="WorksheetConnection_2024 T2 MIS171 Assignment 1 Data (1).xlsx!Table1" type="102" refreshedVersion="8" minRefreshableVersion="5">
    <extLst>
      <ext xmlns:x15="http://schemas.microsoft.com/office/spreadsheetml/2010/11/main" uri="{DE250136-89BD-433C-8126-D09CA5730AF9}">
        <x15:connection id="Table1">
          <x15:rangePr sourceName="_xlcn.WorksheetConnection_2024T2MIS171Assignment1Data1.xlsxTable11"/>
        </x15:connection>
      </ext>
    </extLst>
  </connection>
</connections>
</file>

<file path=xl/sharedStrings.xml><?xml version="1.0" encoding="utf-8"?>
<sst xmlns="http://schemas.openxmlformats.org/spreadsheetml/2006/main" count="4922" uniqueCount="109">
  <si>
    <t>Date</t>
  </si>
  <si>
    <t>Season</t>
  </si>
  <si>
    <t xml:space="preserve"> Month</t>
  </si>
  <si>
    <t>Holiday</t>
  </si>
  <si>
    <t>Weekday</t>
  </si>
  <si>
    <t>Workingday</t>
  </si>
  <si>
    <t>Weather</t>
  </si>
  <si>
    <t>Temp</t>
  </si>
  <si>
    <t>Humidity</t>
  </si>
  <si>
    <t>WindSpeed</t>
  </si>
  <si>
    <t>eBike</t>
  </si>
  <si>
    <t>pBike</t>
  </si>
  <si>
    <t>Count</t>
  </si>
  <si>
    <t>Summer</t>
  </si>
  <si>
    <t>Autumn</t>
  </si>
  <si>
    <t>Winter</t>
  </si>
  <si>
    <t>Spring</t>
  </si>
  <si>
    <t>Id</t>
  </si>
  <si>
    <t>Bike ride details in year 2022</t>
  </si>
  <si>
    <t>Variable Name</t>
  </si>
  <si>
    <t>Variable Description</t>
  </si>
  <si>
    <t>ID</t>
  </si>
  <si>
    <t>Seasons</t>
  </si>
  <si>
    <t>Month</t>
  </si>
  <si>
    <t xml:space="preserve">Record index </t>
  </si>
  <si>
    <t>Date of the bike ride used</t>
  </si>
  <si>
    <t>Season of the bike ride used (Summer, Autumn, Winter, and Spring)</t>
  </si>
  <si>
    <t xml:space="preserve">Temperature of the day in Celsius </t>
  </si>
  <si>
    <t>Humidity of the day in %</t>
  </si>
  <si>
    <t>Wind speed of the day in km/h</t>
  </si>
  <si>
    <t>Count of electric bike per day</t>
  </si>
  <si>
    <t>Count of paddle bike per day</t>
  </si>
  <si>
    <t>Count of total rental bikes including both eBike and pBike</t>
  </si>
  <si>
    <t>Jan</t>
  </si>
  <si>
    <t>Feb</t>
  </si>
  <si>
    <t>Mar</t>
  </si>
  <si>
    <t>Apr</t>
  </si>
  <si>
    <t>May</t>
  </si>
  <si>
    <t>Jun</t>
  </si>
  <si>
    <t>Jul</t>
  </si>
  <si>
    <t>Aug</t>
  </si>
  <si>
    <t>Sep</t>
  </si>
  <si>
    <t>Oct</t>
  </si>
  <si>
    <t>Nov</t>
  </si>
  <si>
    <t>Dec</t>
  </si>
  <si>
    <t>`</t>
  </si>
  <si>
    <t>Month (Jan to Dec)</t>
  </si>
  <si>
    <t>Sunday</t>
  </si>
  <si>
    <t>Monday</t>
  </si>
  <si>
    <t>Tuesday</t>
  </si>
  <si>
    <t>Wednesday</t>
  </si>
  <si>
    <t>Thursday</t>
  </si>
  <si>
    <t>Friday</t>
  </si>
  <si>
    <t>Saturday</t>
  </si>
  <si>
    <t>Clear</t>
  </si>
  <si>
    <t>Cloudy</t>
  </si>
  <si>
    <t>Rain</t>
  </si>
  <si>
    <t>Weather of the day (Clear, Cloudy, Rain)</t>
  </si>
  <si>
    <t>Day of week (Sunday to Saturday)</t>
  </si>
  <si>
    <t>Not Holiday</t>
  </si>
  <si>
    <t>Not Workingday</t>
  </si>
  <si>
    <t>If day is either working day or not</t>
  </si>
  <si>
    <t xml:space="preserve">Whether day is holiday or not (Holiday, Not Holiday) </t>
  </si>
  <si>
    <t>Row Labels</t>
  </si>
  <si>
    <t>Grand Total</t>
  </si>
  <si>
    <t>Sum of eBike</t>
  </si>
  <si>
    <t>Sum of pBike</t>
  </si>
  <si>
    <t>Sum of Count</t>
  </si>
  <si>
    <t>(All)</t>
  </si>
  <si>
    <t>IQ3</t>
  </si>
  <si>
    <t>IQ4</t>
  </si>
  <si>
    <t>Column1</t>
  </si>
  <si>
    <t>Mean</t>
  </si>
  <si>
    <t>Standard Error</t>
  </si>
  <si>
    <t>Median</t>
  </si>
  <si>
    <t>Mode</t>
  </si>
  <si>
    <t>Standard Deviation</t>
  </si>
  <si>
    <t>Sample Variance</t>
  </si>
  <si>
    <t>Kurtosis</t>
  </si>
  <si>
    <t>Skewness</t>
  </si>
  <si>
    <t>Range</t>
  </si>
  <si>
    <t>Minimum</t>
  </si>
  <si>
    <t>Maximum</t>
  </si>
  <si>
    <t>Sum</t>
  </si>
  <si>
    <t>ebike</t>
  </si>
  <si>
    <t>pike</t>
  </si>
  <si>
    <t>Q1</t>
  </si>
  <si>
    <t>Q3</t>
  </si>
  <si>
    <t>Q2</t>
  </si>
  <si>
    <t>Q4</t>
  </si>
  <si>
    <t>outliners</t>
  </si>
  <si>
    <t>emphirical rule</t>
  </si>
  <si>
    <t xml:space="preserve">upper limit </t>
  </si>
  <si>
    <t>lower limit</t>
  </si>
  <si>
    <t>ttukeys rule</t>
  </si>
  <si>
    <t>IQR</t>
  </si>
  <si>
    <t>CV</t>
  </si>
  <si>
    <t>ebikes</t>
  </si>
  <si>
    <t>pbikes</t>
  </si>
  <si>
    <t>Variable</t>
  </si>
  <si>
    <t>categorical</t>
  </si>
  <si>
    <t>numerical</t>
  </si>
  <si>
    <t>activity</t>
  </si>
  <si>
    <t>quiet</t>
  </si>
  <si>
    <t>busy</t>
  </si>
  <si>
    <t>modest</t>
  </si>
  <si>
    <t>good</t>
  </si>
  <si>
    <t>Count of total rental bikes including both eBike and pBike: quiet(less than 40), modest(40-69),good(70-99),busy(100 or more)</t>
  </si>
  <si>
    <t>sum of ebike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</si>
</sst>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
      <sz val="14"/>
      <color theme="1"/>
      <name val="Calibri"/>
      <family val="2"/>
    </font>
    <font>
      <sz val="14"/>
      <color theme="1"/>
      <name val="Abadi"/>
      <family val="2"/>
    </font>
    <font>
      <sz val="8"/>
      <name val="Aptos Narrow"/>
      <family val="2"/>
      <scheme val="minor"/>
    </font>
    <font>
      <b/>
      <sz val="14"/>
      <color theme="5"/>
      <name val="Aptos Black"/>
      <family val="2"/>
    </font>
    <font>
      <sz val="11"/>
      <color theme="1"/>
      <name val="Aptos Narrow"/>
      <family val="2"/>
      <scheme val="minor"/>
    </font>
    <font>
      <i/>
      <sz val="11"/>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31">
    <xf numFmtId="0" fontId="0" fillId="0" borderId="0" xfId="0"/>
    <xf numFmtId="14" fontId="0" fillId="0" borderId="0" xfId="0" applyNumberFormat="1"/>
    <xf numFmtId="0" fontId="0" fillId="0" borderId="0" xfId="0" applyAlignment="1">
      <alignment horizontal="center"/>
    </xf>
    <xf numFmtId="1" fontId="0" fillId="0" borderId="0" xfId="0" applyNumberForma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0" borderId="0" xfId="0" applyFont="1"/>
    <xf numFmtId="0" fontId="3" fillId="0" borderId="0" xfId="0" applyFont="1"/>
    <xf numFmtId="0" fontId="4" fillId="0" borderId="0" xfId="0" applyFont="1" applyAlignment="1">
      <alignment vertical="center" wrapText="1"/>
    </xf>
    <xf numFmtId="0" fontId="4" fillId="0" borderId="0" xfId="0" applyFont="1" applyAlignment="1">
      <alignment vertical="center"/>
    </xf>
    <xf numFmtId="0" fontId="5" fillId="0" borderId="0" xfId="0" applyFont="1"/>
    <xf numFmtId="0" fontId="1" fillId="2" borderId="0" xfId="0" applyFont="1" applyFill="1" applyAlignment="1">
      <alignment horizontal="center" vertical="center"/>
    </xf>
    <xf numFmtId="0" fontId="7" fillId="0" borderId="0" xfId="0" applyFont="1"/>
    <xf numFmtId="0" fontId="0" fillId="0" borderId="0" xfId="0" pivotButton="1"/>
    <xf numFmtId="0" fontId="0" fillId="0" borderId="0" xfId="0" applyAlignment="1">
      <alignment horizontal="left"/>
    </xf>
    <xf numFmtId="10" fontId="0" fillId="0" borderId="0" xfId="0" applyNumberFormat="1"/>
    <xf numFmtId="0" fontId="9" fillId="0" borderId="8" xfId="0" applyFont="1" applyBorder="1" applyAlignment="1">
      <alignment horizontal="center"/>
    </xf>
    <xf numFmtId="10" fontId="0" fillId="0" borderId="0" xfId="1" applyNumberFormat="1" applyFont="1"/>
    <xf numFmtId="0" fontId="0" fillId="0" borderId="0" xfId="0" applyNumberFormat="1"/>
    <xf numFmtId="0" fontId="10" fillId="0" borderId="0" xfId="0" applyFont="1" applyAlignment="1">
      <alignment horizontal="left"/>
    </xf>
    <xf numFmtId="0" fontId="10" fillId="0" borderId="0" xfId="0" applyNumberFormat="1" applyFont="1"/>
    <xf numFmtId="0" fontId="3" fillId="0" borderId="0" xfId="0" pivotButton="1" applyFont="1"/>
    <xf numFmtId="0" fontId="10" fillId="0" borderId="9" xfId="0" pivotButton="1" applyFont="1" applyBorder="1"/>
    <xf numFmtId="0" fontId="10" fillId="0" borderId="9" xfId="0" applyFont="1" applyBorder="1"/>
    <xf numFmtId="0" fontId="10" fillId="0" borderId="9" xfId="0" applyFont="1" applyBorder="1" applyAlignment="1">
      <alignment horizontal="left"/>
    </xf>
    <xf numFmtId="0" fontId="10" fillId="0" borderId="9" xfId="0" applyNumberFormat="1" applyFont="1" applyBorder="1"/>
  </cellXfs>
  <cellStyles count="2">
    <cellStyle name="Normal" xfId="0" builtinId="0"/>
    <cellStyle name="Percent" xfId="1" builtinId="5"/>
  </cellStyles>
  <dxfs count="1797">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b/>
      </font>
    </dxf>
    <dxf>
      <font>
        <b/>
      </font>
    </dxf>
    <dxf>
      <font>
        <b/>
      </font>
    </dxf>
    <dxf>
      <font>
        <b/>
      </font>
    </dxf>
    <dxf>
      <font>
        <b/>
      </font>
    </dxf>
    <dxf>
      <font>
        <b/>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mm/yyyy"/>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5999938962981048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mm/yyyy"/>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59999389629810485"/>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23CE7123-99DF-4A30-A2BB-F7B73E51AE7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microsoft.com/office/2007/relationships/slicerCache" Target="slicerCaches/slicerCache3.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_2_MIS171_s224741522.xlsx]Sheet2!PivotTable2</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baseline="0"/>
              <a:t>RENTAL BIKES THROUGH SEASONS</a:t>
            </a:r>
            <a:endParaRPr lang="en-US" b="1"/>
          </a:p>
        </c:rich>
      </c:tx>
      <c:layout>
        <c:manualLayout>
          <c:xMode val="edge"/>
          <c:yMode val="edge"/>
          <c:x val="7.4651908126609559E-2"/>
          <c:y val="0.11524536898363349"/>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83137852279717E-2"/>
          <c:y val="0.23279535980340899"/>
          <c:w val="0.86410018669964272"/>
          <c:h val="0.64790398199019861"/>
        </c:manualLayout>
      </c:layout>
      <c:barChart>
        <c:barDir val="col"/>
        <c:grouping val="clustered"/>
        <c:varyColors val="0"/>
        <c:ser>
          <c:idx val="0"/>
          <c:order val="0"/>
          <c:tx>
            <c:strRef>
              <c:f>Sheet2!$F$3</c:f>
              <c:strCache>
                <c:ptCount val="1"/>
                <c:pt idx="0">
                  <c:v>sum of ebike</c:v>
                </c:pt>
              </c:strCache>
            </c:strRef>
          </c:tx>
          <c:spPr>
            <a:solidFill>
              <a:schemeClr val="accent1"/>
            </a:solidFill>
            <a:ln>
              <a:noFill/>
            </a:ln>
            <a:effectLst/>
          </c:spPr>
          <c:invertIfNegative val="0"/>
          <c:cat>
            <c:strRef>
              <c:f>Sheet2!$E$4:$E$8</c:f>
              <c:strCache>
                <c:ptCount val="4"/>
                <c:pt idx="0">
                  <c:v>Autumn</c:v>
                </c:pt>
                <c:pt idx="1">
                  <c:v>Spring</c:v>
                </c:pt>
                <c:pt idx="2">
                  <c:v>Summer</c:v>
                </c:pt>
                <c:pt idx="3">
                  <c:v>Winter</c:v>
                </c:pt>
              </c:strCache>
            </c:strRef>
          </c:cat>
          <c:val>
            <c:numRef>
              <c:f>Sheet2!$F$4:$F$8</c:f>
              <c:numCache>
                <c:formatCode>General</c:formatCode>
                <c:ptCount val="4"/>
                <c:pt idx="0">
                  <c:v>1365</c:v>
                </c:pt>
                <c:pt idx="1">
                  <c:v>1322</c:v>
                </c:pt>
                <c:pt idx="2">
                  <c:v>1893</c:v>
                </c:pt>
                <c:pt idx="3">
                  <c:v>367</c:v>
                </c:pt>
              </c:numCache>
            </c:numRef>
          </c:val>
          <c:extLst>
            <c:ext xmlns:c16="http://schemas.microsoft.com/office/drawing/2014/chart" uri="{C3380CC4-5D6E-409C-BE32-E72D297353CC}">
              <c16:uniqueId val="{00000000-0CCA-4BFD-B99B-B6E859B31B34}"/>
            </c:ext>
          </c:extLst>
        </c:ser>
        <c:ser>
          <c:idx val="1"/>
          <c:order val="1"/>
          <c:tx>
            <c:strRef>
              <c:f>Sheet2!$G$3</c:f>
              <c:strCache>
                <c:ptCount val="1"/>
                <c:pt idx="0">
                  <c:v>Sum of pBike</c:v>
                </c:pt>
              </c:strCache>
            </c:strRef>
          </c:tx>
          <c:spPr>
            <a:solidFill>
              <a:schemeClr val="accent2"/>
            </a:solidFill>
            <a:ln>
              <a:noFill/>
            </a:ln>
            <a:effectLst/>
          </c:spPr>
          <c:invertIfNegative val="0"/>
          <c:cat>
            <c:strRef>
              <c:f>Sheet2!$E$4:$E$8</c:f>
              <c:strCache>
                <c:ptCount val="4"/>
                <c:pt idx="0">
                  <c:v>Autumn</c:v>
                </c:pt>
                <c:pt idx="1">
                  <c:v>Spring</c:v>
                </c:pt>
                <c:pt idx="2">
                  <c:v>Summer</c:v>
                </c:pt>
                <c:pt idx="3">
                  <c:v>Winter</c:v>
                </c:pt>
              </c:strCache>
            </c:strRef>
          </c:cat>
          <c:val>
            <c:numRef>
              <c:f>Sheet2!$G$4:$G$8</c:f>
              <c:numCache>
                <c:formatCode>General</c:formatCode>
                <c:ptCount val="4"/>
                <c:pt idx="0">
                  <c:v>5799</c:v>
                </c:pt>
                <c:pt idx="1">
                  <c:v>4567</c:v>
                </c:pt>
                <c:pt idx="2">
                  <c:v>6358</c:v>
                </c:pt>
                <c:pt idx="3">
                  <c:v>3187</c:v>
                </c:pt>
              </c:numCache>
            </c:numRef>
          </c:val>
          <c:extLst>
            <c:ext xmlns:c16="http://schemas.microsoft.com/office/drawing/2014/chart" uri="{C3380CC4-5D6E-409C-BE32-E72D297353CC}">
              <c16:uniqueId val="{00000001-0CCA-4BFD-B99B-B6E859B31B34}"/>
            </c:ext>
          </c:extLst>
        </c:ser>
        <c:dLbls>
          <c:showLegendKey val="0"/>
          <c:showVal val="0"/>
          <c:showCatName val="0"/>
          <c:showSerName val="0"/>
          <c:showPercent val="0"/>
          <c:showBubbleSize val="0"/>
        </c:dLbls>
        <c:gapWidth val="269"/>
        <c:axId val="1413656176"/>
        <c:axId val="1413652336"/>
      </c:barChart>
      <c:lineChart>
        <c:grouping val="standard"/>
        <c:varyColors val="0"/>
        <c:ser>
          <c:idx val="2"/>
          <c:order val="2"/>
          <c:tx>
            <c:strRef>
              <c:f>Sheet2!$H$3</c:f>
              <c:strCache>
                <c:ptCount val="1"/>
                <c:pt idx="0">
                  <c:v>Sum of Count</c:v>
                </c:pt>
              </c:strCache>
            </c:strRef>
          </c:tx>
          <c:spPr>
            <a:ln w="38100" cap="rnd">
              <a:solidFill>
                <a:schemeClr val="accent3"/>
              </a:solidFill>
              <a:round/>
            </a:ln>
            <a:effectLst/>
          </c:spPr>
          <c:marker>
            <c:symbol val="circle"/>
            <c:size val="8"/>
            <c:spPr>
              <a:solidFill>
                <a:schemeClr val="accent3"/>
              </a:solidFill>
              <a:ln>
                <a:noFill/>
              </a:ln>
              <a:effectLst/>
            </c:spPr>
          </c:marker>
          <c:cat>
            <c:strRef>
              <c:f>Sheet2!$E$4:$E$8</c:f>
              <c:strCache>
                <c:ptCount val="4"/>
                <c:pt idx="0">
                  <c:v>Autumn</c:v>
                </c:pt>
                <c:pt idx="1">
                  <c:v>Spring</c:v>
                </c:pt>
                <c:pt idx="2">
                  <c:v>Summer</c:v>
                </c:pt>
                <c:pt idx="3">
                  <c:v>Winter</c:v>
                </c:pt>
              </c:strCache>
            </c:strRef>
          </c:cat>
          <c:val>
            <c:numRef>
              <c:f>Sheet2!$H$4:$H$8</c:f>
              <c:numCache>
                <c:formatCode>General</c:formatCode>
                <c:ptCount val="4"/>
                <c:pt idx="0">
                  <c:v>7164</c:v>
                </c:pt>
                <c:pt idx="1">
                  <c:v>5889</c:v>
                </c:pt>
                <c:pt idx="2">
                  <c:v>8251</c:v>
                </c:pt>
                <c:pt idx="3">
                  <c:v>3554</c:v>
                </c:pt>
              </c:numCache>
            </c:numRef>
          </c:val>
          <c:smooth val="0"/>
          <c:extLst>
            <c:ext xmlns:c16="http://schemas.microsoft.com/office/drawing/2014/chart" uri="{C3380CC4-5D6E-409C-BE32-E72D297353CC}">
              <c16:uniqueId val="{00000002-0CCA-4BFD-B99B-B6E859B31B34}"/>
            </c:ext>
          </c:extLst>
        </c:ser>
        <c:dLbls>
          <c:showLegendKey val="0"/>
          <c:showVal val="0"/>
          <c:showCatName val="0"/>
          <c:showSerName val="0"/>
          <c:showPercent val="0"/>
          <c:showBubbleSize val="0"/>
        </c:dLbls>
        <c:marker val="1"/>
        <c:smooth val="0"/>
        <c:axId val="1413656176"/>
        <c:axId val="1413652336"/>
      </c:lineChart>
      <c:catAx>
        <c:axId val="141365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13652336"/>
        <c:crosses val="autoZero"/>
        <c:auto val="1"/>
        <c:lblAlgn val="ctr"/>
        <c:lblOffset val="100"/>
        <c:noMultiLvlLbl val="0"/>
      </c:catAx>
      <c:valAx>
        <c:axId val="141365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56176"/>
        <c:crosses val="autoZero"/>
        <c:crossBetween val="between"/>
      </c:valAx>
      <c:spPr>
        <a:noFill/>
        <a:ln>
          <a:noFill/>
        </a:ln>
        <a:effectLst/>
      </c:spPr>
    </c:plotArea>
    <c:legend>
      <c:legendPos val="r"/>
      <c:layout>
        <c:manualLayout>
          <c:xMode val="edge"/>
          <c:yMode val="edge"/>
          <c:x val="0.80696223416397905"/>
          <c:y val="3.6292011662739987E-2"/>
          <c:w val="0.18387769063685241"/>
          <c:h val="0.236277848703618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_2_MIS171_s224741522.xlsx]Sheet2!PivotTable3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600" b="1"/>
              <a:t>BIKE</a:t>
            </a:r>
            <a:r>
              <a:rPr lang="en-AU" sz="1600" b="1" baseline="0"/>
              <a:t> RENTAL THROUGHOUT THE YEAR</a:t>
            </a:r>
            <a:endParaRPr lang="en-AU" b="1"/>
          </a:p>
        </c:rich>
      </c:tx>
      <c:layout>
        <c:manualLayout>
          <c:xMode val="edge"/>
          <c:yMode val="edge"/>
          <c:x val="0.27588416843380609"/>
          <c:y val="3.4627648665708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8082741437639"/>
          <c:y val="0.17784321091290059"/>
          <c:w val="0.71400883321200959"/>
          <c:h val="0.58994446170122161"/>
        </c:manualLayout>
      </c:layout>
      <c:lineChart>
        <c:grouping val="standard"/>
        <c:varyColors val="0"/>
        <c:ser>
          <c:idx val="0"/>
          <c:order val="0"/>
          <c:tx>
            <c:strRef>
              <c:f>Sheet2!$B$12</c:f>
              <c:strCache>
                <c:ptCount val="1"/>
                <c:pt idx="0">
                  <c:v>Sum of eBike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Sheet2!$B$13:$B$25</c:f>
              <c:numCache>
                <c:formatCode>General</c:formatCode>
                <c:ptCount val="12"/>
                <c:pt idx="0">
                  <c:v>690</c:v>
                </c:pt>
                <c:pt idx="1">
                  <c:v>533</c:v>
                </c:pt>
                <c:pt idx="2">
                  <c:v>549</c:v>
                </c:pt>
                <c:pt idx="3">
                  <c:v>498</c:v>
                </c:pt>
                <c:pt idx="4">
                  <c:v>318</c:v>
                </c:pt>
                <c:pt idx="5">
                  <c:v>158</c:v>
                </c:pt>
                <c:pt idx="6">
                  <c:v>76</c:v>
                </c:pt>
                <c:pt idx="7">
                  <c:v>133</c:v>
                </c:pt>
                <c:pt idx="8">
                  <c:v>252</c:v>
                </c:pt>
                <c:pt idx="9">
                  <c:v>479</c:v>
                </c:pt>
                <c:pt idx="10">
                  <c:v>591</c:v>
                </c:pt>
                <c:pt idx="11">
                  <c:v>670</c:v>
                </c:pt>
              </c:numCache>
            </c:numRef>
          </c:val>
          <c:smooth val="0"/>
          <c:extLst>
            <c:ext xmlns:c16="http://schemas.microsoft.com/office/drawing/2014/chart" uri="{C3380CC4-5D6E-409C-BE32-E72D297353CC}">
              <c16:uniqueId val="{00000000-F9AA-4192-9175-9D5093C9E910}"/>
            </c:ext>
          </c:extLst>
        </c:ser>
        <c:ser>
          <c:idx val="1"/>
          <c:order val="1"/>
          <c:tx>
            <c:strRef>
              <c:f>Sheet2!$C$12</c:f>
              <c:strCache>
                <c:ptCount val="1"/>
                <c:pt idx="0">
                  <c:v>Sum of pBike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Sheet2!$C$13:$C$25</c:f>
              <c:numCache>
                <c:formatCode>General</c:formatCode>
                <c:ptCount val="12"/>
                <c:pt idx="0">
                  <c:v>2111</c:v>
                </c:pt>
                <c:pt idx="1">
                  <c:v>1920</c:v>
                </c:pt>
                <c:pt idx="2">
                  <c:v>2105</c:v>
                </c:pt>
                <c:pt idx="3">
                  <c:v>1897</c:v>
                </c:pt>
                <c:pt idx="4">
                  <c:v>1797</c:v>
                </c:pt>
                <c:pt idx="5">
                  <c:v>1539</c:v>
                </c:pt>
                <c:pt idx="6">
                  <c:v>708</c:v>
                </c:pt>
                <c:pt idx="7">
                  <c:v>940</c:v>
                </c:pt>
                <c:pt idx="8">
                  <c:v>989</c:v>
                </c:pt>
                <c:pt idx="9">
                  <c:v>1529</c:v>
                </c:pt>
                <c:pt idx="10">
                  <c:v>2049</c:v>
                </c:pt>
                <c:pt idx="11">
                  <c:v>2327</c:v>
                </c:pt>
              </c:numCache>
            </c:numRef>
          </c:val>
          <c:smooth val="0"/>
          <c:extLst>
            <c:ext xmlns:c16="http://schemas.microsoft.com/office/drawing/2014/chart" uri="{C3380CC4-5D6E-409C-BE32-E72D297353CC}">
              <c16:uniqueId val="{00000001-F9AA-4192-9175-9D5093C9E910}"/>
            </c:ext>
          </c:extLst>
        </c:ser>
        <c:dLbls>
          <c:showLegendKey val="0"/>
          <c:showVal val="0"/>
          <c:showCatName val="0"/>
          <c:showSerName val="0"/>
          <c:showPercent val="0"/>
          <c:showBubbleSize val="0"/>
        </c:dLbls>
        <c:marker val="1"/>
        <c:smooth val="0"/>
        <c:axId val="1508782399"/>
        <c:axId val="1508778079"/>
      </c:lineChart>
      <c:catAx>
        <c:axId val="15087823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78079"/>
        <c:crosses val="autoZero"/>
        <c:auto val="1"/>
        <c:lblAlgn val="ctr"/>
        <c:lblOffset val="100"/>
        <c:noMultiLvlLbl val="0"/>
      </c:catAx>
      <c:valAx>
        <c:axId val="1508778079"/>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82399"/>
        <c:crosses val="autoZero"/>
        <c:crossBetween val="between"/>
      </c:valAx>
      <c:spPr>
        <a:noFill/>
        <a:ln>
          <a:noFill/>
        </a:ln>
        <a:effectLst/>
      </c:spPr>
    </c:plotArea>
    <c:legend>
      <c:legendPos val="r"/>
      <c:layout>
        <c:manualLayout>
          <c:xMode val="edge"/>
          <c:yMode val="edge"/>
          <c:x val="0.83309256858557001"/>
          <c:y val="2.9138282120638282E-2"/>
          <c:w val="0.149691659960348"/>
          <c:h val="0.17489330034864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_2_MIS171_s224741522.xlsx]Sheet2!PivotTable4</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AU"/>
              <a:t>BIKE RENTAL ACTIVITY</a:t>
            </a:r>
          </a:p>
        </c:rich>
      </c:tx>
      <c:layout>
        <c:manualLayout>
          <c:xMode val="edge"/>
          <c:yMode val="edge"/>
          <c:x val="0.4155885794504563"/>
          <c:y val="7.4623099590351877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pivotFmt>
      <c:pivotFmt>
        <c:idx val="3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pivotFmt>
      <c:pivotFmt>
        <c:idx val="3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3"/>
      </c:pivotFmt>
      <c:pivotFmt>
        <c:idx val="44"/>
      </c:pivotFmt>
      <c:pivotFmt>
        <c:idx val="45"/>
      </c:pivotFmt>
      <c:pivotFmt>
        <c:idx val="46"/>
      </c:pivotFmt>
      <c:pivotFmt>
        <c:idx val="47"/>
      </c:pivotFmt>
      <c:pivotFmt>
        <c:idx val="48"/>
      </c:pivotFmt>
      <c:pivotFmt>
        <c:idx val="4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81029973430753"/>
          <c:y val="0.21256437092573457"/>
          <c:w val="0.73291784290933248"/>
          <c:h val="0.56727071663188933"/>
        </c:manualLayout>
      </c:layout>
      <c:pie3DChart>
        <c:varyColors val="1"/>
        <c:ser>
          <c:idx val="0"/>
          <c:order val="0"/>
          <c:tx>
            <c:strRef>
              <c:f>Sheet2!$B$29</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C871-4FC1-BA86-F32620F143D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C871-4FC1-BA86-F32620F143D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C871-4FC1-BA86-F32620F143D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C871-4FC1-BA86-F32620F143D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Sheet2!$A$30:$A$34</c:f>
              <c:strCache>
                <c:ptCount val="4"/>
                <c:pt idx="0">
                  <c:v>busy</c:v>
                </c:pt>
                <c:pt idx="1">
                  <c:v>good</c:v>
                </c:pt>
                <c:pt idx="2">
                  <c:v>modest</c:v>
                </c:pt>
                <c:pt idx="3">
                  <c:v>quiet</c:v>
                </c:pt>
              </c:strCache>
            </c:strRef>
          </c:cat>
          <c:val>
            <c:numRef>
              <c:f>Sheet2!$B$30:$B$34</c:f>
              <c:numCache>
                <c:formatCode>0.00%</c:formatCode>
                <c:ptCount val="4"/>
                <c:pt idx="0">
                  <c:v>0.16566095421996943</c:v>
                </c:pt>
                <c:pt idx="1">
                  <c:v>0.56927347332850586</c:v>
                </c:pt>
                <c:pt idx="2">
                  <c:v>0.17587899267841339</c:v>
                </c:pt>
                <c:pt idx="3">
                  <c:v>8.9186579773111271E-2</c:v>
                </c:pt>
              </c:numCache>
            </c:numRef>
          </c:val>
          <c:extLst>
            <c:ext xmlns:c16="http://schemas.microsoft.com/office/drawing/2014/chart" uri="{C3380CC4-5D6E-409C-BE32-E72D297353CC}">
              <c16:uniqueId val="{00000012-C871-4FC1-BA86-F32620F143D9}"/>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9.23309233707333E-2"/>
          <c:y val="0.71186882483428671"/>
          <c:w val="0.15005604659534358"/>
          <c:h val="0.190184901164436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_2_MIS171_s224741522.xlsx]Sheet2!PivotTable5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SUM</a:t>
            </a:r>
            <a:r>
              <a:rPr lang="en-AU" baseline="0"/>
              <a:t> OF RENTAL BIKES IN </a:t>
            </a:r>
          </a:p>
          <a:p>
            <a:pPr>
              <a:defRPr/>
            </a:pPr>
            <a:r>
              <a:rPr lang="en-AU" baseline="0"/>
              <a:t>WEATHER CONDITIONS</a:t>
            </a:r>
            <a:r>
              <a:rPr lang="en-AU"/>
              <a:t> </a:t>
            </a:r>
          </a:p>
        </c:rich>
      </c:tx>
      <c:layout>
        <c:manualLayout>
          <c:xMode val="edge"/>
          <c:yMode val="edge"/>
          <c:x val="0.33864506975513975"/>
          <c:y val="3.23012200301169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4136230452505E-2"/>
          <c:y val="0.19255785684446916"/>
          <c:w val="0.86809577962151119"/>
          <c:h val="0.64338352237996543"/>
        </c:manualLayout>
      </c:layout>
      <c:barChart>
        <c:barDir val="col"/>
        <c:grouping val="clustered"/>
        <c:varyColors val="0"/>
        <c:ser>
          <c:idx val="0"/>
          <c:order val="0"/>
          <c:tx>
            <c:strRef>
              <c:f>Sheet2!$B$3</c:f>
              <c:strCache>
                <c:ptCount val="1"/>
                <c:pt idx="0">
                  <c:v>Sum of pBike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Clear</c:v>
                </c:pt>
                <c:pt idx="1">
                  <c:v>Cloudy</c:v>
                </c:pt>
                <c:pt idx="2">
                  <c:v>Rain</c:v>
                </c:pt>
              </c:strCache>
            </c:strRef>
          </c:cat>
          <c:val>
            <c:numRef>
              <c:f>Sheet2!$B$4:$B$7</c:f>
              <c:numCache>
                <c:formatCode>General</c:formatCode>
                <c:ptCount val="3"/>
                <c:pt idx="0">
                  <c:v>12029</c:v>
                </c:pt>
                <c:pt idx="1">
                  <c:v>6967</c:v>
                </c:pt>
                <c:pt idx="2">
                  <c:v>915</c:v>
                </c:pt>
              </c:numCache>
            </c:numRef>
          </c:val>
          <c:extLst>
            <c:ext xmlns:c16="http://schemas.microsoft.com/office/drawing/2014/chart" uri="{C3380CC4-5D6E-409C-BE32-E72D297353CC}">
              <c16:uniqueId val="{00000000-AF20-4B80-819B-D87E37188343}"/>
            </c:ext>
          </c:extLst>
        </c:ser>
        <c:ser>
          <c:idx val="1"/>
          <c:order val="1"/>
          <c:tx>
            <c:strRef>
              <c:f>Sheet2!$C$3</c:f>
              <c:strCache>
                <c:ptCount val="1"/>
                <c:pt idx="0">
                  <c:v>Sum of eBike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Clear</c:v>
                </c:pt>
                <c:pt idx="1">
                  <c:v>Cloudy</c:v>
                </c:pt>
                <c:pt idx="2">
                  <c:v>Rain</c:v>
                </c:pt>
              </c:strCache>
            </c:strRef>
          </c:cat>
          <c:val>
            <c:numRef>
              <c:f>Sheet2!$C$4:$C$7</c:f>
              <c:numCache>
                <c:formatCode>General</c:formatCode>
                <c:ptCount val="3"/>
                <c:pt idx="0">
                  <c:v>2991</c:v>
                </c:pt>
                <c:pt idx="1">
                  <c:v>1748</c:v>
                </c:pt>
                <c:pt idx="2">
                  <c:v>208</c:v>
                </c:pt>
              </c:numCache>
            </c:numRef>
          </c:val>
          <c:extLst>
            <c:ext xmlns:c16="http://schemas.microsoft.com/office/drawing/2014/chart" uri="{C3380CC4-5D6E-409C-BE32-E72D297353CC}">
              <c16:uniqueId val="{00000001-AF20-4B80-819B-D87E37188343}"/>
            </c:ext>
          </c:extLst>
        </c:ser>
        <c:dLbls>
          <c:dLblPos val="outEnd"/>
          <c:showLegendKey val="0"/>
          <c:showVal val="1"/>
          <c:showCatName val="0"/>
          <c:showSerName val="0"/>
          <c:showPercent val="0"/>
          <c:showBubbleSize val="0"/>
        </c:dLbls>
        <c:gapWidth val="100"/>
        <c:overlap val="-24"/>
        <c:axId val="1566297391"/>
        <c:axId val="1566275311"/>
      </c:barChart>
      <c:catAx>
        <c:axId val="15662973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WEATHER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275311"/>
        <c:crosses val="autoZero"/>
        <c:auto val="1"/>
        <c:lblAlgn val="ctr"/>
        <c:lblOffset val="100"/>
        <c:noMultiLvlLbl val="0"/>
      </c:catAx>
      <c:valAx>
        <c:axId val="15662753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AU"/>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297391"/>
        <c:crosses val="autoZero"/>
        <c:crossBetween val="between"/>
      </c:valAx>
      <c:spPr>
        <a:noFill/>
        <a:ln>
          <a:noFill/>
        </a:ln>
        <a:effectLst/>
      </c:spPr>
    </c:plotArea>
    <c:legend>
      <c:legendPos val="r"/>
      <c:layout>
        <c:manualLayout>
          <c:xMode val="edge"/>
          <c:yMode val="edge"/>
          <c:x val="0.83103799978347703"/>
          <c:y val="2.4374529604430276E-2"/>
          <c:w val="0.15163870494077983"/>
          <c:h val="0.253235771384297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_2_MIS171_s224741522.xlsx]Sheet2!PivotTable7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t>BIKE</a:t>
            </a:r>
            <a:r>
              <a:rPr lang="en-AU" b="1" baseline="0"/>
              <a:t> RENTAL ON </a:t>
            </a:r>
          </a:p>
          <a:p>
            <a:pPr>
              <a:defRPr/>
            </a:pPr>
            <a:r>
              <a:rPr lang="en-AU" b="1" baseline="0"/>
              <a:t>HOLIDAYS V/S NON-HOLIDAYS</a:t>
            </a:r>
            <a:endParaRPr lang="en-AU" b="1"/>
          </a:p>
        </c:rich>
      </c:tx>
      <c:layout>
        <c:manualLayout>
          <c:xMode val="edge"/>
          <c:yMode val="edge"/>
          <c:x val="0.2714247057691328"/>
          <c:y val="8.0571531024590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60519567272583"/>
          <c:y val="0.16361958781168459"/>
          <c:w val="0.77357668117771605"/>
          <c:h val="0.7668605799688013"/>
        </c:manualLayout>
      </c:layout>
      <c:bar3DChart>
        <c:barDir val="bar"/>
        <c:grouping val="percentStacked"/>
        <c:varyColors val="0"/>
        <c:ser>
          <c:idx val="0"/>
          <c:order val="0"/>
          <c:tx>
            <c:strRef>
              <c:f>Sheet2!$I$22</c:f>
              <c:strCache>
                <c:ptCount val="1"/>
                <c:pt idx="0">
                  <c:v>Sum of eBike</c:v>
                </c:pt>
              </c:strCache>
            </c:strRef>
          </c:tx>
          <c:spPr>
            <a:solidFill>
              <a:schemeClr val="accent1"/>
            </a:solidFill>
            <a:ln>
              <a:noFill/>
            </a:ln>
            <a:effectLst/>
            <a:sp3d/>
          </c:spPr>
          <c:invertIfNegative val="0"/>
          <c:cat>
            <c:strRef>
              <c:f>Sheet2!$H$23:$H$25</c:f>
              <c:strCache>
                <c:ptCount val="2"/>
                <c:pt idx="0">
                  <c:v>Holiday</c:v>
                </c:pt>
                <c:pt idx="1">
                  <c:v>Not Holiday</c:v>
                </c:pt>
              </c:strCache>
            </c:strRef>
          </c:cat>
          <c:val>
            <c:numRef>
              <c:f>Sheet2!$I$23:$I$25</c:f>
              <c:numCache>
                <c:formatCode>General</c:formatCode>
                <c:ptCount val="2"/>
                <c:pt idx="0">
                  <c:v>151</c:v>
                </c:pt>
                <c:pt idx="1">
                  <c:v>4796</c:v>
                </c:pt>
              </c:numCache>
            </c:numRef>
          </c:val>
          <c:extLst>
            <c:ext xmlns:c16="http://schemas.microsoft.com/office/drawing/2014/chart" uri="{C3380CC4-5D6E-409C-BE32-E72D297353CC}">
              <c16:uniqueId val="{00000000-CCB5-4B67-AA10-E9BAC258EC51}"/>
            </c:ext>
          </c:extLst>
        </c:ser>
        <c:ser>
          <c:idx val="1"/>
          <c:order val="1"/>
          <c:tx>
            <c:strRef>
              <c:f>Sheet2!$J$22</c:f>
              <c:strCache>
                <c:ptCount val="1"/>
                <c:pt idx="0">
                  <c:v>Sum of pBike</c:v>
                </c:pt>
              </c:strCache>
            </c:strRef>
          </c:tx>
          <c:spPr>
            <a:solidFill>
              <a:schemeClr val="accent2"/>
            </a:solidFill>
            <a:ln>
              <a:noFill/>
            </a:ln>
            <a:effectLst/>
            <a:sp3d/>
          </c:spPr>
          <c:invertIfNegative val="0"/>
          <c:cat>
            <c:strRef>
              <c:f>Sheet2!$H$23:$H$25</c:f>
              <c:strCache>
                <c:ptCount val="2"/>
                <c:pt idx="0">
                  <c:v>Holiday</c:v>
                </c:pt>
                <c:pt idx="1">
                  <c:v>Not Holiday</c:v>
                </c:pt>
              </c:strCache>
            </c:strRef>
          </c:cat>
          <c:val>
            <c:numRef>
              <c:f>Sheet2!$J$23:$J$25</c:f>
              <c:numCache>
                <c:formatCode>General</c:formatCode>
                <c:ptCount val="2"/>
                <c:pt idx="0">
                  <c:v>621</c:v>
                </c:pt>
                <c:pt idx="1">
                  <c:v>19290</c:v>
                </c:pt>
              </c:numCache>
            </c:numRef>
          </c:val>
          <c:extLst>
            <c:ext xmlns:c16="http://schemas.microsoft.com/office/drawing/2014/chart" uri="{C3380CC4-5D6E-409C-BE32-E72D297353CC}">
              <c16:uniqueId val="{00000001-CCB5-4B67-AA10-E9BAC258EC51}"/>
            </c:ext>
          </c:extLst>
        </c:ser>
        <c:dLbls>
          <c:showLegendKey val="0"/>
          <c:showVal val="0"/>
          <c:showCatName val="0"/>
          <c:showSerName val="0"/>
          <c:showPercent val="0"/>
          <c:showBubbleSize val="0"/>
        </c:dLbls>
        <c:gapWidth val="150"/>
        <c:shape val="box"/>
        <c:axId val="1413652336"/>
        <c:axId val="1413660496"/>
        <c:axId val="0"/>
      </c:bar3DChart>
      <c:catAx>
        <c:axId val="141365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60496"/>
        <c:crosses val="autoZero"/>
        <c:auto val="1"/>
        <c:lblAlgn val="ctr"/>
        <c:lblOffset val="100"/>
        <c:noMultiLvlLbl val="0"/>
      </c:catAx>
      <c:valAx>
        <c:axId val="14136604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52336"/>
        <c:crosses val="autoZero"/>
        <c:crossBetween val="between"/>
      </c:valAx>
      <c:spPr>
        <a:noFill/>
        <a:ln>
          <a:noFill/>
        </a:ln>
        <a:effectLst/>
      </c:spPr>
    </c:plotArea>
    <c:legend>
      <c:legendPos val="r"/>
      <c:layout>
        <c:manualLayout>
          <c:xMode val="edge"/>
          <c:yMode val="edge"/>
          <c:x val="0.79828675267624127"/>
          <c:y val="1.9197594714993077E-2"/>
          <c:w val="0.1844584963231756"/>
          <c:h val="0.169129325444439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_2_MIS171_s224741522.xlsx]Sheet2!PivotTable2</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c:f>
              <c:strCache>
                <c:ptCount val="1"/>
                <c:pt idx="0">
                  <c:v>sum of ebike</c:v>
                </c:pt>
              </c:strCache>
            </c:strRef>
          </c:tx>
          <c:spPr>
            <a:solidFill>
              <a:schemeClr val="accent1"/>
            </a:solidFill>
            <a:ln>
              <a:noFill/>
            </a:ln>
            <a:effectLst/>
          </c:spPr>
          <c:invertIfNegative val="0"/>
          <c:cat>
            <c:strRef>
              <c:f>Sheet2!$E$4:$E$8</c:f>
              <c:strCache>
                <c:ptCount val="4"/>
                <c:pt idx="0">
                  <c:v>Autumn</c:v>
                </c:pt>
                <c:pt idx="1">
                  <c:v>Spring</c:v>
                </c:pt>
                <c:pt idx="2">
                  <c:v>Summer</c:v>
                </c:pt>
                <c:pt idx="3">
                  <c:v>Winter</c:v>
                </c:pt>
              </c:strCache>
            </c:strRef>
          </c:cat>
          <c:val>
            <c:numRef>
              <c:f>Sheet2!$F$4:$F$8</c:f>
              <c:numCache>
                <c:formatCode>General</c:formatCode>
                <c:ptCount val="4"/>
                <c:pt idx="0">
                  <c:v>1365</c:v>
                </c:pt>
                <c:pt idx="1">
                  <c:v>1322</c:v>
                </c:pt>
                <c:pt idx="2">
                  <c:v>1893</c:v>
                </c:pt>
                <c:pt idx="3">
                  <c:v>367</c:v>
                </c:pt>
              </c:numCache>
            </c:numRef>
          </c:val>
          <c:extLst>
            <c:ext xmlns:c16="http://schemas.microsoft.com/office/drawing/2014/chart" uri="{C3380CC4-5D6E-409C-BE32-E72D297353CC}">
              <c16:uniqueId val="{00000000-4929-49E2-AEBB-6B13643A0598}"/>
            </c:ext>
          </c:extLst>
        </c:ser>
        <c:ser>
          <c:idx val="1"/>
          <c:order val="1"/>
          <c:tx>
            <c:strRef>
              <c:f>Sheet2!$G$3</c:f>
              <c:strCache>
                <c:ptCount val="1"/>
                <c:pt idx="0">
                  <c:v>Sum of pBike</c:v>
                </c:pt>
              </c:strCache>
            </c:strRef>
          </c:tx>
          <c:spPr>
            <a:solidFill>
              <a:schemeClr val="accent2"/>
            </a:solidFill>
            <a:ln>
              <a:noFill/>
            </a:ln>
            <a:effectLst/>
          </c:spPr>
          <c:invertIfNegative val="0"/>
          <c:cat>
            <c:strRef>
              <c:f>Sheet2!$E$4:$E$8</c:f>
              <c:strCache>
                <c:ptCount val="4"/>
                <c:pt idx="0">
                  <c:v>Autumn</c:v>
                </c:pt>
                <c:pt idx="1">
                  <c:v>Spring</c:v>
                </c:pt>
                <c:pt idx="2">
                  <c:v>Summer</c:v>
                </c:pt>
                <c:pt idx="3">
                  <c:v>Winter</c:v>
                </c:pt>
              </c:strCache>
            </c:strRef>
          </c:cat>
          <c:val>
            <c:numRef>
              <c:f>Sheet2!$G$4:$G$8</c:f>
              <c:numCache>
                <c:formatCode>General</c:formatCode>
                <c:ptCount val="4"/>
                <c:pt idx="0">
                  <c:v>5799</c:v>
                </c:pt>
                <c:pt idx="1">
                  <c:v>4567</c:v>
                </c:pt>
                <c:pt idx="2">
                  <c:v>6358</c:v>
                </c:pt>
                <c:pt idx="3">
                  <c:v>3187</c:v>
                </c:pt>
              </c:numCache>
            </c:numRef>
          </c:val>
          <c:extLst>
            <c:ext xmlns:c16="http://schemas.microsoft.com/office/drawing/2014/chart" uri="{C3380CC4-5D6E-409C-BE32-E72D297353CC}">
              <c16:uniqueId val="{00000001-4929-49E2-AEBB-6B13643A0598}"/>
            </c:ext>
          </c:extLst>
        </c:ser>
        <c:dLbls>
          <c:showLegendKey val="0"/>
          <c:showVal val="0"/>
          <c:showCatName val="0"/>
          <c:showSerName val="0"/>
          <c:showPercent val="0"/>
          <c:showBubbleSize val="0"/>
        </c:dLbls>
        <c:gapWidth val="269"/>
        <c:axId val="1413656176"/>
        <c:axId val="1413652336"/>
      </c:barChart>
      <c:lineChart>
        <c:grouping val="standard"/>
        <c:varyColors val="0"/>
        <c:ser>
          <c:idx val="2"/>
          <c:order val="2"/>
          <c:tx>
            <c:strRef>
              <c:f>Sheet2!$H$3</c:f>
              <c:strCache>
                <c:ptCount val="1"/>
                <c:pt idx="0">
                  <c:v>Sum of Count</c:v>
                </c:pt>
              </c:strCache>
            </c:strRef>
          </c:tx>
          <c:spPr>
            <a:ln w="38100" cap="rnd">
              <a:solidFill>
                <a:schemeClr val="accent3"/>
              </a:solidFill>
              <a:round/>
            </a:ln>
            <a:effectLst/>
          </c:spPr>
          <c:marker>
            <c:symbol val="circle"/>
            <c:size val="8"/>
            <c:spPr>
              <a:solidFill>
                <a:schemeClr val="accent3"/>
              </a:solidFill>
              <a:ln>
                <a:noFill/>
              </a:ln>
              <a:effectLst/>
            </c:spPr>
          </c:marker>
          <c:cat>
            <c:strRef>
              <c:f>Sheet2!$E$4:$E$8</c:f>
              <c:strCache>
                <c:ptCount val="4"/>
                <c:pt idx="0">
                  <c:v>Autumn</c:v>
                </c:pt>
                <c:pt idx="1">
                  <c:v>Spring</c:v>
                </c:pt>
                <c:pt idx="2">
                  <c:v>Summer</c:v>
                </c:pt>
                <c:pt idx="3">
                  <c:v>Winter</c:v>
                </c:pt>
              </c:strCache>
            </c:strRef>
          </c:cat>
          <c:val>
            <c:numRef>
              <c:f>Sheet2!$H$4:$H$8</c:f>
              <c:numCache>
                <c:formatCode>General</c:formatCode>
                <c:ptCount val="4"/>
                <c:pt idx="0">
                  <c:v>7164</c:v>
                </c:pt>
                <c:pt idx="1">
                  <c:v>5889</c:v>
                </c:pt>
                <c:pt idx="2">
                  <c:v>8251</c:v>
                </c:pt>
                <c:pt idx="3">
                  <c:v>3554</c:v>
                </c:pt>
              </c:numCache>
            </c:numRef>
          </c:val>
          <c:smooth val="0"/>
          <c:extLst>
            <c:ext xmlns:c16="http://schemas.microsoft.com/office/drawing/2014/chart" uri="{C3380CC4-5D6E-409C-BE32-E72D297353CC}">
              <c16:uniqueId val="{00000002-4929-49E2-AEBB-6B13643A0598}"/>
            </c:ext>
          </c:extLst>
        </c:ser>
        <c:dLbls>
          <c:showLegendKey val="0"/>
          <c:showVal val="0"/>
          <c:showCatName val="0"/>
          <c:showSerName val="0"/>
          <c:showPercent val="0"/>
          <c:showBubbleSize val="0"/>
        </c:dLbls>
        <c:marker val="1"/>
        <c:smooth val="0"/>
        <c:axId val="1413656176"/>
        <c:axId val="1413652336"/>
      </c:lineChart>
      <c:catAx>
        <c:axId val="141365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13652336"/>
        <c:crosses val="autoZero"/>
        <c:auto val="1"/>
        <c:lblAlgn val="ctr"/>
        <c:lblOffset val="100"/>
        <c:noMultiLvlLbl val="0"/>
      </c:catAx>
      <c:valAx>
        <c:axId val="14136523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_2_MIS171_s224741522.xlsx]Dashboard!PivotTable9</c:name>
    <c:fmtId val="11"/>
  </c:pivotSource>
  <c:chart>
    <c:title>
      <c:layout>
        <c:manualLayout>
          <c:xMode val="edge"/>
          <c:yMode val="edge"/>
          <c:x val="7.3503074598415107E-3"/>
          <c:y val="0.83795978742229749"/>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9.1955542109202079E-2"/>
          <c:w val="0.97294019196483494"/>
          <c:h val="0.90804445789079791"/>
        </c:manualLayout>
      </c:layout>
      <c:pie3DChart>
        <c:varyColors val="1"/>
        <c:ser>
          <c:idx val="0"/>
          <c:order val="0"/>
          <c:tx>
            <c:strRef>
              <c:f>Dashboard!$S$28</c:f>
              <c:strCache>
                <c:ptCount val="1"/>
                <c:pt idx="0">
                  <c:v>Sum of pBike</c:v>
                </c:pt>
              </c:strCache>
            </c:strRef>
          </c:tx>
          <c:explosion val="3"/>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FA7-4F76-A489-B447197C2298}"/>
              </c:ext>
            </c:extLst>
          </c:dPt>
          <c:dPt>
            <c:idx val="1"/>
            <c:bubble3D val="0"/>
            <c:extLst>
              <c:ext xmlns:c16="http://schemas.microsoft.com/office/drawing/2014/chart" uri="{C3380CC4-5D6E-409C-BE32-E72D297353CC}">
                <c16:uniqueId val="{00000003-6FA7-4F76-A489-B447197C2298}"/>
              </c:ext>
            </c:extLst>
          </c:dPt>
          <c:dPt>
            <c:idx val="2"/>
            <c:bubble3D val="0"/>
            <c:extLst>
              <c:ext xmlns:c16="http://schemas.microsoft.com/office/drawing/2014/chart" uri="{C3380CC4-5D6E-409C-BE32-E72D297353CC}">
                <c16:uniqueId val="{00000005-6FA7-4F76-A489-B447197C229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6FA7-4F76-A489-B447197C229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FA7-4F76-A489-B447197C2298}"/>
              </c:ext>
            </c:extLst>
          </c:dPt>
          <c:dPt>
            <c:idx val="5"/>
            <c:bubble3D val="0"/>
            <c:extLst>
              <c:ext xmlns:c16="http://schemas.microsoft.com/office/drawing/2014/chart" uri="{C3380CC4-5D6E-409C-BE32-E72D297353CC}">
                <c16:uniqueId val="{00000008-6FA7-4F76-A489-B447197C2298}"/>
              </c:ext>
            </c:extLst>
          </c:dPt>
          <c:dPt>
            <c:idx val="6"/>
            <c:bubble3D val="0"/>
            <c:extLst>
              <c:ext xmlns:c16="http://schemas.microsoft.com/office/drawing/2014/chart" uri="{C3380CC4-5D6E-409C-BE32-E72D297353CC}">
                <c16:uniqueId val="{00000009-6FA7-4F76-A489-B447197C229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Dashboard!$R$29:$R$36</c:f>
              <c:strCache>
                <c:ptCount val="7"/>
                <c:pt idx="0">
                  <c:v>Monday</c:v>
                </c:pt>
                <c:pt idx="1">
                  <c:v>Tuesday</c:v>
                </c:pt>
                <c:pt idx="2">
                  <c:v>Wednesday</c:v>
                </c:pt>
                <c:pt idx="3">
                  <c:v>Thursday</c:v>
                </c:pt>
                <c:pt idx="4">
                  <c:v>Friday</c:v>
                </c:pt>
                <c:pt idx="5">
                  <c:v>Saturday</c:v>
                </c:pt>
                <c:pt idx="6">
                  <c:v>Sunday</c:v>
                </c:pt>
              </c:strCache>
            </c:strRef>
          </c:cat>
          <c:val>
            <c:numRef>
              <c:f>Dashboard!$S$29:$S$36</c:f>
              <c:numCache>
                <c:formatCode>General</c:formatCode>
                <c:ptCount val="7"/>
                <c:pt idx="0">
                  <c:v>3046</c:v>
                </c:pt>
                <c:pt idx="1">
                  <c:v>2984</c:v>
                </c:pt>
                <c:pt idx="2">
                  <c:v>2994</c:v>
                </c:pt>
                <c:pt idx="3">
                  <c:v>3069</c:v>
                </c:pt>
                <c:pt idx="4">
                  <c:v>2661</c:v>
                </c:pt>
                <c:pt idx="5">
                  <c:v>2439</c:v>
                </c:pt>
                <c:pt idx="6">
                  <c:v>2718</c:v>
                </c:pt>
              </c:numCache>
            </c:numRef>
          </c:val>
          <c:extLst>
            <c:ext xmlns:c16="http://schemas.microsoft.com/office/drawing/2014/chart" uri="{C3380CC4-5D6E-409C-BE32-E72D297353CC}">
              <c16:uniqueId val="{0000000A-6FA7-4F76-A489-B447197C2298}"/>
            </c:ext>
          </c:extLst>
        </c:ser>
        <c:ser>
          <c:idx val="1"/>
          <c:order val="1"/>
          <c:tx>
            <c:strRef>
              <c:f>Dashboard!$T$28</c:f>
              <c:strCache>
                <c:ptCount val="1"/>
                <c:pt idx="0">
                  <c:v>Sum of eBike</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Ref>
              <c:f>Dashboard!$R$29:$R$36</c:f>
              <c:strCache>
                <c:ptCount val="7"/>
                <c:pt idx="0">
                  <c:v>Monday</c:v>
                </c:pt>
                <c:pt idx="1">
                  <c:v>Tuesday</c:v>
                </c:pt>
                <c:pt idx="2">
                  <c:v>Wednesday</c:v>
                </c:pt>
                <c:pt idx="3">
                  <c:v>Thursday</c:v>
                </c:pt>
                <c:pt idx="4">
                  <c:v>Friday</c:v>
                </c:pt>
                <c:pt idx="5">
                  <c:v>Saturday</c:v>
                </c:pt>
                <c:pt idx="6">
                  <c:v>Sunday</c:v>
                </c:pt>
              </c:strCache>
            </c:strRef>
          </c:cat>
          <c:val>
            <c:numRef>
              <c:f>Dashboard!$T$29:$T$36</c:f>
              <c:numCache>
                <c:formatCode>General</c:formatCode>
                <c:ptCount val="7"/>
                <c:pt idx="0">
                  <c:v>539</c:v>
                </c:pt>
                <c:pt idx="1">
                  <c:v>429</c:v>
                </c:pt>
                <c:pt idx="2">
                  <c:v>425</c:v>
                </c:pt>
                <c:pt idx="3">
                  <c:v>533</c:v>
                </c:pt>
                <c:pt idx="4">
                  <c:v>909</c:v>
                </c:pt>
                <c:pt idx="5">
                  <c:v>1213</c:v>
                </c:pt>
                <c:pt idx="6">
                  <c:v>899</c:v>
                </c:pt>
              </c:numCache>
            </c:numRef>
          </c:val>
          <c:extLst>
            <c:ext xmlns:c16="http://schemas.microsoft.com/office/drawing/2014/chart" uri="{C3380CC4-5D6E-409C-BE32-E72D297353CC}">
              <c16:uniqueId val="{0000000B-6FA7-4F76-A489-B447197C2298}"/>
            </c:ext>
          </c:extLst>
        </c:ser>
        <c:ser>
          <c:idx val="2"/>
          <c:order val="2"/>
          <c:tx>
            <c:strRef>
              <c:f>Dashboard!$U$28</c:f>
              <c:strCache>
                <c:ptCount val="1"/>
                <c:pt idx="0">
                  <c:v>Sum of Count</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Ref>
              <c:f>Dashboard!$R$29:$R$36</c:f>
              <c:strCache>
                <c:ptCount val="7"/>
                <c:pt idx="0">
                  <c:v>Monday</c:v>
                </c:pt>
                <c:pt idx="1">
                  <c:v>Tuesday</c:v>
                </c:pt>
                <c:pt idx="2">
                  <c:v>Wednesday</c:v>
                </c:pt>
                <c:pt idx="3">
                  <c:v>Thursday</c:v>
                </c:pt>
                <c:pt idx="4">
                  <c:v>Friday</c:v>
                </c:pt>
                <c:pt idx="5">
                  <c:v>Saturday</c:v>
                </c:pt>
                <c:pt idx="6">
                  <c:v>Sunday</c:v>
                </c:pt>
              </c:strCache>
            </c:strRef>
          </c:cat>
          <c:val>
            <c:numRef>
              <c:f>Dashboard!$U$29:$U$36</c:f>
              <c:numCache>
                <c:formatCode>General</c:formatCode>
                <c:ptCount val="7"/>
                <c:pt idx="0">
                  <c:v>3585</c:v>
                </c:pt>
                <c:pt idx="1">
                  <c:v>3413</c:v>
                </c:pt>
                <c:pt idx="2">
                  <c:v>3419</c:v>
                </c:pt>
                <c:pt idx="3">
                  <c:v>3602</c:v>
                </c:pt>
                <c:pt idx="4">
                  <c:v>3570</c:v>
                </c:pt>
                <c:pt idx="5">
                  <c:v>3652</c:v>
                </c:pt>
                <c:pt idx="6">
                  <c:v>3617</c:v>
                </c:pt>
              </c:numCache>
            </c:numRef>
          </c:val>
          <c:extLst>
            <c:ext xmlns:c16="http://schemas.microsoft.com/office/drawing/2014/chart" uri="{C3380CC4-5D6E-409C-BE32-E72D297353CC}">
              <c16:uniqueId val="{0000000D-6FA7-4F76-A489-B447197C2298}"/>
            </c:ext>
          </c:extLst>
        </c:ser>
        <c:dLbls>
          <c:dLblPos val="outEnd"/>
          <c:showLegendKey val="0"/>
          <c:showVal val="0"/>
          <c:showCatName val="1"/>
          <c:showSerName val="0"/>
          <c:showPercent val="0"/>
          <c:showBubbleSize val="0"/>
          <c:showLeaderLines val="1"/>
        </c:dLbls>
      </c:pie3D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boxWhisker" uniqueId="{E48257F5-714A-4E3E-97FA-A047A7064152}">
          <cx:tx>
            <cx:txData>
              <cx:f>_xlchart.v1.0</cx:f>
              <cx:v>eBike</cx:v>
            </cx:txData>
          </cx:tx>
          <cx:dataId val="0"/>
          <cx:layoutPr>
            <cx:visibility meanLine="0" meanMarker="1" nonoutliers="0" outliers="1"/>
            <cx:statistics quartileMethod="exclusive"/>
          </cx:layoutPr>
        </cx:series>
        <cx:series layoutId="boxWhisker" uniqueId="{2B3BAB78-12E7-4423-B36D-C5AD80038DD3}">
          <cx:tx>
            <cx:txData>
              <cx:f>_xlchart.v1.2</cx:f>
              <cx:v>pBike</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531812</xdr:colOff>
      <xdr:row>4</xdr:row>
      <xdr:rowOff>86911</xdr:rowOff>
    </xdr:from>
    <xdr:to>
      <xdr:col>10</xdr:col>
      <xdr:colOff>115302</xdr:colOff>
      <xdr:row>23</xdr:row>
      <xdr:rowOff>33004</xdr:rowOff>
    </xdr:to>
    <xdr:graphicFrame macro="">
      <xdr:nvGraphicFramePr>
        <xdr:cNvPr id="2" name="Chart 1">
          <a:extLst>
            <a:ext uri="{FF2B5EF4-FFF2-40B4-BE49-F238E27FC236}">
              <a16:creationId xmlns:a16="http://schemas.microsoft.com/office/drawing/2014/main" id="{CF9E0D45-B57F-4AE6-A771-51D8BB7FE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597932</xdr:colOff>
      <xdr:row>32</xdr:row>
      <xdr:rowOff>142039</xdr:rowOff>
    </xdr:from>
    <xdr:to>
      <xdr:col>4</xdr:col>
      <xdr:colOff>0</xdr:colOff>
      <xdr:row>36</xdr:row>
      <xdr:rowOff>8355</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0605348A-786B-F9C2-A076-65CC88B11B7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97932" y="6865102"/>
              <a:ext cx="1846818" cy="94581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587206</xdr:colOff>
      <xdr:row>23</xdr:row>
      <xdr:rowOff>1</xdr:rowOff>
    </xdr:from>
    <xdr:to>
      <xdr:col>11</xdr:col>
      <xdr:colOff>543092</xdr:colOff>
      <xdr:row>35</xdr:row>
      <xdr:rowOff>267370</xdr:rowOff>
    </xdr:to>
    <xdr:graphicFrame macro="">
      <xdr:nvGraphicFramePr>
        <xdr:cNvPr id="6" name="Chart 5">
          <a:extLst>
            <a:ext uri="{FF2B5EF4-FFF2-40B4-BE49-F238E27FC236}">
              <a16:creationId xmlns:a16="http://schemas.microsoft.com/office/drawing/2014/main" id="{131D27E6-0E4B-4919-97D5-1E2BEE7D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4227</xdr:colOff>
      <xdr:row>4</xdr:row>
      <xdr:rowOff>164890</xdr:rowOff>
    </xdr:from>
    <xdr:to>
      <xdr:col>3</xdr:col>
      <xdr:colOff>587375</xdr:colOff>
      <xdr:row>13</xdr:row>
      <xdr:rowOff>130539</xdr:rowOff>
    </xdr:to>
    <mc:AlternateContent xmlns:mc="http://schemas.openxmlformats.org/markup-compatibility/2006">
      <mc:Choice xmlns:a14="http://schemas.microsoft.com/office/drawing/2010/main" Requires="a14">
        <xdr:graphicFrame macro="">
          <xdr:nvGraphicFramePr>
            <xdr:cNvPr id="7" name=" Month">
              <a:extLst>
                <a:ext uri="{FF2B5EF4-FFF2-40B4-BE49-F238E27FC236}">
                  <a16:creationId xmlns:a16="http://schemas.microsoft.com/office/drawing/2014/main" id="{66F53BD6-FDEB-01A0-5BA7-7BB4E9076C2C}"/>
                </a:ext>
              </a:extLst>
            </xdr:cNvPr>
            <xdr:cNvGraphicFramePr/>
          </xdr:nvGraphicFramePr>
          <xdr:xfrm>
            <a:off x="0" y="0"/>
            <a:ext cx="0" cy="0"/>
          </xdr:xfrm>
          <a:graphic>
            <a:graphicData uri="http://schemas.microsoft.com/office/drawing/2010/slicer">
              <sle:slicer xmlns:sle="http://schemas.microsoft.com/office/drawing/2010/slicer" name=" Month"/>
            </a:graphicData>
          </a:graphic>
        </xdr:graphicFrame>
      </mc:Choice>
      <mc:Fallback>
        <xdr:sp macro="" textlink="">
          <xdr:nvSpPr>
            <xdr:cNvPr id="0" name=""/>
            <xdr:cNvSpPr>
              <a:spLocks noTextEdit="1"/>
            </xdr:cNvSpPr>
          </xdr:nvSpPr>
          <xdr:spPr>
            <a:xfrm>
              <a:off x="615415" y="903078"/>
              <a:ext cx="1805523" cy="160871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1144254</xdr:colOff>
      <xdr:row>4</xdr:row>
      <xdr:rowOff>55371</xdr:rowOff>
    </xdr:from>
    <xdr:to>
      <xdr:col>21</xdr:col>
      <xdr:colOff>16294</xdr:colOff>
      <xdr:row>26</xdr:row>
      <xdr:rowOff>234783</xdr:rowOff>
    </xdr:to>
    <xdr:graphicFrame macro="">
      <xdr:nvGraphicFramePr>
        <xdr:cNvPr id="8" name="Chart 7">
          <a:extLst>
            <a:ext uri="{FF2B5EF4-FFF2-40B4-BE49-F238E27FC236}">
              <a16:creationId xmlns:a16="http://schemas.microsoft.com/office/drawing/2014/main" id="{959C7C89-685F-4E18-A1DB-FF1E9C82D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91907</xdr:colOff>
      <xdr:row>4</xdr:row>
      <xdr:rowOff>84901</xdr:rowOff>
    </xdr:from>
    <xdr:to>
      <xdr:col>16</xdr:col>
      <xdr:colOff>1198563</xdr:colOff>
      <xdr:row>22</xdr:row>
      <xdr:rowOff>250658</xdr:rowOff>
    </xdr:to>
    <xdr:graphicFrame macro="">
      <xdr:nvGraphicFramePr>
        <xdr:cNvPr id="10" name="Chart 9">
          <a:extLst>
            <a:ext uri="{FF2B5EF4-FFF2-40B4-BE49-F238E27FC236}">
              <a16:creationId xmlns:a16="http://schemas.microsoft.com/office/drawing/2014/main" id="{D71FE253-5122-479E-A7A9-D0FF8ACFE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602478</xdr:colOff>
      <xdr:row>19</xdr:row>
      <xdr:rowOff>116284</xdr:rowOff>
    </xdr:from>
    <xdr:to>
      <xdr:col>3</xdr:col>
      <xdr:colOff>591967</xdr:colOff>
      <xdr:row>24</xdr:row>
      <xdr:rowOff>221011</xdr:rowOff>
    </xdr:to>
    <mc:AlternateContent xmlns:mc="http://schemas.openxmlformats.org/markup-compatibility/2006" xmlns:a14="http://schemas.microsoft.com/office/drawing/2010/main">
      <mc:Choice Requires="a14">
        <xdr:graphicFrame macro="">
          <xdr:nvGraphicFramePr>
            <xdr:cNvPr id="11" name="Weather">
              <a:extLst>
                <a:ext uri="{FF2B5EF4-FFF2-40B4-BE49-F238E27FC236}">
                  <a16:creationId xmlns:a16="http://schemas.microsoft.com/office/drawing/2014/main" id="{B4FAAF6F-B8C2-39C4-DC19-54ECBC7E8414}"/>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602478" y="3625854"/>
              <a:ext cx="1812554" cy="119468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494213</xdr:colOff>
      <xdr:row>22</xdr:row>
      <xdr:rowOff>158331</xdr:rowOff>
    </xdr:from>
    <xdr:to>
      <xdr:col>16</xdr:col>
      <xdr:colOff>1187701</xdr:colOff>
      <xdr:row>36</xdr:row>
      <xdr:rowOff>5431</xdr:rowOff>
    </xdr:to>
    <xdr:graphicFrame macro="">
      <xdr:nvGraphicFramePr>
        <xdr:cNvPr id="14" name="Chart 13">
          <a:extLst>
            <a:ext uri="{FF2B5EF4-FFF2-40B4-BE49-F238E27FC236}">
              <a16:creationId xmlns:a16="http://schemas.microsoft.com/office/drawing/2014/main" id="{FCDCD619-8D3E-4F4A-B9FB-93429947D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609705</xdr:colOff>
      <xdr:row>29</xdr:row>
      <xdr:rowOff>14284</xdr:rowOff>
    </xdr:from>
    <xdr:to>
      <xdr:col>3</xdr:col>
      <xdr:colOff>599194</xdr:colOff>
      <xdr:row>32</xdr:row>
      <xdr:rowOff>127000</xdr:rowOff>
    </xdr:to>
    <mc:AlternateContent xmlns:mc="http://schemas.openxmlformats.org/markup-compatibility/2006">
      <mc:Choice xmlns:a14="http://schemas.microsoft.com/office/drawing/2010/main" Requires="a14">
        <xdr:graphicFrame macro="">
          <xdr:nvGraphicFramePr>
            <xdr:cNvPr id="15" name="Holiday">
              <a:extLst>
                <a:ext uri="{FF2B5EF4-FFF2-40B4-BE49-F238E27FC236}">
                  <a16:creationId xmlns:a16="http://schemas.microsoft.com/office/drawing/2014/main" id="{F78C7987-79D6-4E69-B104-37F1FF305D74}"/>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609705" y="5927722"/>
              <a:ext cx="1823052" cy="92234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606854</xdr:colOff>
      <xdr:row>12</xdr:row>
      <xdr:rowOff>100191</xdr:rowOff>
    </xdr:from>
    <xdr:to>
      <xdr:col>3</xdr:col>
      <xdr:colOff>601579</xdr:colOff>
      <xdr:row>19</xdr:row>
      <xdr:rowOff>131168</xdr:rowOff>
    </xdr:to>
    <mc:AlternateContent xmlns:mc="http://schemas.openxmlformats.org/markup-compatibility/2006">
      <mc:Choice xmlns:a14="http://schemas.microsoft.com/office/drawing/2010/main" Requires="a14">
        <xdr:graphicFrame macro="">
          <xdr:nvGraphicFramePr>
            <xdr:cNvPr id="9" name="Weekday">
              <a:extLst>
                <a:ext uri="{FF2B5EF4-FFF2-40B4-BE49-F238E27FC236}">
                  <a16:creationId xmlns:a16="http://schemas.microsoft.com/office/drawing/2014/main" id="{B0345AF5-A071-70DE-1802-244267D7A644}"/>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606854" y="2298879"/>
              <a:ext cx="1828288" cy="130891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583162</xdr:colOff>
      <xdr:row>0</xdr:row>
      <xdr:rowOff>174949</xdr:rowOff>
    </xdr:from>
    <xdr:to>
      <xdr:col>21</xdr:col>
      <xdr:colOff>16710</xdr:colOff>
      <xdr:row>4</xdr:row>
      <xdr:rowOff>133685</xdr:rowOff>
    </xdr:to>
    <xdr:sp macro="" textlink="">
      <xdr:nvSpPr>
        <xdr:cNvPr id="13" name="TextBox 12">
          <a:extLst>
            <a:ext uri="{FF2B5EF4-FFF2-40B4-BE49-F238E27FC236}">
              <a16:creationId xmlns:a16="http://schemas.microsoft.com/office/drawing/2014/main" id="{AA0AA89C-6D8A-182A-6A33-3E19AE568359}"/>
            </a:ext>
          </a:extLst>
        </xdr:cNvPr>
        <xdr:cNvSpPr txBox="1"/>
      </xdr:nvSpPr>
      <xdr:spPr>
        <a:xfrm>
          <a:off x="583162" y="174949"/>
          <a:ext cx="17698153" cy="70235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3600" b="1"/>
            <a:t>RENTAL</a:t>
          </a:r>
          <a:r>
            <a:rPr lang="en-AU" sz="3600" b="1" baseline="0"/>
            <a:t> BIKES DASHBOARD</a:t>
          </a:r>
          <a:endParaRPr lang="en-AU" sz="3600" b="1"/>
        </a:p>
      </xdr:txBody>
    </xdr:sp>
    <xdr:clientData/>
  </xdr:twoCellAnchor>
  <xdr:twoCellAnchor editAs="oneCell">
    <xdr:from>
      <xdr:col>0</xdr:col>
      <xdr:colOff>605924</xdr:colOff>
      <xdr:row>23</xdr:row>
      <xdr:rowOff>166771</xdr:rowOff>
    </xdr:from>
    <xdr:to>
      <xdr:col>3</xdr:col>
      <xdr:colOff>587375</xdr:colOff>
      <xdr:row>29</xdr:row>
      <xdr:rowOff>16710</xdr:rowOff>
    </xdr:to>
    <mc:AlternateContent xmlns:mc="http://schemas.openxmlformats.org/markup-compatibility/2006">
      <mc:Choice xmlns:a14="http://schemas.microsoft.com/office/drawing/2010/main" Requires="a14">
        <xdr:graphicFrame macro="">
          <xdr:nvGraphicFramePr>
            <xdr:cNvPr id="5" name="activity">
              <a:extLst>
                <a:ext uri="{FF2B5EF4-FFF2-40B4-BE49-F238E27FC236}">
                  <a16:creationId xmlns:a16="http://schemas.microsoft.com/office/drawing/2014/main" id="{26AC89C6-A6BE-93B5-08B0-0C457CD195BD}"/>
                </a:ext>
              </a:extLst>
            </xdr:cNvPr>
            <xdr:cNvGraphicFramePr/>
          </xdr:nvGraphicFramePr>
          <xdr:xfrm>
            <a:off x="0" y="0"/>
            <a:ext cx="0" cy="0"/>
          </xdr:xfrm>
          <a:graphic>
            <a:graphicData uri="http://schemas.microsoft.com/office/drawing/2010/slicer">
              <sle:slicer xmlns:sle="http://schemas.microsoft.com/office/drawing/2010/slicer" name="activity"/>
            </a:graphicData>
          </a:graphic>
        </xdr:graphicFrame>
      </mc:Choice>
      <mc:Fallback>
        <xdr:sp macro="" textlink="">
          <xdr:nvSpPr>
            <xdr:cNvPr id="0" name=""/>
            <xdr:cNvSpPr>
              <a:spLocks noTextEdit="1"/>
            </xdr:cNvSpPr>
          </xdr:nvSpPr>
          <xdr:spPr>
            <a:xfrm>
              <a:off x="605924" y="4460959"/>
              <a:ext cx="1815014" cy="146918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44</xdr:row>
      <xdr:rowOff>0</xdr:rowOff>
    </xdr:from>
    <xdr:to>
      <xdr:col>8</xdr:col>
      <xdr:colOff>365855</xdr:colOff>
      <xdr:row>60</xdr:row>
      <xdr:rowOff>117556</xdr:rowOff>
    </xdr:to>
    <xdr:graphicFrame macro="">
      <xdr:nvGraphicFramePr>
        <xdr:cNvPr id="2" name="Chart 1">
          <a:extLst>
            <a:ext uri="{FF2B5EF4-FFF2-40B4-BE49-F238E27FC236}">
              <a16:creationId xmlns:a16="http://schemas.microsoft.com/office/drawing/2014/main" id="{E18FB24A-95F6-4ADE-ACB1-0DEEEB152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39</xdr:row>
      <xdr:rowOff>0</xdr:rowOff>
    </xdr:from>
    <xdr:to>
      <xdr:col>8</xdr:col>
      <xdr:colOff>657986</xdr:colOff>
      <xdr:row>45</xdr:row>
      <xdr:rowOff>140034</xdr:rowOff>
    </xdr:to>
    <xdr:graphicFrame macro="">
      <xdr:nvGraphicFramePr>
        <xdr:cNvPr id="3" name="Chart 2">
          <a:extLst>
            <a:ext uri="{FF2B5EF4-FFF2-40B4-BE49-F238E27FC236}">
              <a16:creationId xmlns:a16="http://schemas.microsoft.com/office/drawing/2014/main" id="{453F8A30-24ED-422D-9B5A-DAE289A88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0</xdr:colOff>
      <xdr:row>6</xdr:row>
      <xdr:rowOff>0</xdr:rowOff>
    </xdr:from>
    <xdr:to>
      <xdr:col>29</xdr:col>
      <xdr:colOff>304800</xdr:colOff>
      <xdr:row>20</xdr:row>
      <xdr:rowOff>158750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B4476A4-F196-402E-8460-CF991520C4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665450" y="1111250"/>
              <a:ext cx="4572000" cy="27432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ASTRID DIAS" id="{82FD64D3-0942-4376-8D6E-06F5699C7556}" userId="S::s224741522@deakin.edu.au::b350ce94-cd6f-4f97-bd08-f9aced034fc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rid Dias" refreshedDate="45509.037720370368" createdVersion="8" refreshedVersion="8" minRefreshableVersion="3" recordCount="2" xr:uid="{FD3E6E14-38B5-49FC-86CC-279517B74D3E}">
  <cacheSource type="worksheet">
    <worksheetSource name="Table6[rental bikes]"/>
  </cacheSource>
  <cacheFields count="1">
    <cacheField name="rental bikes" numFmtId="0">
      <sharedItems count="2">
        <s v="ebikes"/>
        <s v="pbik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rid Dias" refreshedDate="45509.60675752315" createdVersion="8" refreshedVersion="8" minRefreshableVersion="3" recordCount="365" xr:uid="{4EAEE70B-CA2B-4FAB-9E25-646D58683542}">
  <cacheSource type="worksheet">
    <worksheetSource name="table1"/>
  </cacheSource>
  <cacheFields count="15">
    <cacheField name="Id" numFmtId="0">
      <sharedItems containsSemiMixedTypes="0" containsString="0" containsNumber="1" containsInteger="1" minValue="1" maxValue="365"/>
    </cacheField>
    <cacheField name="Date" numFmtId="14">
      <sharedItems containsSemiMixedTypes="0" containsNonDate="0" containsDate="1" containsString="0" minDate="2022-01-01T00:00:00" maxDate="2023-01-01T00:00:00" count="365">
        <d v="2022-07-28T00:00:00"/>
        <d v="2022-07-27T00:00:00"/>
        <d v="2022-04-29T00:00:00"/>
        <d v="2022-09-04T00:00:00"/>
        <d v="2022-07-19T00:00:00"/>
        <d v="2022-09-08T00:00:00"/>
        <d v="2022-06-07T00:00:00"/>
        <d v="2022-06-25T00:00:00"/>
        <d v="2022-10-15T00:00:00"/>
        <d v="2022-07-03T00:00:00"/>
        <d v="2022-07-10T00:00:00"/>
        <d v="2022-07-09T00:00:00"/>
        <d v="2022-06-24T00:00:00"/>
        <d v="2022-07-02T00:00:00"/>
        <d v="2022-07-18T00:00:00"/>
        <d v="2022-07-23T00:00:00"/>
        <d v="2022-07-24T00:00:00"/>
        <d v="2022-08-06T00:00:00"/>
        <d v="2022-07-30T00:00:00"/>
        <d v="2022-07-31T00:00:00"/>
        <d v="2022-08-22T00:00:00"/>
        <d v="2022-02-25T00:00:00"/>
        <d v="2022-06-27T00:00:00"/>
        <d v="2022-07-13T00:00:00"/>
        <d v="2022-07-17T00:00:00"/>
        <d v="2022-07-29T00:00:00"/>
        <d v="2022-07-12T00:00:00"/>
        <d v="2022-07-16T00:00:00"/>
        <d v="2022-06-26T00:00:00"/>
        <d v="2022-07-04T00:00:00"/>
        <d v="2022-07-11T00:00:00"/>
        <d v="2022-08-02T00:00:00"/>
        <d v="2022-07-14T00:00:00"/>
        <d v="2022-07-15T00:00:00"/>
        <d v="2022-07-25T00:00:00"/>
        <d v="2022-08-23T00:00:00"/>
        <d v="2022-08-26T00:00:00"/>
        <d v="2022-08-29T00:00:00"/>
        <d v="2022-10-07T00:00:00"/>
        <d v="2022-05-25T00:00:00"/>
        <d v="2022-07-08T00:00:00"/>
        <d v="2022-08-01T00:00:00"/>
        <d v="2022-08-03T00:00:00"/>
        <d v="2022-08-09T00:00:00"/>
        <d v="2022-08-13T00:00:00"/>
        <d v="2022-09-28T00:00:00"/>
        <d v="2022-07-05T00:00:00"/>
        <d v="2022-07-22T00:00:00"/>
        <d v="2022-08-04T00:00:00"/>
        <d v="2022-08-11T00:00:00"/>
        <d v="2022-05-23T00:00:00"/>
        <d v="2022-07-06T00:00:00"/>
        <d v="2022-07-07T00:00:00"/>
        <d v="2022-08-07T00:00:00"/>
        <d v="2022-08-10T00:00:00"/>
        <d v="2022-08-14T00:00:00"/>
        <d v="2022-07-20T00:00:00"/>
        <d v="2022-08-20T00:00:00"/>
        <d v="2022-09-01T00:00:00"/>
        <d v="2022-09-25T00:00:00"/>
        <d v="2022-08-05T00:00:00"/>
        <d v="2022-08-08T00:00:00"/>
        <d v="2022-09-29T00:00:00"/>
        <d v="2022-10-21T00:00:00"/>
        <d v="2022-08-12T00:00:00"/>
        <d v="2022-05-17T00:00:00"/>
        <d v="2022-08-21T00:00:00"/>
        <d v="2022-08-25T00:00:00"/>
        <d v="2022-10-04T00:00:00"/>
        <d v="2022-03-09T00:00:00"/>
        <d v="2022-08-16T00:00:00"/>
        <d v="2022-08-30T00:00:00"/>
        <d v="2022-09-22T00:00:00"/>
        <d v="2022-08-15T00:00:00"/>
        <d v="2022-09-05T00:00:00"/>
        <d v="2022-09-07T00:00:00"/>
        <d v="2022-07-21T00:00:00"/>
        <d v="2022-08-24T00:00:00"/>
        <d v="2022-08-27T00:00:00"/>
        <d v="2022-09-02T00:00:00"/>
        <d v="2022-03-08T00:00:00"/>
        <d v="2022-07-26T00:00:00"/>
        <d v="2022-09-09T00:00:00"/>
        <d v="2022-09-26T00:00:00"/>
        <d v="2022-09-12T00:00:00"/>
        <d v="2022-09-13T00:00:00"/>
        <d v="2022-10-11T00:00:00"/>
        <d v="2022-08-17T00:00:00"/>
        <d v="2022-09-03T00:00:00"/>
        <d v="2022-09-06T00:00:00"/>
        <d v="2022-09-10T00:00:00"/>
        <d v="2022-09-19T00:00:00"/>
        <d v="2022-09-21T00:00:00"/>
        <d v="2022-08-31T00:00:00"/>
        <d v="2022-09-14T00:00:00"/>
        <d v="2022-10-12T00:00:00"/>
        <d v="2022-06-23T00:00:00"/>
        <d v="2022-09-23T00:00:00"/>
        <d v="2022-09-30T00:00:00"/>
        <d v="2022-10-01T00:00:00"/>
        <d v="2022-06-28T00:00:00"/>
        <d v="2022-03-24T00:00:00"/>
        <d v="2022-04-12T00:00:00"/>
        <d v="2022-04-19T00:00:00"/>
        <d v="2022-06-18T00:00:00"/>
        <d v="2022-06-29T00:00:00"/>
        <d v="2022-08-28T00:00:00"/>
        <d v="2022-09-27T00:00:00"/>
        <d v="2022-04-01T00:00:00"/>
        <d v="2022-07-01T00:00:00"/>
        <d v="2022-08-18T00:00:00"/>
        <d v="2022-09-11T00:00:00"/>
        <d v="2022-09-18T00:00:00"/>
        <d v="2022-09-24T00:00:00"/>
        <d v="2022-10-08T00:00:00"/>
        <d v="2022-05-24T00:00:00"/>
        <d v="2022-06-06T00:00:00"/>
        <d v="2022-04-27T00:00:00"/>
        <d v="2022-06-21T00:00:00"/>
        <d v="2022-11-02T00:00:00"/>
        <d v="2022-03-07T00:00:00"/>
        <d v="2022-09-15T00:00:00"/>
        <d v="2022-09-20T00:00:00"/>
        <d v="2022-05-22T00:00:00"/>
        <d v="2022-06-11T00:00:00"/>
        <d v="2022-06-17T00:00:00"/>
        <d v="2022-05-26T00:00:00"/>
        <d v="2022-10-05T00:00:00"/>
        <d v="2022-04-02T00:00:00"/>
        <d v="2022-04-13T00:00:00"/>
        <d v="2022-05-30T00:00:00"/>
        <d v="2022-10-09T00:00:00"/>
        <d v="2022-05-11T00:00:00"/>
        <d v="2022-08-19T00:00:00"/>
        <d v="2022-06-30T00:00:00"/>
        <d v="2022-05-18T00:00:00"/>
        <d v="2022-05-27T00:00:00"/>
        <d v="2022-05-28T00:00:00"/>
        <d v="2022-06-22T00:00:00"/>
        <d v="2022-09-17T00:00:00"/>
        <d v="2022-10-06T00:00:00"/>
        <d v="2022-10-03T00:00:00"/>
        <d v="2022-10-14T00:00:00"/>
        <d v="2022-06-10T00:00:00"/>
        <d v="2022-10-18T00:00:00"/>
        <d v="2022-09-16T00:00:00"/>
        <d v="2022-10-02T00:00:00"/>
        <d v="2022-01-21T00:00:00"/>
        <d v="2022-06-08T00:00:00"/>
        <d v="2022-06-12T00:00:00"/>
        <d v="2022-10-13T00:00:00"/>
        <d v="2022-03-06T00:00:00"/>
        <d v="2022-04-30T00:00:00"/>
        <d v="2022-10-10T00:00:00"/>
        <d v="2022-10-30T00:00:00"/>
        <d v="2022-01-20T00:00:00"/>
        <d v="2022-05-12T00:00:00"/>
        <d v="2022-05-19T00:00:00"/>
        <d v="2022-06-19T00:00:00"/>
        <d v="2022-10-17T00:00:00"/>
        <d v="2022-11-12T00:00:00"/>
        <d v="2022-06-04T00:00:00"/>
        <d v="2022-06-13T00:00:00"/>
        <d v="2022-02-01T00:00:00"/>
        <d v="2022-02-23T00:00:00"/>
        <d v="2022-03-10T00:00:00"/>
        <d v="2022-05-21T00:00:00"/>
        <d v="2022-01-22T00:00:00"/>
        <d v="2022-04-03T00:00:00"/>
        <d v="2022-06-03T00:00:00"/>
        <d v="2022-06-09T00:00:00"/>
        <d v="2022-06-16T00:00:00"/>
        <d v="2022-03-21T00:00:00"/>
        <d v="2022-04-14T00:00:00"/>
        <d v="2022-05-01T00:00:00"/>
        <d v="2022-05-07T00:00:00"/>
        <d v="2022-05-20T00:00:00"/>
        <d v="2022-05-31T00:00:00"/>
        <d v="2022-03-16T00:00:00"/>
        <d v="2022-05-14T00:00:00"/>
        <d v="2022-04-28T00:00:00"/>
        <d v="2022-06-01T00:00:00"/>
        <d v="2022-06-14T00:00:00"/>
        <d v="2022-06-15T00:00:00"/>
        <d v="2022-06-20T00:00:00"/>
        <d v="2022-10-16T00:00:00"/>
        <d v="2022-12-15T00:00:00"/>
        <d v="2022-01-19T00:00:00"/>
        <d v="2022-01-23T00:00:00"/>
        <d v="2022-02-05T00:00:00"/>
        <d v="2022-02-16T00:00:00"/>
        <d v="2022-01-27T00:00:00"/>
        <d v="2022-02-12T00:00:00"/>
        <d v="2022-02-19T00:00:00"/>
        <d v="2022-05-29T00:00:00"/>
        <d v="2022-06-05T00:00:00"/>
        <d v="2022-11-16T00:00:00"/>
        <d v="2022-04-26T00:00:00"/>
        <d v="2022-05-06T00:00:00"/>
        <d v="2022-06-02T00:00:00"/>
        <d v="2022-10-26T00:00:00"/>
        <d v="2022-12-08T00:00:00"/>
        <d v="2022-03-29T00:00:00"/>
        <d v="2022-05-04T00:00:00"/>
        <d v="2022-10-19T00:00:00"/>
        <d v="2022-11-14T00:00:00"/>
        <d v="2022-11-29T00:00:00"/>
        <d v="2022-11-30T00:00:00"/>
        <d v="2022-05-08T00:00:00"/>
        <d v="2022-10-22T00:00:00"/>
        <d v="2022-12-19T00:00:00"/>
        <d v="2022-01-06T00:00:00"/>
        <d v="2022-01-09T00:00:00"/>
        <d v="2022-05-02T00:00:00"/>
        <d v="2022-05-05T00:00:00"/>
        <d v="2022-10-24T00:00:00"/>
        <d v="2022-10-27T00:00:00"/>
        <d v="2022-05-10T00:00:00"/>
        <d v="2022-05-13T00:00:00"/>
        <d v="2022-11-11T00:00:00"/>
        <d v="2022-11-28T00:00:00"/>
        <d v="2022-02-11T00:00:00"/>
        <d v="2022-02-17T00:00:00"/>
        <d v="2022-03-28T00:00:00"/>
        <d v="2022-04-20T00:00:00"/>
        <d v="2022-05-03T00:00:00"/>
        <d v="2022-11-15T00:00:00"/>
        <d v="2022-04-24T00:00:00"/>
        <d v="2022-05-16T00:00:00"/>
        <d v="2022-10-20T00:00:00"/>
        <d v="2022-10-23T00:00:00"/>
        <d v="2022-11-09T00:00:00"/>
        <d v="2022-01-10T00:00:00"/>
        <d v="2022-02-04T00:00:00"/>
        <d v="2022-03-19T00:00:00"/>
        <d v="2022-05-09T00:00:00"/>
        <d v="2022-01-29T00:00:00"/>
        <d v="2022-01-30T00:00:00"/>
        <d v="2022-02-26T00:00:00"/>
        <d v="2022-04-22T00:00:00"/>
        <d v="2022-11-21T00:00:00"/>
        <d v="2022-01-11T00:00:00"/>
        <d v="2022-01-18T00:00:00"/>
        <d v="2022-02-06T00:00:00"/>
        <d v="2022-02-13T00:00:00"/>
        <d v="2022-03-22T00:00:00"/>
        <d v="2022-04-21T00:00:00"/>
        <d v="2022-04-23T00:00:00"/>
        <d v="2022-11-06T00:00:00"/>
        <d v="2022-11-07T00:00:00"/>
        <d v="2022-01-26T00:00:00"/>
        <d v="2022-10-25T00:00:00"/>
        <d v="2022-10-31T00:00:00"/>
        <d v="2022-11-03T00:00:00"/>
        <d v="2022-01-16T00:00:00"/>
        <d v="2022-01-28T00:00:00"/>
        <d v="2022-04-04T00:00:00"/>
        <d v="2022-11-01T00:00:00"/>
        <d v="2022-12-07T00:00:00"/>
        <d v="2022-12-11T00:00:00"/>
        <d v="2022-03-04T00:00:00"/>
        <d v="2022-05-15T00:00:00"/>
        <d v="2022-11-22T00:00:00"/>
        <d v="2022-12-21T00:00:00"/>
        <d v="2022-01-17T00:00:00"/>
        <d v="2022-03-18T00:00:00"/>
        <d v="2022-03-20T00:00:00"/>
        <d v="2022-04-11T00:00:00"/>
        <d v="2022-04-17T00:00:00"/>
        <d v="2022-11-13T00:00:00"/>
        <d v="2022-12-05T00:00:00"/>
        <d v="2022-12-09T00:00:00"/>
        <d v="2022-01-05T00:00:00"/>
        <d v="2022-01-24T00:00:00"/>
        <d v="2022-02-02T00:00:00"/>
        <d v="2022-02-07T00:00:00"/>
        <d v="2022-10-28T00:00:00"/>
        <d v="2022-11-04T00:00:00"/>
        <d v="2022-11-17T00:00:00"/>
        <d v="2022-01-01T00:00:00"/>
        <d v="2022-01-04T00:00:00"/>
        <d v="2022-01-25T00:00:00"/>
        <d v="2022-02-24T00:00:00"/>
        <d v="2022-02-27T00:00:00"/>
        <d v="2022-03-27T00:00:00"/>
        <d v="2022-11-24T00:00:00"/>
        <d v="2022-11-25T00:00:00"/>
        <d v="2022-12-27T00:00:00"/>
        <d v="2022-01-03T00:00:00"/>
        <d v="2022-02-14T00:00:00"/>
        <d v="2022-02-15T00:00:00"/>
        <d v="2022-03-13T00:00:00"/>
        <d v="2022-04-25T00:00:00"/>
        <d v="2022-11-05T00:00:00"/>
        <d v="2022-11-20T00:00:00"/>
        <d v="2022-12-26T00:00:00"/>
        <d v="2022-03-03T00:00:00"/>
        <d v="2022-03-14T00:00:00"/>
        <d v="2022-03-17T00:00:00"/>
        <d v="2022-04-18T00:00:00"/>
        <d v="2022-11-26T00:00:00"/>
        <d v="2022-12-18T00:00:00"/>
        <d v="2022-02-08T00:00:00"/>
        <d v="2022-02-09T00:00:00"/>
        <d v="2022-02-20T00:00:00"/>
        <d v="2022-03-15T00:00:00"/>
        <d v="2022-03-23T00:00:00"/>
        <d v="2022-04-05T00:00:00"/>
        <d v="2022-04-06T00:00:00"/>
        <d v="2022-11-08T00:00:00"/>
        <d v="2022-11-27T00:00:00"/>
        <d v="2022-12-06T00:00:00"/>
        <d v="2022-12-20T00:00:00"/>
        <d v="2022-12-22T00:00:00"/>
        <d v="2022-01-31T00:00:00"/>
        <d v="2022-02-03T00:00:00"/>
        <d v="2022-03-30T00:00:00"/>
        <d v="2022-11-10T00:00:00"/>
        <d v="2022-12-16T00:00:00"/>
        <d v="2022-01-08T00:00:00"/>
        <d v="2022-02-10T00:00:00"/>
        <d v="2022-03-05T00:00:00"/>
        <d v="2022-11-18T00:00:00"/>
        <d v="2022-12-04T00:00:00"/>
        <d v="2022-12-13T00:00:00"/>
        <d v="2022-12-23T00:00:00"/>
        <d v="2022-03-26T00:00:00"/>
        <d v="2022-04-07T00:00:00"/>
        <d v="2022-11-23T00:00:00"/>
        <d v="2022-12-01T00:00:00"/>
        <d v="2022-12-10T00:00:00"/>
        <d v="2022-12-12T00:00:00"/>
        <d v="2022-03-01T00:00:00"/>
        <d v="2022-03-12T00:00:00"/>
        <d v="2022-04-16T00:00:00"/>
        <d v="2022-01-12T00:00:00"/>
        <d v="2022-04-10T00:00:00"/>
        <d v="2022-12-17T00:00:00"/>
        <d v="2022-12-31T00:00:00"/>
        <d v="2022-02-22T00:00:00"/>
        <d v="2022-03-02T00:00:00"/>
        <d v="2022-12-14T00:00:00"/>
        <d v="2022-02-18T00:00:00"/>
        <d v="2022-03-31T00:00:00"/>
        <d v="2022-04-15T00:00:00"/>
        <d v="2022-12-24T00:00:00"/>
        <d v="2022-02-28T00:00:00"/>
        <d v="2022-12-28T00:00:00"/>
        <d v="2022-01-15T00:00:00"/>
        <d v="2022-10-29T00:00:00"/>
        <d v="2022-12-02T00:00:00"/>
        <d v="2022-12-03T00:00:00"/>
        <d v="2022-12-25T00:00:00"/>
        <d v="2022-01-07T00:00:00"/>
        <d v="2022-03-11T00:00:00"/>
        <d v="2022-12-30T00:00:00"/>
        <d v="2022-04-08T00:00:00"/>
        <d v="2022-03-25T00:00:00"/>
        <d v="2022-01-13T00:00:00"/>
        <d v="2022-04-09T00:00:00"/>
        <d v="2022-12-29T00:00:00"/>
        <d v="2022-11-19T00:00:00"/>
        <d v="2022-01-14T00:00:00"/>
        <d v="2022-02-21T00:00:00"/>
        <d v="2022-01-02T00:00:00"/>
      </sharedItems>
    </cacheField>
    <cacheField name="Season" numFmtId="0">
      <sharedItems count="4">
        <s v="Winter"/>
        <s v="Autumn"/>
        <s v="Spring"/>
        <s v="Summer"/>
      </sharedItems>
    </cacheField>
    <cacheField name=" Month" numFmtId="0">
      <sharedItems count="12">
        <s v="Jul"/>
        <s v="Apr"/>
        <s v="Sep"/>
        <s v="Jun"/>
        <s v="Oct"/>
        <s v="Aug"/>
        <s v="Feb"/>
        <s v="May"/>
        <s v="Mar"/>
        <s v="Nov"/>
        <s v="Jan"/>
        <s v="Dec"/>
      </sharedItems>
    </cacheField>
    <cacheField name="Holiday" numFmtId="0">
      <sharedItems count="2">
        <s v="Not Holiday"/>
        <s v="Holiday"/>
      </sharedItems>
    </cacheField>
    <cacheField name="Weekday" numFmtId="0">
      <sharedItems count="7">
        <s v="Thursday"/>
        <s v="Wednesday"/>
        <s v="Friday"/>
        <s v="Sunday"/>
        <s v="Tuesday"/>
        <s v="Saturday"/>
        <s v="Monday"/>
      </sharedItems>
    </cacheField>
    <cacheField name="Workingday" numFmtId="0">
      <sharedItems count="2">
        <s v="Workingday"/>
        <s v="Not Workingday"/>
      </sharedItems>
    </cacheField>
    <cacheField name="Weather" numFmtId="0">
      <sharedItems count="3">
        <s v="Clear"/>
        <s v="Rain"/>
        <s v="Cloudy"/>
      </sharedItems>
    </cacheField>
    <cacheField name="Temp" numFmtId="1">
      <sharedItems containsSemiMixedTypes="0" containsString="0" containsNumber="1" minValue="2.6608679999999998" maxValue="38.212515000000003"/>
    </cacheField>
    <cacheField name="Humidity" numFmtId="1">
      <sharedItems containsSemiMixedTypes="0" containsString="0" containsNumber="1" minValue="0" maxValue="97.25"/>
    </cacheField>
    <cacheField name="WindSpeed" numFmtId="1">
      <sharedItems containsSemiMixedTypes="0" containsString="0" containsNumber="1" minValue="1.5002439000000001" maxValue="34.000020999999997"/>
    </cacheField>
    <cacheField name="eBike" numFmtId="0">
      <sharedItems containsSemiMixedTypes="0" containsString="0" containsNumber="1" containsInteger="1" minValue="0" maxValue="61"/>
    </cacheField>
    <cacheField name="pBike" numFmtId="0">
      <sharedItems containsSemiMixedTypes="0" containsString="0" containsNumber="1" containsInteger="1" minValue="8" maxValue="92"/>
    </cacheField>
    <cacheField name="Count" numFmtId="0">
      <sharedItems containsSemiMixedTypes="0" containsString="0" containsNumber="1" containsInteger="1" minValue="8" maxValue="121"/>
    </cacheField>
    <cacheField name="activity" numFmtId="0">
      <sharedItems count="4">
        <s v="quiet"/>
        <s v="modest"/>
        <s v="good"/>
        <s v="busy"/>
      </sharedItems>
    </cacheField>
  </cacheFields>
  <extLst>
    <ext xmlns:x14="http://schemas.microsoft.com/office/spreadsheetml/2009/9/main" uri="{725AE2AE-9491-48be-B2B4-4EB974FC3084}">
      <x14:pivotCacheDefinition pivotCacheId="1739170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n v="209"/>
    <x v="0"/>
    <x v="0"/>
    <x v="0"/>
    <x v="0"/>
    <x v="0"/>
    <x v="0"/>
    <x v="0"/>
    <n v="8.7750000000000004"/>
    <n v="58.333300000000001"/>
    <n v="11.958093"/>
    <n v="0"/>
    <n v="8"/>
    <n v="8"/>
    <x v="0"/>
  </r>
  <r>
    <n v="208"/>
    <x v="1"/>
    <x v="0"/>
    <x v="0"/>
    <x v="0"/>
    <x v="1"/>
    <x v="0"/>
    <x v="0"/>
    <n v="9.7874999999999996"/>
    <n v="40.291700000000006"/>
    <n v="12.292020999999998"/>
    <n v="1"/>
    <n v="9"/>
    <n v="10"/>
    <x v="0"/>
  </r>
  <r>
    <n v="119"/>
    <x v="2"/>
    <x v="1"/>
    <x v="1"/>
    <x v="0"/>
    <x v="2"/>
    <x v="0"/>
    <x v="0"/>
    <n v="11.437514999999999"/>
    <n v="45.708300000000001"/>
    <n v="16.084220999999999"/>
    <n v="1"/>
    <n v="11"/>
    <n v="12"/>
    <x v="0"/>
  </r>
  <r>
    <n v="247"/>
    <x v="3"/>
    <x v="2"/>
    <x v="2"/>
    <x v="0"/>
    <x v="3"/>
    <x v="1"/>
    <x v="0"/>
    <n v="16.943490000000001"/>
    <n v="74.208300000000008"/>
    <n v="13.833289000000001"/>
    <n v="2"/>
    <n v="10"/>
    <n v="12"/>
    <x v="0"/>
  </r>
  <r>
    <n v="200"/>
    <x v="4"/>
    <x v="0"/>
    <x v="0"/>
    <x v="0"/>
    <x v="4"/>
    <x v="0"/>
    <x v="0"/>
    <n v="9.7500149999999994"/>
    <n v="65.041700000000006"/>
    <n v="8.7501999999999995"/>
    <n v="0"/>
    <n v="13"/>
    <n v="13"/>
    <x v="0"/>
  </r>
  <r>
    <n v="251"/>
    <x v="5"/>
    <x v="2"/>
    <x v="2"/>
    <x v="0"/>
    <x v="0"/>
    <x v="0"/>
    <x v="1"/>
    <n v="17.509095000000002"/>
    <n v="93.956500000000005"/>
    <n v="12.914116"/>
    <n v="1"/>
    <n v="12"/>
    <n v="13"/>
    <x v="0"/>
  </r>
  <r>
    <n v="158"/>
    <x v="6"/>
    <x v="0"/>
    <x v="3"/>
    <x v="0"/>
    <x v="4"/>
    <x v="0"/>
    <x v="0"/>
    <n v="18.45"/>
    <n v="59.791700000000006"/>
    <n v="12.583136"/>
    <n v="1"/>
    <n v="13"/>
    <n v="14"/>
    <x v="0"/>
  </r>
  <r>
    <n v="176"/>
    <x v="7"/>
    <x v="0"/>
    <x v="3"/>
    <x v="0"/>
    <x v="5"/>
    <x v="1"/>
    <x v="0"/>
    <n v="12.365235"/>
    <n v="48.333300000000001"/>
    <n v="14.041257"/>
    <n v="6"/>
    <n v="9"/>
    <n v="15"/>
    <x v="0"/>
  </r>
  <r>
    <n v="288"/>
    <x v="8"/>
    <x v="2"/>
    <x v="4"/>
    <x v="0"/>
    <x v="5"/>
    <x v="1"/>
    <x v="0"/>
    <n v="19.387485000000002"/>
    <n v="48.333300000000001"/>
    <n v="17.291561000000002"/>
    <n v="2"/>
    <n v="13"/>
    <n v="15"/>
    <x v="0"/>
  </r>
  <r>
    <n v="184"/>
    <x v="9"/>
    <x v="0"/>
    <x v="0"/>
    <x v="0"/>
    <x v="3"/>
    <x v="1"/>
    <x v="2"/>
    <n v="16.35651"/>
    <n v="68.25"/>
    <n v="15.333486000000001"/>
    <n v="3"/>
    <n v="13"/>
    <n v="16"/>
    <x v="0"/>
  </r>
  <r>
    <n v="191"/>
    <x v="10"/>
    <x v="0"/>
    <x v="0"/>
    <x v="0"/>
    <x v="3"/>
    <x v="1"/>
    <x v="0"/>
    <n v="6.2249850000000002"/>
    <n v="57.833300000000001"/>
    <n v="12.292557"/>
    <n v="1"/>
    <n v="15"/>
    <n v="16"/>
    <x v="0"/>
  </r>
  <r>
    <n v="190"/>
    <x v="11"/>
    <x v="0"/>
    <x v="0"/>
    <x v="0"/>
    <x v="5"/>
    <x v="1"/>
    <x v="0"/>
    <n v="7.4250000000000007"/>
    <n v="60.916699999999999"/>
    <n v="11.250104"/>
    <n v="1"/>
    <n v="18"/>
    <n v="19"/>
    <x v="0"/>
  </r>
  <r>
    <n v="175"/>
    <x v="12"/>
    <x v="0"/>
    <x v="3"/>
    <x v="0"/>
    <x v="2"/>
    <x v="0"/>
    <x v="0"/>
    <n v="13.612499999999999"/>
    <n v="57.333300000000001"/>
    <n v="14.875674999999999"/>
    <n v="3"/>
    <n v="17"/>
    <n v="20"/>
    <x v="0"/>
  </r>
  <r>
    <n v="183"/>
    <x v="13"/>
    <x v="0"/>
    <x v="0"/>
    <x v="0"/>
    <x v="5"/>
    <x v="1"/>
    <x v="0"/>
    <n v="15.487515"/>
    <n v="44.458300000000001"/>
    <n v="7.7091539999999998"/>
    <n v="7"/>
    <n v="13"/>
    <n v="20"/>
    <x v="0"/>
  </r>
  <r>
    <n v="199"/>
    <x v="14"/>
    <x v="0"/>
    <x v="0"/>
    <x v="0"/>
    <x v="6"/>
    <x v="0"/>
    <x v="0"/>
    <n v="7.9124849999999993"/>
    <n v="65.125"/>
    <n v="14.458867999999999"/>
    <n v="2"/>
    <n v="18"/>
    <n v="20"/>
    <x v="0"/>
  </r>
  <r>
    <n v="204"/>
    <x v="15"/>
    <x v="0"/>
    <x v="0"/>
    <x v="0"/>
    <x v="5"/>
    <x v="1"/>
    <x v="0"/>
    <n v="2.6608679999999998"/>
    <n v="50"/>
    <n v="8.7918070000000004"/>
    <n v="2"/>
    <n v="18"/>
    <n v="20"/>
    <x v="0"/>
  </r>
  <r>
    <n v="205"/>
    <x v="16"/>
    <x v="0"/>
    <x v="0"/>
    <x v="0"/>
    <x v="3"/>
    <x v="1"/>
    <x v="0"/>
    <n v="4.3434765000000004"/>
    <n v="55.083300000000001"/>
    <n v="11.334456999999999"/>
    <n v="3"/>
    <n v="17"/>
    <n v="20"/>
    <x v="0"/>
  </r>
  <r>
    <n v="218"/>
    <x v="17"/>
    <x v="0"/>
    <x v="5"/>
    <x v="0"/>
    <x v="5"/>
    <x v="1"/>
    <x v="2"/>
    <n v="10.499985000000001"/>
    <n v="75.5"/>
    <n v="15.29275"/>
    <n v="2"/>
    <n v="18"/>
    <n v="20"/>
    <x v="0"/>
  </r>
  <r>
    <n v="211"/>
    <x v="18"/>
    <x v="0"/>
    <x v="0"/>
    <x v="0"/>
    <x v="5"/>
    <x v="1"/>
    <x v="0"/>
    <n v="8.843490000000001"/>
    <n v="46.583300000000001"/>
    <n v="11.291979"/>
    <n v="2"/>
    <n v="20"/>
    <n v="22"/>
    <x v="0"/>
  </r>
  <r>
    <n v="212"/>
    <x v="19"/>
    <x v="0"/>
    <x v="0"/>
    <x v="0"/>
    <x v="3"/>
    <x v="1"/>
    <x v="0"/>
    <n v="9.7434899999999995"/>
    <n v="48.083300000000001"/>
    <n v="11.042470999999999"/>
    <n v="3"/>
    <n v="19"/>
    <n v="22"/>
    <x v="0"/>
  </r>
  <r>
    <n v="234"/>
    <x v="20"/>
    <x v="0"/>
    <x v="5"/>
    <x v="0"/>
    <x v="6"/>
    <x v="0"/>
    <x v="0"/>
    <n v="13.649985000000001"/>
    <n v="47"/>
    <n v="18.542249999999999"/>
    <n v="4"/>
    <n v="18"/>
    <n v="22"/>
    <x v="0"/>
  </r>
  <r>
    <n v="56"/>
    <x v="21"/>
    <x v="3"/>
    <x v="6"/>
    <x v="0"/>
    <x v="2"/>
    <x v="0"/>
    <x v="2"/>
    <n v="30.6"/>
    <n v="71.217399999999998"/>
    <n v="23.218112999999999"/>
    <n v="5"/>
    <n v="18"/>
    <n v="23"/>
    <x v="0"/>
  </r>
  <r>
    <n v="178"/>
    <x v="22"/>
    <x v="0"/>
    <x v="3"/>
    <x v="0"/>
    <x v="6"/>
    <x v="0"/>
    <x v="2"/>
    <n v="14.625"/>
    <n v="65.833299999999994"/>
    <n v="7.2083960000000005"/>
    <n v="2"/>
    <n v="21"/>
    <n v="23"/>
    <x v="0"/>
  </r>
  <r>
    <n v="194"/>
    <x v="23"/>
    <x v="0"/>
    <x v="0"/>
    <x v="0"/>
    <x v="1"/>
    <x v="0"/>
    <x v="0"/>
    <n v="7.7727149999999998"/>
    <n v="63.166699999999999"/>
    <n v="9.7909110000000013"/>
    <n v="1"/>
    <n v="23"/>
    <n v="24"/>
    <x v="0"/>
  </r>
  <r>
    <n v="198"/>
    <x v="24"/>
    <x v="0"/>
    <x v="0"/>
    <x v="0"/>
    <x v="3"/>
    <x v="1"/>
    <x v="0"/>
    <n v="10.425015"/>
    <n v="60.416699999999999"/>
    <n v="16.417211000000002"/>
    <n v="5"/>
    <n v="19"/>
    <n v="24"/>
    <x v="0"/>
  </r>
  <r>
    <n v="210"/>
    <x v="25"/>
    <x v="0"/>
    <x v="0"/>
    <x v="0"/>
    <x v="2"/>
    <x v="0"/>
    <x v="0"/>
    <n v="9.156509999999999"/>
    <n v="54.25"/>
    <n v="11.667245999999999"/>
    <n v="1"/>
    <n v="23"/>
    <n v="24"/>
    <x v="0"/>
  </r>
  <r>
    <n v="193"/>
    <x v="26"/>
    <x v="0"/>
    <x v="0"/>
    <x v="0"/>
    <x v="4"/>
    <x v="0"/>
    <x v="0"/>
    <n v="7.6090949999999999"/>
    <n v="55.916699999999999"/>
    <n v="13.417017999999999"/>
    <n v="1"/>
    <n v="24"/>
    <n v="25"/>
    <x v="0"/>
  </r>
  <r>
    <n v="197"/>
    <x v="27"/>
    <x v="0"/>
    <x v="0"/>
    <x v="0"/>
    <x v="5"/>
    <x v="1"/>
    <x v="0"/>
    <n v="10.499985000000001"/>
    <n v="58.5"/>
    <n v="13.958914"/>
    <n v="4"/>
    <n v="21"/>
    <n v="25"/>
    <x v="0"/>
  </r>
  <r>
    <n v="177"/>
    <x v="28"/>
    <x v="0"/>
    <x v="3"/>
    <x v="0"/>
    <x v="3"/>
    <x v="1"/>
    <x v="0"/>
    <n v="14.478255000000001"/>
    <n v="51.333300000000001"/>
    <n v="6.3337310999999996"/>
    <n v="9"/>
    <n v="18"/>
    <n v="27"/>
    <x v="0"/>
  </r>
  <r>
    <n v="185"/>
    <x v="29"/>
    <x v="0"/>
    <x v="0"/>
    <x v="1"/>
    <x v="6"/>
    <x v="1"/>
    <x v="2"/>
    <n v="8.8363800000000001"/>
    <n v="63.791699999999999"/>
    <n v="5.4591064000000005"/>
    <n v="2"/>
    <n v="25"/>
    <n v="27"/>
    <x v="0"/>
  </r>
  <r>
    <n v="192"/>
    <x v="30"/>
    <x v="0"/>
    <x v="0"/>
    <x v="0"/>
    <x v="6"/>
    <x v="0"/>
    <x v="0"/>
    <n v="6.7874850000000002"/>
    <n v="63.583300000000001"/>
    <n v="18.916578999999999"/>
    <n v="1"/>
    <n v="26"/>
    <n v="27"/>
    <x v="0"/>
  </r>
  <r>
    <n v="214"/>
    <x v="31"/>
    <x v="0"/>
    <x v="5"/>
    <x v="0"/>
    <x v="4"/>
    <x v="0"/>
    <x v="0"/>
    <n v="8.6478300000000008"/>
    <n v="49.125"/>
    <n v="13.79195"/>
    <n v="1"/>
    <n v="26"/>
    <n v="27"/>
    <x v="0"/>
  </r>
  <r>
    <n v="195"/>
    <x v="32"/>
    <x v="0"/>
    <x v="0"/>
    <x v="0"/>
    <x v="0"/>
    <x v="0"/>
    <x v="0"/>
    <n v="7.4250000000000007"/>
    <n v="47.625"/>
    <n v="16.124689"/>
    <n v="1"/>
    <n v="27"/>
    <n v="28"/>
    <x v="0"/>
  </r>
  <r>
    <n v="196"/>
    <x v="33"/>
    <x v="0"/>
    <x v="0"/>
    <x v="0"/>
    <x v="2"/>
    <x v="0"/>
    <x v="0"/>
    <n v="7.2391500000000004"/>
    <n v="59.125000000000007"/>
    <n v="12.249810999999999"/>
    <n v="1"/>
    <n v="27"/>
    <n v="28"/>
    <x v="0"/>
  </r>
  <r>
    <n v="206"/>
    <x v="34"/>
    <x v="0"/>
    <x v="0"/>
    <x v="0"/>
    <x v="6"/>
    <x v="0"/>
    <x v="0"/>
    <n v="4.3826084999999999"/>
    <n v="75.708299999999994"/>
    <n v="6.0841560999999995"/>
    <n v="2"/>
    <n v="27"/>
    <n v="29"/>
    <x v="0"/>
  </r>
  <r>
    <n v="235"/>
    <x v="35"/>
    <x v="0"/>
    <x v="5"/>
    <x v="0"/>
    <x v="4"/>
    <x v="0"/>
    <x v="0"/>
    <n v="8.1999899999999997"/>
    <n v="45.541699999999999"/>
    <n v="9.8331210000000002"/>
    <n v="1"/>
    <n v="28"/>
    <n v="29"/>
    <x v="0"/>
  </r>
  <r>
    <n v="238"/>
    <x v="36"/>
    <x v="0"/>
    <x v="5"/>
    <x v="0"/>
    <x v="2"/>
    <x v="0"/>
    <x v="0"/>
    <n v="16.395659999999999"/>
    <n v="76.125"/>
    <n v="5.6254874999999993"/>
    <n v="2"/>
    <n v="27"/>
    <n v="29"/>
    <x v="0"/>
  </r>
  <r>
    <n v="241"/>
    <x v="37"/>
    <x v="0"/>
    <x v="5"/>
    <x v="0"/>
    <x v="6"/>
    <x v="0"/>
    <x v="0"/>
    <n v="18.327285"/>
    <n v="55.458300000000008"/>
    <n v="10.708275"/>
    <n v="2"/>
    <n v="27"/>
    <n v="29"/>
    <x v="0"/>
  </r>
  <r>
    <n v="280"/>
    <x v="38"/>
    <x v="2"/>
    <x v="4"/>
    <x v="0"/>
    <x v="2"/>
    <x v="0"/>
    <x v="0"/>
    <n v="15.112485"/>
    <n v="68.416699999999992"/>
    <n v="1.5002439000000001"/>
    <n v="3"/>
    <n v="26"/>
    <n v="29"/>
    <x v="0"/>
  </r>
  <r>
    <n v="145"/>
    <x v="39"/>
    <x v="1"/>
    <x v="7"/>
    <x v="0"/>
    <x v="1"/>
    <x v="0"/>
    <x v="0"/>
    <n v="16.799985"/>
    <n v="69.625"/>
    <n v="10.333611000000001"/>
    <n v="11"/>
    <n v="19"/>
    <n v="30"/>
    <x v="0"/>
  </r>
  <r>
    <n v="189"/>
    <x v="40"/>
    <x v="0"/>
    <x v="0"/>
    <x v="0"/>
    <x v="2"/>
    <x v="0"/>
    <x v="2"/>
    <n v="8.843490000000001"/>
    <n v="75.791699999999992"/>
    <n v="15.083643"/>
    <n v="3"/>
    <n v="27"/>
    <n v="30"/>
    <x v="0"/>
  </r>
  <r>
    <n v="213"/>
    <x v="41"/>
    <x v="0"/>
    <x v="5"/>
    <x v="0"/>
    <x v="6"/>
    <x v="0"/>
    <x v="0"/>
    <n v="8.1374849999999999"/>
    <n v="55.083300000000001"/>
    <n v="10.500038999999999"/>
    <n v="1"/>
    <n v="29"/>
    <n v="30"/>
    <x v="0"/>
  </r>
  <r>
    <n v="215"/>
    <x v="42"/>
    <x v="0"/>
    <x v="5"/>
    <x v="0"/>
    <x v="1"/>
    <x v="0"/>
    <x v="2"/>
    <n v="11.700000000000001"/>
    <n v="65.75"/>
    <n v="9.0840610000000002"/>
    <n v="1"/>
    <n v="29"/>
    <n v="30"/>
    <x v="0"/>
  </r>
  <r>
    <n v="221"/>
    <x v="43"/>
    <x v="0"/>
    <x v="5"/>
    <x v="0"/>
    <x v="4"/>
    <x v="0"/>
    <x v="0"/>
    <n v="9.9374850000000006"/>
    <n v="57.041699999999992"/>
    <n v="10.125107"/>
    <n v="1"/>
    <n v="29"/>
    <n v="30"/>
    <x v="0"/>
  </r>
  <r>
    <n v="225"/>
    <x v="44"/>
    <x v="0"/>
    <x v="5"/>
    <x v="0"/>
    <x v="5"/>
    <x v="1"/>
    <x v="2"/>
    <n v="10.012499999999999"/>
    <n v="72.958299999999994"/>
    <n v="14.167418"/>
    <n v="6"/>
    <n v="24"/>
    <n v="30"/>
    <x v="0"/>
  </r>
  <r>
    <n v="271"/>
    <x v="45"/>
    <x v="2"/>
    <x v="2"/>
    <x v="0"/>
    <x v="1"/>
    <x v="0"/>
    <x v="2"/>
    <n v="13.5"/>
    <n v="84.875"/>
    <n v="9.9581430000000015"/>
    <n v="3"/>
    <n v="27"/>
    <n v="30"/>
    <x v="0"/>
  </r>
  <r>
    <n v="186"/>
    <x v="46"/>
    <x v="0"/>
    <x v="0"/>
    <x v="0"/>
    <x v="4"/>
    <x v="0"/>
    <x v="0"/>
    <n v="9"/>
    <n v="59.041699999999999"/>
    <n v="8.4592860000000005"/>
    <n v="2"/>
    <n v="29"/>
    <n v="31"/>
    <x v="0"/>
  </r>
  <r>
    <n v="203"/>
    <x v="47"/>
    <x v="0"/>
    <x v="0"/>
    <x v="0"/>
    <x v="2"/>
    <x v="0"/>
    <x v="0"/>
    <n v="7.9874999999999998"/>
    <n v="58.041699999999999"/>
    <n v="8.9177"/>
    <n v="2"/>
    <n v="29"/>
    <n v="31"/>
    <x v="0"/>
  </r>
  <r>
    <n v="216"/>
    <x v="48"/>
    <x v="0"/>
    <x v="5"/>
    <x v="0"/>
    <x v="0"/>
    <x v="0"/>
    <x v="2"/>
    <n v="8.4130650000000013"/>
    <n v="75.75"/>
    <n v="13.20905"/>
    <n v="1"/>
    <n v="30"/>
    <n v="31"/>
    <x v="0"/>
  </r>
  <r>
    <n v="223"/>
    <x v="49"/>
    <x v="0"/>
    <x v="5"/>
    <x v="0"/>
    <x v="0"/>
    <x v="0"/>
    <x v="0"/>
    <n v="6.49566"/>
    <n v="42.375"/>
    <n v="11.041332000000001"/>
    <n v="1"/>
    <n v="30"/>
    <n v="31"/>
    <x v="0"/>
  </r>
  <r>
    <n v="143"/>
    <x v="50"/>
    <x v="1"/>
    <x v="7"/>
    <x v="0"/>
    <x v="6"/>
    <x v="0"/>
    <x v="2"/>
    <n v="18.750015000000001"/>
    <n v="81"/>
    <n v="15.667413999999999"/>
    <n v="1"/>
    <n v="31"/>
    <n v="32"/>
    <x v="0"/>
  </r>
  <r>
    <n v="187"/>
    <x v="51"/>
    <x v="0"/>
    <x v="0"/>
    <x v="0"/>
    <x v="1"/>
    <x v="0"/>
    <x v="0"/>
    <n v="10.213065"/>
    <n v="74.333300000000008"/>
    <n v="10.042161"/>
    <n v="2"/>
    <n v="30"/>
    <n v="32"/>
    <x v="0"/>
  </r>
  <r>
    <n v="188"/>
    <x v="52"/>
    <x v="0"/>
    <x v="0"/>
    <x v="0"/>
    <x v="0"/>
    <x v="0"/>
    <x v="0"/>
    <n v="9.1956600000000002"/>
    <n v="65.125"/>
    <n v="10.666400000000001"/>
    <n v="2"/>
    <n v="30"/>
    <n v="32"/>
    <x v="0"/>
  </r>
  <r>
    <n v="219"/>
    <x v="53"/>
    <x v="0"/>
    <x v="5"/>
    <x v="0"/>
    <x v="3"/>
    <x v="1"/>
    <x v="0"/>
    <n v="12.862485"/>
    <n v="75.291699999999992"/>
    <n v="13.499629000000001"/>
    <n v="7"/>
    <n v="25"/>
    <n v="32"/>
    <x v="0"/>
  </r>
  <r>
    <n v="222"/>
    <x v="54"/>
    <x v="0"/>
    <x v="5"/>
    <x v="0"/>
    <x v="1"/>
    <x v="0"/>
    <x v="0"/>
    <n v="6.0652349999999995"/>
    <n v="42.416699999999999"/>
    <n v="13.417285999999999"/>
    <n v="1"/>
    <n v="31"/>
    <n v="32"/>
    <x v="0"/>
  </r>
  <r>
    <n v="226"/>
    <x v="55"/>
    <x v="0"/>
    <x v="5"/>
    <x v="0"/>
    <x v="3"/>
    <x v="1"/>
    <x v="2"/>
    <n v="14.243490000000001"/>
    <n v="81.75"/>
    <n v="14.916411"/>
    <n v="8"/>
    <n v="24"/>
    <n v="32"/>
    <x v="0"/>
  </r>
  <r>
    <n v="201"/>
    <x v="56"/>
    <x v="0"/>
    <x v="0"/>
    <x v="0"/>
    <x v="1"/>
    <x v="0"/>
    <x v="0"/>
    <n v="13.147829999999999"/>
    <n v="70.708300000000008"/>
    <n v="7.6257390000000003"/>
    <n v="2"/>
    <n v="31"/>
    <n v="33"/>
    <x v="0"/>
  </r>
  <r>
    <n v="232"/>
    <x v="57"/>
    <x v="0"/>
    <x v="5"/>
    <x v="0"/>
    <x v="5"/>
    <x v="1"/>
    <x v="0"/>
    <n v="17.962515"/>
    <n v="67.416699999999992"/>
    <n v="6.9992890000000001"/>
    <n v="11"/>
    <n v="22"/>
    <n v="33"/>
    <x v="0"/>
  </r>
  <r>
    <n v="244"/>
    <x v="58"/>
    <x v="2"/>
    <x v="2"/>
    <x v="0"/>
    <x v="0"/>
    <x v="0"/>
    <x v="0"/>
    <n v="8.9249850000000013"/>
    <n v="63.916700000000006"/>
    <n v="9.5003320000000002"/>
    <n v="2"/>
    <n v="31"/>
    <n v="33"/>
    <x v="0"/>
  </r>
  <r>
    <n v="268"/>
    <x v="59"/>
    <x v="2"/>
    <x v="2"/>
    <x v="0"/>
    <x v="3"/>
    <x v="1"/>
    <x v="2"/>
    <n v="11.386935000000001"/>
    <n v="84.5"/>
    <n v="3.3754064000000001"/>
    <n v="9"/>
    <n v="24"/>
    <n v="33"/>
    <x v="0"/>
  </r>
  <r>
    <n v="217"/>
    <x v="60"/>
    <x v="0"/>
    <x v="5"/>
    <x v="0"/>
    <x v="2"/>
    <x v="0"/>
    <x v="0"/>
    <n v="9.50868"/>
    <n v="63.083299999999994"/>
    <n v="12.374632"/>
    <n v="2"/>
    <n v="32"/>
    <n v="34"/>
    <x v="0"/>
  </r>
  <r>
    <n v="220"/>
    <x v="61"/>
    <x v="0"/>
    <x v="5"/>
    <x v="0"/>
    <x v="6"/>
    <x v="0"/>
    <x v="0"/>
    <n v="12.225014999999999"/>
    <n v="59.208300000000001"/>
    <n v="12.875725000000001"/>
    <n v="2"/>
    <n v="32"/>
    <n v="34"/>
    <x v="0"/>
  </r>
  <r>
    <n v="272"/>
    <x v="62"/>
    <x v="2"/>
    <x v="2"/>
    <x v="0"/>
    <x v="0"/>
    <x v="0"/>
    <x v="0"/>
    <n v="12.074985"/>
    <n v="69.916699999999992"/>
    <n v="11.583161"/>
    <n v="4"/>
    <n v="30"/>
    <n v="34"/>
    <x v="0"/>
  </r>
  <r>
    <n v="294"/>
    <x v="63"/>
    <x v="2"/>
    <x v="4"/>
    <x v="0"/>
    <x v="2"/>
    <x v="0"/>
    <x v="0"/>
    <n v="15.150015"/>
    <n v="57.416699999999999"/>
    <n v="14.833532"/>
    <n v="4"/>
    <n v="30"/>
    <n v="34"/>
    <x v="0"/>
  </r>
  <r>
    <n v="224"/>
    <x v="64"/>
    <x v="0"/>
    <x v="5"/>
    <x v="0"/>
    <x v="2"/>
    <x v="0"/>
    <x v="0"/>
    <n v="8.5090950000000003"/>
    <n v="41.5"/>
    <n v="8.4166070000000008"/>
    <n v="3"/>
    <n v="32"/>
    <n v="35"/>
    <x v="0"/>
  </r>
  <r>
    <n v="137"/>
    <x v="65"/>
    <x v="1"/>
    <x v="7"/>
    <x v="0"/>
    <x v="4"/>
    <x v="0"/>
    <x v="2"/>
    <n v="20.550014999999998"/>
    <n v="83.791700000000006"/>
    <n v="18.582718"/>
    <n v="3"/>
    <n v="33"/>
    <n v="36"/>
    <x v="0"/>
  </r>
  <r>
    <n v="233"/>
    <x v="66"/>
    <x v="0"/>
    <x v="5"/>
    <x v="0"/>
    <x v="3"/>
    <x v="1"/>
    <x v="0"/>
    <n v="12.834764999999999"/>
    <n v="77"/>
    <n v="16.666518"/>
    <n v="13"/>
    <n v="23"/>
    <n v="36"/>
    <x v="0"/>
  </r>
  <r>
    <n v="237"/>
    <x v="67"/>
    <x v="0"/>
    <x v="5"/>
    <x v="0"/>
    <x v="0"/>
    <x v="0"/>
    <x v="2"/>
    <n v="13.304340000000002"/>
    <n v="77.166700000000006"/>
    <n v="14.125810999999999"/>
    <n v="2"/>
    <n v="34"/>
    <n v="36"/>
    <x v="0"/>
  </r>
  <r>
    <n v="277"/>
    <x v="68"/>
    <x v="2"/>
    <x v="4"/>
    <x v="0"/>
    <x v="4"/>
    <x v="0"/>
    <x v="0"/>
    <n v="18.637515"/>
    <n v="71"/>
    <n v="13.792218"/>
    <n v="3"/>
    <n v="33"/>
    <n v="36"/>
    <x v="0"/>
  </r>
  <r>
    <n v="68"/>
    <x v="69"/>
    <x v="1"/>
    <x v="8"/>
    <x v="0"/>
    <x v="1"/>
    <x v="0"/>
    <x v="2"/>
    <n v="28.526084999999998"/>
    <n v="77.541700000000006"/>
    <n v="14.750050000000002"/>
    <n v="3"/>
    <n v="34"/>
    <n v="37"/>
    <x v="0"/>
  </r>
  <r>
    <n v="228"/>
    <x v="70"/>
    <x v="0"/>
    <x v="5"/>
    <x v="0"/>
    <x v="4"/>
    <x v="0"/>
    <x v="0"/>
    <n v="11.973915000000002"/>
    <n v="57.833300000000001"/>
    <n v="15.834043000000001"/>
    <n v="3"/>
    <n v="34"/>
    <n v="37"/>
    <x v="0"/>
  </r>
  <r>
    <n v="242"/>
    <x v="71"/>
    <x v="0"/>
    <x v="5"/>
    <x v="0"/>
    <x v="4"/>
    <x v="0"/>
    <x v="0"/>
    <n v="12.000014999999999"/>
    <n v="54.833299999999994"/>
    <n v="8.3755360000000003"/>
    <n v="3"/>
    <n v="34"/>
    <n v="37"/>
    <x v="0"/>
  </r>
  <r>
    <n v="265"/>
    <x v="72"/>
    <x v="2"/>
    <x v="2"/>
    <x v="0"/>
    <x v="0"/>
    <x v="0"/>
    <x v="2"/>
    <n v="12.824999999999999"/>
    <n v="90.208299999999994"/>
    <n v="8.5843749999999996"/>
    <n v="3"/>
    <n v="34"/>
    <n v="37"/>
    <x v="0"/>
  </r>
  <r>
    <n v="227"/>
    <x v="73"/>
    <x v="0"/>
    <x v="5"/>
    <x v="0"/>
    <x v="6"/>
    <x v="0"/>
    <x v="0"/>
    <n v="18.675000000000001"/>
    <n v="71.208300000000008"/>
    <n v="13.999917999999999"/>
    <n v="4"/>
    <n v="34"/>
    <n v="38"/>
    <x v="0"/>
  </r>
  <r>
    <n v="248"/>
    <x v="74"/>
    <x v="2"/>
    <x v="2"/>
    <x v="1"/>
    <x v="6"/>
    <x v="1"/>
    <x v="2"/>
    <n v="11.778255"/>
    <n v="79.041700000000006"/>
    <n v="14.250632"/>
    <n v="5"/>
    <n v="33"/>
    <n v="38"/>
    <x v="0"/>
  </r>
  <r>
    <n v="250"/>
    <x v="75"/>
    <x v="2"/>
    <x v="2"/>
    <x v="0"/>
    <x v="1"/>
    <x v="0"/>
    <x v="1"/>
    <n v="13.312485000000001"/>
    <n v="91.708299999999994"/>
    <n v="6.5003936000000007"/>
    <n v="4"/>
    <n v="34"/>
    <n v="38"/>
    <x v="0"/>
  </r>
  <r>
    <n v="202"/>
    <x v="76"/>
    <x v="0"/>
    <x v="0"/>
    <x v="0"/>
    <x v="0"/>
    <x v="0"/>
    <x v="2"/>
    <n v="11.775015"/>
    <n v="69.125"/>
    <n v="14.875406999999999"/>
    <n v="2"/>
    <n v="37"/>
    <n v="39"/>
    <x v="0"/>
  </r>
  <r>
    <n v="236"/>
    <x v="77"/>
    <x v="0"/>
    <x v="5"/>
    <x v="0"/>
    <x v="1"/>
    <x v="0"/>
    <x v="0"/>
    <n v="9.978254999999999"/>
    <n v="60.5"/>
    <n v="16.958235999999999"/>
    <n v="3"/>
    <n v="36"/>
    <n v="39"/>
    <x v="0"/>
  </r>
  <r>
    <n v="239"/>
    <x v="78"/>
    <x v="0"/>
    <x v="5"/>
    <x v="0"/>
    <x v="5"/>
    <x v="1"/>
    <x v="2"/>
    <n v="12.712499999999999"/>
    <n v="85"/>
    <n v="25.166338999999997"/>
    <n v="8"/>
    <n v="31"/>
    <n v="39"/>
    <x v="0"/>
  </r>
  <r>
    <n v="245"/>
    <x v="79"/>
    <x v="2"/>
    <x v="2"/>
    <x v="0"/>
    <x v="2"/>
    <x v="0"/>
    <x v="2"/>
    <n v="11.775015"/>
    <n v="72.708300000000008"/>
    <n v="9.3752429999999993"/>
    <n v="4"/>
    <n v="35"/>
    <n v="39"/>
    <x v="0"/>
  </r>
  <r>
    <n v="67"/>
    <x v="80"/>
    <x v="1"/>
    <x v="8"/>
    <x v="0"/>
    <x v="4"/>
    <x v="0"/>
    <x v="0"/>
    <n v="26.962515"/>
    <n v="42.083300000000001"/>
    <n v="8.0835499999999989"/>
    <n v="2"/>
    <n v="38"/>
    <n v="40"/>
    <x v="1"/>
  </r>
  <r>
    <n v="207"/>
    <x v="81"/>
    <x v="0"/>
    <x v="0"/>
    <x v="0"/>
    <x v="4"/>
    <x v="0"/>
    <x v="0"/>
    <n v="10.056510000000001"/>
    <n v="54.083300000000001"/>
    <n v="13.417285999999999"/>
    <n v="4"/>
    <n v="36"/>
    <n v="40"/>
    <x v="1"/>
  </r>
  <r>
    <n v="252"/>
    <x v="82"/>
    <x v="2"/>
    <x v="2"/>
    <x v="0"/>
    <x v="2"/>
    <x v="0"/>
    <x v="2"/>
    <n v="14.243490000000001"/>
    <n v="89.791699999999992"/>
    <n v="8.3333930000000009"/>
    <n v="5"/>
    <n v="35"/>
    <n v="40"/>
    <x v="1"/>
  </r>
  <r>
    <n v="269"/>
    <x v="83"/>
    <x v="2"/>
    <x v="2"/>
    <x v="0"/>
    <x v="6"/>
    <x v="0"/>
    <x v="2"/>
    <n v="11.895660000000001"/>
    <n v="84.833299999999994"/>
    <n v="7.4169"/>
    <n v="4"/>
    <n v="36"/>
    <n v="40"/>
    <x v="1"/>
  </r>
  <r>
    <n v="255"/>
    <x v="84"/>
    <x v="2"/>
    <x v="2"/>
    <x v="0"/>
    <x v="6"/>
    <x v="0"/>
    <x v="0"/>
    <n v="14.634765"/>
    <n v="69.217399999999998"/>
    <n v="5.9571710000000007"/>
    <n v="7"/>
    <n v="34"/>
    <n v="41"/>
    <x v="1"/>
  </r>
  <r>
    <n v="256"/>
    <x v="85"/>
    <x v="2"/>
    <x v="2"/>
    <x v="0"/>
    <x v="4"/>
    <x v="0"/>
    <x v="0"/>
    <n v="14.282594999999999"/>
    <n v="71.25"/>
    <n v="9.5008680000000005"/>
    <n v="6"/>
    <n v="35"/>
    <n v="41"/>
    <x v="1"/>
  </r>
  <r>
    <n v="284"/>
    <x v="86"/>
    <x v="2"/>
    <x v="4"/>
    <x v="0"/>
    <x v="4"/>
    <x v="0"/>
    <x v="2"/>
    <n v="22.612499999999997"/>
    <n v="80.875"/>
    <n v="9.5838140000000003"/>
    <n v="5"/>
    <n v="36"/>
    <n v="41"/>
    <x v="1"/>
  </r>
  <r>
    <n v="229"/>
    <x v="87"/>
    <x v="0"/>
    <x v="5"/>
    <x v="0"/>
    <x v="1"/>
    <x v="0"/>
    <x v="0"/>
    <n v="14.321745"/>
    <n v="57.541699999999999"/>
    <n v="9.6256889999999995"/>
    <n v="4"/>
    <n v="38"/>
    <n v="42"/>
    <x v="1"/>
  </r>
  <r>
    <n v="246"/>
    <x v="88"/>
    <x v="2"/>
    <x v="2"/>
    <x v="0"/>
    <x v="5"/>
    <x v="1"/>
    <x v="0"/>
    <n v="17.287514999999999"/>
    <n v="71.666700000000006"/>
    <n v="12.416774999999999"/>
    <n v="13"/>
    <n v="29"/>
    <n v="42"/>
    <x v="1"/>
  </r>
  <r>
    <n v="249"/>
    <x v="89"/>
    <x v="2"/>
    <x v="2"/>
    <x v="0"/>
    <x v="4"/>
    <x v="0"/>
    <x v="1"/>
    <n v="13.1625"/>
    <n v="88.695700000000002"/>
    <n v="23.044180999999998"/>
    <n v="6"/>
    <n v="36"/>
    <n v="42"/>
    <x v="1"/>
  </r>
  <r>
    <n v="253"/>
    <x v="90"/>
    <x v="2"/>
    <x v="2"/>
    <x v="0"/>
    <x v="5"/>
    <x v="1"/>
    <x v="0"/>
    <n v="14.812514999999999"/>
    <n v="75.375"/>
    <n v="10.291736"/>
    <n v="14"/>
    <n v="28"/>
    <n v="42"/>
    <x v="1"/>
  </r>
  <r>
    <n v="262"/>
    <x v="91"/>
    <x v="2"/>
    <x v="2"/>
    <x v="0"/>
    <x v="6"/>
    <x v="0"/>
    <x v="2"/>
    <n v="19.369575000000001"/>
    <n v="69"/>
    <n v="10.166713999999999"/>
    <n v="8"/>
    <n v="34"/>
    <n v="42"/>
    <x v="1"/>
  </r>
  <r>
    <n v="264"/>
    <x v="92"/>
    <x v="2"/>
    <x v="2"/>
    <x v="0"/>
    <x v="1"/>
    <x v="0"/>
    <x v="2"/>
    <n v="15.613065000000001"/>
    <n v="90"/>
    <n v="6.4590813999999996"/>
    <n v="4"/>
    <n v="38"/>
    <n v="42"/>
    <x v="1"/>
  </r>
  <r>
    <n v="243"/>
    <x v="93"/>
    <x v="0"/>
    <x v="5"/>
    <x v="0"/>
    <x v="1"/>
    <x v="0"/>
    <x v="0"/>
    <n v="15.075000000000001"/>
    <n v="59.791700000000006"/>
    <n v="5.5833310999999997"/>
    <n v="5"/>
    <n v="38"/>
    <n v="43"/>
    <x v="1"/>
  </r>
  <r>
    <n v="257"/>
    <x v="94"/>
    <x v="2"/>
    <x v="2"/>
    <x v="0"/>
    <x v="1"/>
    <x v="0"/>
    <x v="0"/>
    <n v="16.434765000000002"/>
    <n v="69.708299999999994"/>
    <n v="11.209099999999999"/>
    <n v="6"/>
    <n v="37"/>
    <n v="43"/>
    <x v="1"/>
  </r>
  <r>
    <n v="285"/>
    <x v="95"/>
    <x v="2"/>
    <x v="4"/>
    <x v="0"/>
    <x v="1"/>
    <x v="0"/>
    <x v="1"/>
    <n v="18.5625"/>
    <n v="90.625"/>
    <n v="16.626049999999999"/>
    <n v="4"/>
    <n v="39"/>
    <n v="43"/>
    <x v="1"/>
  </r>
  <r>
    <n v="174"/>
    <x v="96"/>
    <x v="0"/>
    <x v="3"/>
    <x v="0"/>
    <x v="0"/>
    <x v="0"/>
    <x v="2"/>
    <n v="16.799985"/>
    <n v="70.333299999999994"/>
    <n v="15.999867999999999"/>
    <n v="3"/>
    <n v="41"/>
    <n v="44"/>
    <x v="1"/>
  </r>
  <r>
    <n v="266"/>
    <x v="97"/>
    <x v="2"/>
    <x v="2"/>
    <x v="0"/>
    <x v="2"/>
    <x v="0"/>
    <x v="2"/>
    <n v="11.887514999999999"/>
    <n v="97.25"/>
    <n v="5.2505689000000002"/>
    <n v="6"/>
    <n v="38"/>
    <n v="44"/>
    <x v="1"/>
  </r>
  <r>
    <n v="273"/>
    <x v="98"/>
    <x v="2"/>
    <x v="2"/>
    <x v="0"/>
    <x v="2"/>
    <x v="0"/>
    <x v="0"/>
    <n v="13.5"/>
    <n v="64.75"/>
    <n v="13.833824999999999"/>
    <n v="6"/>
    <n v="38"/>
    <n v="44"/>
    <x v="1"/>
  </r>
  <r>
    <n v="274"/>
    <x v="99"/>
    <x v="2"/>
    <x v="4"/>
    <x v="0"/>
    <x v="5"/>
    <x v="1"/>
    <x v="2"/>
    <n v="14.175000000000001"/>
    <n v="75.375"/>
    <n v="19.583832000000001"/>
    <n v="18"/>
    <n v="27"/>
    <n v="45"/>
    <x v="1"/>
  </r>
  <r>
    <n v="179"/>
    <x v="100"/>
    <x v="0"/>
    <x v="3"/>
    <x v="0"/>
    <x v="4"/>
    <x v="0"/>
    <x v="0"/>
    <n v="13.460850000000001"/>
    <n v="63.416700000000006"/>
    <n v="9.6669609999999988"/>
    <n v="5"/>
    <n v="41"/>
    <n v="46"/>
    <x v="1"/>
  </r>
  <r>
    <n v="83"/>
    <x v="101"/>
    <x v="1"/>
    <x v="8"/>
    <x v="0"/>
    <x v="0"/>
    <x v="0"/>
    <x v="2"/>
    <n v="27.412514999999999"/>
    <n v="80.583300000000008"/>
    <n v="16.333729000000002"/>
    <n v="5"/>
    <n v="43"/>
    <n v="48"/>
    <x v="1"/>
  </r>
  <r>
    <n v="102"/>
    <x v="102"/>
    <x v="1"/>
    <x v="1"/>
    <x v="0"/>
    <x v="4"/>
    <x v="0"/>
    <x v="2"/>
    <n v="24.449984999999998"/>
    <n v="73.916700000000006"/>
    <n v="18.416892999999998"/>
    <n v="4"/>
    <n v="44"/>
    <n v="48"/>
    <x v="1"/>
  </r>
  <r>
    <n v="109"/>
    <x v="103"/>
    <x v="1"/>
    <x v="1"/>
    <x v="0"/>
    <x v="4"/>
    <x v="0"/>
    <x v="2"/>
    <n v="24.378254999999999"/>
    <n v="66.583299999999994"/>
    <n v="10.584057"/>
    <n v="5"/>
    <n v="43"/>
    <n v="48"/>
    <x v="1"/>
  </r>
  <r>
    <n v="169"/>
    <x v="104"/>
    <x v="0"/>
    <x v="3"/>
    <x v="0"/>
    <x v="5"/>
    <x v="1"/>
    <x v="0"/>
    <n v="10.724985"/>
    <n v="67.041700000000006"/>
    <n v="8.0003360000000008"/>
    <n v="4"/>
    <n v="44"/>
    <n v="48"/>
    <x v="1"/>
  </r>
  <r>
    <n v="180"/>
    <x v="105"/>
    <x v="0"/>
    <x v="3"/>
    <x v="0"/>
    <x v="1"/>
    <x v="0"/>
    <x v="0"/>
    <n v="11.174985"/>
    <n v="49.791699999999999"/>
    <n v="17.542007000000002"/>
    <n v="5"/>
    <n v="43"/>
    <n v="48"/>
    <x v="1"/>
  </r>
  <r>
    <n v="240"/>
    <x v="106"/>
    <x v="0"/>
    <x v="5"/>
    <x v="0"/>
    <x v="3"/>
    <x v="1"/>
    <x v="0"/>
    <n v="15.45651"/>
    <n v="56.176499999999997"/>
    <n v="20.412153"/>
    <n v="14"/>
    <n v="34"/>
    <n v="48"/>
    <x v="1"/>
  </r>
  <r>
    <n v="270"/>
    <x v="107"/>
    <x v="2"/>
    <x v="2"/>
    <x v="0"/>
    <x v="4"/>
    <x v="0"/>
    <x v="2"/>
    <n v="13.612499999999999"/>
    <n v="88.541700000000006"/>
    <n v="7.9174569999999997"/>
    <n v="6"/>
    <n v="42"/>
    <n v="48"/>
    <x v="1"/>
  </r>
  <r>
    <n v="91"/>
    <x v="108"/>
    <x v="1"/>
    <x v="1"/>
    <x v="0"/>
    <x v="2"/>
    <x v="0"/>
    <x v="2"/>
    <n v="18.45"/>
    <n v="68.625"/>
    <n v="17.333435999999999"/>
    <n v="10"/>
    <n v="39"/>
    <n v="49"/>
    <x v="1"/>
  </r>
  <r>
    <n v="182"/>
    <x v="109"/>
    <x v="0"/>
    <x v="0"/>
    <x v="0"/>
    <x v="2"/>
    <x v="0"/>
    <x v="0"/>
    <n v="18.45"/>
    <n v="39.625"/>
    <n v="6.8747360000000004"/>
    <n v="13"/>
    <n v="36"/>
    <n v="49"/>
    <x v="1"/>
  </r>
  <r>
    <n v="230"/>
    <x v="110"/>
    <x v="0"/>
    <x v="5"/>
    <x v="0"/>
    <x v="0"/>
    <x v="0"/>
    <x v="0"/>
    <n v="19.612485"/>
    <n v="65.458300000000008"/>
    <n v="15.624936"/>
    <n v="5"/>
    <n v="44"/>
    <n v="49"/>
    <x v="1"/>
  </r>
  <r>
    <n v="254"/>
    <x v="111"/>
    <x v="2"/>
    <x v="2"/>
    <x v="0"/>
    <x v="3"/>
    <x v="1"/>
    <x v="0"/>
    <n v="17.295660000000002"/>
    <n v="71.375"/>
    <n v="7.7086180000000004"/>
    <n v="20"/>
    <n v="29"/>
    <n v="49"/>
    <x v="1"/>
  </r>
  <r>
    <n v="261"/>
    <x v="112"/>
    <x v="2"/>
    <x v="2"/>
    <x v="0"/>
    <x v="3"/>
    <x v="1"/>
    <x v="0"/>
    <n v="14.9625"/>
    <n v="69.5"/>
    <n v="11.958361"/>
    <n v="21"/>
    <n v="28"/>
    <n v="49"/>
    <x v="1"/>
  </r>
  <r>
    <n v="267"/>
    <x v="113"/>
    <x v="2"/>
    <x v="2"/>
    <x v="0"/>
    <x v="5"/>
    <x v="1"/>
    <x v="2"/>
    <n v="11.962484999999999"/>
    <n v="86.25"/>
    <n v="5.2516810999999999"/>
    <n v="20"/>
    <n v="30"/>
    <n v="50"/>
    <x v="1"/>
  </r>
  <r>
    <n v="281"/>
    <x v="114"/>
    <x v="2"/>
    <x v="4"/>
    <x v="0"/>
    <x v="5"/>
    <x v="1"/>
    <x v="0"/>
    <n v="15.412500000000001"/>
    <n v="70.125"/>
    <n v="3.0420813999999998"/>
    <n v="18"/>
    <n v="32"/>
    <n v="50"/>
    <x v="1"/>
  </r>
  <r>
    <n v="144"/>
    <x v="115"/>
    <x v="1"/>
    <x v="7"/>
    <x v="0"/>
    <x v="4"/>
    <x v="0"/>
    <x v="2"/>
    <n v="19.837484999999997"/>
    <n v="74.083299999999994"/>
    <n v="13.875164"/>
    <n v="2"/>
    <n v="49"/>
    <n v="51"/>
    <x v="1"/>
  </r>
  <r>
    <n v="157"/>
    <x v="116"/>
    <x v="0"/>
    <x v="3"/>
    <x v="0"/>
    <x v="6"/>
    <x v="0"/>
    <x v="0"/>
    <n v="20.8125"/>
    <n v="60"/>
    <n v="8.1670320000000007"/>
    <n v="3"/>
    <n v="49"/>
    <n v="52"/>
    <x v="1"/>
  </r>
  <r>
    <n v="117"/>
    <x v="117"/>
    <x v="1"/>
    <x v="1"/>
    <x v="0"/>
    <x v="1"/>
    <x v="0"/>
    <x v="2"/>
    <n v="21.15"/>
    <n v="83.541699999999992"/>
    <n v="20.917399999999997"/>
    <n v="5"/>
    <n v="48"/>
    <n v="53"/>
    <x v="1"/>
  </r>
  <r>
    <n v="172"/>
    <x v="118"/>
    <x v="0"/>
    <x v="3"/>
    <x v="0"/>
    <x v="4"/>
    <x v="0"/>
    <x v="2"/>
    <n v="19.274985000000001"/>
    <n v="77.041700000000006"/>
    <n v="11.458675000000001"/>
    <n v="2"/>
    <n v="51"/>
    <n v="53"/>
    <x v="1"/>
  </r>
  <r>
    <n v="306"/>
    <x v="119"/>
    <x v="2"/>
    <x v="9"/>
    <x v="0"/>
    <x v="1"/>
    <x v="0"/>
    <x v="0"/>
    <n v="18.637515"/>
    <n v="71.875"/>
    <n v="5.5001439000000003"/>
    <n v="5"/>
    <n v="48"/>
    <n v="53"/>
    <x v="1"/>
  </r>
  <r>
    <n v="66"/>
    <x v="120"/>
    <x v="1"/>
    <x v="8"/>
    <x v="0"/>
    <x v="6"/>
    <x v="0"/>
    <x v="0"/>
    <n v="24.3"/>
    <n v="55.130400000000002"/>
    <n v="22.870584000000001"/>
    <n v="4"/>
    <n v="50"/>
    <n v="54"/>
    <x v="1"/>
  </r>
  <r>
    <n v="258"/>
    <x v="121"/>
    <x v="2"/>
    <x v="2"/>
    <x v="0"/>
    <x v="0"/>
    <x v="0"/>
    <x v="2"/>
    <n v="18.675000000000001"/>
    <n v="70.916700000000006"/>
    <n v="18.166782000000001"/>
    <n v="8"/>
    <n v="46"/>
    <n v="54"/>
    <x v="1"/>
  </r>
  <r>
    <n v="263"/>
    <x v="122"/>
    <x v="2"/>
    <x v="2"/>
    <x v="0"/>
    <x v="4"/>
    <x v="0"/>
    <x v="2"/>
    <n v="19.875014999999998"/>
    <n v="88.125"/>
    <n v="9.041917999999999"/>
    <n v="9"/>
    <n v="45"/>
    <n v="54"/>
    <x v="1"/>
  </r>
  <r>
    <n v="142"/>
    <x v="123"/>
    <x v="1"/>
    <x v="7"/>
    <x v="0"/>
    <x v="3"/>
    <x v="1"/>
    <x v="0"/>
    <n v="20.137499999999999"/>
    <n v="74.958299999999994"/>
    <n v="9.9165360000000007"/>
    <n v="4"/>
    <n v="51"/>
    <n v="55"/>
    <x v="1"/>
  </r>
  <r>
    <n v="162"/>
    <x v="124"/>
    <x v="0"/>
    <x v="3"/>
    <x v="0"/>
    <x v="5"/>
    <x v="1"/>
    <x v="0"/>
    <n v="9.9374850000000006"/>
    <n v="65.458300000000008"/>
    <n v="10.374949999999998"/>
    <n v="8"/>
    <n v="47"/>
    <n v="55"/>
    <x v="1"/>
  </r>
  <r>
    <n v="168"/>
    <x v="125"/>
    <x v="0"/>
    <x v="3"/>
    <x v="0"/>
    <x v="2"/>
    <x v="0"/>
    <x v="0"/>
    <n v="11.624984999999999"/>
    <n v="73.583299999999994"/>
    <n v="9.5829429999999984"/>
    <n v="6"/>
    <n v="49"/>
    <n v="55"/>
    <x v="1"/>
  </r>
  <r>
    <n v="146"/>
    <x v="126"/>
    <x v="1"/>
    <x v="7"/>
    <x v="0"/>
    <x v="0"/>
    <x v="0"/>
    <x v="0"/>
    <n v="16.875"/>
    <n v="67.75"/>
    <n v="13.376014"/>
    <n v="22"/>
    <n v="34"/>
    <n v="56"/>
    <x v="1"/>
  </r>
  <r>
    <n v="278"/>
    <x v="127"/>
    <x v="2"/>
    <x v="4"/>
    <x v="0"/>
    <x v="1"/>
    <x v="0"/>
    <x v="0"/>
    <n v="17.587485000000001"/>
    <n v="64.791699999999992"/>
    <n v="11.87575"/>
    <n v="8"/>
    <n v="48"/>
    <n v="56"/>
    <x v="1"/>
  </r>
  <r>
    <n v="92"/>
    <x v="128"/>
    <x v="1"/>
    <x v="1"/>
    <x v="0"/>
    <x v="5"/>
    <x v="1"/>
    <x v="2"/>
    <n v="16.050015000000002"/>
    <n v="65.375"/>
    <n v="13.208781999999999"/>
    <n v="12"/>
    <n v="46"/>
    <n v="58"/>
    <x v="1"/>
  </r>
  <r>
    <n v="103"/>
    <x v="129"/>
    <x v="1"/>
    <x v="1"/>
    <x v="0"/>
    <x v="1"/>
    <x v="0"/>
    <x v="2"/>
    <n v="26.512515"/>
    <n v="81.916699999999992"/>
    <n v="16.791338999999997"/>
    <n v="6"/>
    <n v="52"/>
    <n v="58"/>
    <x v="1"/>
  </r>
  <r>
    <n v="150"/>
    <x v="130"/>
    <x v="1"/>
    <x v="7"/>
    <x v="1"/>
    <x v="6"/>
    <x v="1"/>
    <x v="0"/>
    <n v="20.624984999999999"/>
    <n v="68.5"/>
    <n v="8.7920750000000005"/>
    <n v="2"/>
    <n v="56"/>
    <n v="58"/>
    <x v="1"/>
  </r>
  <r>
    <n v="282"/>
    <x v="131"/>
    <x v="2"/>
    <x v="4"/>
    <x v="0"/>
    <x v="3"/>
    <x v="1"/>
    <x v="0"/>
    <n v="19.200015"/>
    <n v="72.75"/>
    <n v="4.2511500000000009"/>
    <n v="24"/>
    <n v="34"/>
    <n v="58"/>
    <x v="1"/>
  </r>
  <r>
    <n v="131"/>
    <x v="132"/>
    <x v="1"/>
    <x v="7"/>
    <x v="0"/>
    <x v="1"/>
    <x v="0"/>
    <x v="0"/>
    <n v="17.100000000000001"/>
    <n v="63.291699999999992"/>
    <n v="8.0830140000000004"/>
    <n v="4"/>
    <n v="55"/>
    <n v="59"/>
    <x v="1"/>
  </r>
  <r>
    <n v="231"/>
    <x v="133"/>
    <x v="0"/>
    <x v="5"/>
    <x v="0"/>
    <x v="2"/>
    <x v="0"/>
    <x v="2"/>
    <n v="23.475014999999999"/>
    <n v="72.291700000000006"/>
    <n v="9.3336359999999985"/>
    <n v="12"/>
    <n v="47"/>
    <n v="59"/>
    <x v="1"/>
  </r>
  <r>
    <n v="181"/>
    <x v="134"/>
    <x v="0"/>
    <x v="3"/>
    <x v="0"/>
    <x v="0"/>
    <x v="0"/>
    <x v="0"/>
    <n v="14.025015000000002"/>
    <n v="43.416700000000006"/>
    <n v="12.415904000000001"/>
    <n v="10"/>
    <n v="50"/>
    <n v="60"/>
    <x v="1"/>
  </r>
  <r>
    <n v="138"/>
    <x v="135"/>
    <x v="1"/>
    <x v="7"/>
    <x v="0"/>
    <x v="1"/>
    <x v="0"/>
    <x v="2"/>
    <n v="15.375014999999999"/>
    <n v="87"/>
    <n v="13.499964"/>
    <n v="3"/>
    <n v="58"/>
    <n v="61"/>
    <x v="1"/>
  </r>
  <r>
    <n v="147"/>
    <x v="136"/>
    <x v="1"/>
    <x v="7"/>
    <x v="0"/>
    <x v="2"/>
    <x v="0"/>
    <x v="0"/>
    <n v="16.912485"/>
    <n v="65.375"/>
    <n v="16.125492999999999"/>
    <n v="25"/>
    <n v="36"/>
    <n v="61"/>
    <x v="1"/>
  </r>
  <r>
    <n v="148"/>
    <x v="137"/>
    <x v="1"/>
    <x v="7"/>
    <x v="0"/>
    <x v="5"/>
    <x v="1"/>
    <x v="0"/>
    <n v="20.662514999999999"/>
    <n v="72.958299999999994"/>
    <n v="15.416164"/>
    <n v="16"/>
    <n v="45"/>
    <n v="61"/>
    <x v="1"/>
  </r>
  <r>
    <n v="173"/>
    <x v="138"/>
    <x v="0"/>
    <x v="3"/>
    <x v="0"/>
    <x v="1"/>
    <x v="0"/>
    <x v="0"/>
    <n v="19.049985"/>
    <n v="70.75"/>
    <n v="11.541554"/>
    <n v="5"/>
    <n v="57"/>
    <n v="62"/>
    <x v="1"/>
  </r>
  <r>
    <n v="260"/>
    <x v="139"/>
    <x v="2"/>
    <x v="2"/>
    <x v="0"/>
    <x v="5"/>
    <x v="1"/>
    <x v="2"/>
    <n v="21.262499999999999"/>
    <n v="71.833299999999994"/>
    <n v="12.708225000000001"/>
    <n v="28"/>
    <n v="34"/>
    <n v="62"/>
    <x v="1"/>
  </r>
  <r>
    <n v="279"/>
    <x v="140"/>
    <x v="2"/>
    <x v="4"/>
    <x v="0"/>
    <x v="0"/>
    <x v="0"/>
    <x v="0"/>
    <n v="19.6875"/>
    <n v="62.083299999999994"/>
    <n v="9.041917999999999"/>
    <n v="11"/>
    <n v="51"/>
    <n v="62"/>
    <x v="1"/>
  </r>
  <r>
    <n v="276"/>
    <x v="141"/>
    <x v="2"/>
    <x v="4"/>
    <x v="0"/>
    <x v="6"/>
    <x v="0"/>
    <x v="2"/>
    <n v="25.799985"/>
    <n v="76.083299999999994"/>
    <n v="5.5841685999999999"/>
    <n v="15"/>
    <n v="48"/>
    <n v="63"/>
    <x v="1"/>
  </r>
  <r>
    <n v="287"/>
    <x v="142"/>
    <x v="2"/>
    <x v="4"/>
    <x v="0"/>
    <x v="2"/>
    <x v="0"/>
    <x v="2"/>
    <n v="20.100014999999999"/>
    <n v="71.625"/>
    <n v="15.000161"/>
    <n v="13"/>
    <n v="50"/>
    <n v="63"/>
    <x v="1"/>
  </r>
  <r>
    <n v="161"/>
    <x v="143"/>
    <x v="0"/>
    <x v="3"/>
    <x v="0"/>
    <x v="2"/>
    <x v="0"/>
    <x v="0"/>
    <n v="12.375000000000002"/>
    <n v="60.5"/>
    <n v="9.4171180000000003"/>
    <n v="10"/>
    <n v="54"/>
    <n v="64"/>
    <x v="1"/>
  </r>
  <r>
    <n v="291"/>
    <x v="144"/>
    <x v="2"/>
    <x v="4"/>
    <x v="0"/>
    <x v="4"/>
    <x v="0"/>
    <x v="2"/>
    <n v="22.762484999999998"/>
    <n v="70.166700000000006"/>
    <n v="7.3758290000000004"/>
    <n v="8"/>
    <n v="56"/>
    <n v="64"/>
    <x v="1"/>
  </r>
  <r>
    <n v="259"/>
    <x v="145"/>
    <x v="2"/>
    <x v="2"/>
    <x v="0"/>
    <x v="2"/>
    <x v="0"/>
    <x v="2"/>
    <n v="24.3"/>
    <n v="59.041699999999999"/>
    <n v="11.000261"/>
    <n v="18"/>
    <n v="47"/>
    <n v="65"/>
    <x v="1"/>
  </r>
  <r>
    <n v="275"/>
    <x v="146"/>
    <x v="2"/>
    <x v="4"/>
    <x v="0"/>
    <x v="3"/>
    <x v="1"/>
    <x v="2"/>
    <n v="17.024984999999997"/>
    <n v="79.166700000000006"/>
    <n v="14.874870999999999"/>
    <n v="33"/>
    <n v="32"/>
    <n v="65"/>
    <x v="1"/>
  </r>
  <r>
    <n v="21"/>
    <x v="147"/>
    <x v="3"/>
    <x v="10"/>
    <x v="0"/>
    <x v="2"/>
    <x v="0"/>
    <x v="0"/>
    <n v="38.212515000000003"/>
    <n v="45.708300000000001"/>
    <n v="23.667214000000001"/>
    <n v="20"/>
    <n v="46"/>
    <n v="66"/>
    <x v="1"/>
  </r>
  <r>
    <n v="159"/>
    <x v="148"/>
    <x v="0"/>
    <x v="3"/>
    <x v="0"/>
    <x v="1"/>
    <x v="0"/>
    <x v="0"/>
    <n v="11.962484999999999"/>
    <n v="62.208300000000008"/>
    <n v="9.1667389999999997"/>
    <n v="3"/>
    <n v="63"/>
    <n v="66"/>
    <x v="1"/>
  </r>
  <r>
    <n v="163"/>
    <x v="149"/>
    <x v="0"/>
    <x v="3"/>
    <x v="0"/>
    <x v="3"/>
    <x v="1"/>
    <x v="0"/>
    <n v="10.724985"/>
    <n v="74.791700000000006"/>
    <n v="10.958988999999999"/>
    <n v="3"/>
    <n v="63"/>
    <n v="66"/>
    <x v="1"/>
  </r>
  <r>
    <n v="286"/>
    <x v="150"/>
    <x v="2"/>
    <x v="4"/>
    <x v="0"/>
    <x v="0"/>
    <x v="0"/>
    <x v="2"/>
    <n v="21.037500000000001"/>
    <n v="89.666700000000006"/>
    <n v="9.4997290000000003"/>
    <n v="11"/>
    <n v="55"/>
    <n v="66"/>
    <x v="1"/>
  </r>
  <r>
    <n v="65"/>
    <x v="151"/>
    <x v="1"/>
    <x v="8"/>
    <x v="0"/>
    <x v="3"/>
    <x v="1"/>
    <x v="2"/>
    <n v="30.299985"/>
    <n v="94.826099999999997"/>
    <n v="23.000229000000001"/>
    <n v="25"/>
    <n v="42"/>
    <n v="67"/>
    <x v="1"/>
  </r>
  <r>
    <n v="120"/>
    <x v="152"/>
    <x v="1"/>
    <x v="1"/>
    <x v="0"/>
    <x v="5"/>
    <x v="1"/>
    <x v="0"/>
    <n v="14.362514999999998"/>
    <n v="50.333300000000001"/>
    <n v="15.750025000000001"/>
    <n v="18"/>
    <n v="49"/>
    <n v="67"/>
    <x v="1"/>
  </r>
  <r>
    <n v="283"/>
    <x v="153"/>
    <x v="2"/>
    <x v="4"/>
    <x v="1"/>
    <x v="6"/>
    <x v="1"/>
    <x v="0"/>
    <n v="26.80434"/>
    <n v="73.375"/>
    <n v="2.8343813999999998"/>
    <n v="17"/>
    <n v="50"/>
    <n v="67"/>
    <x v="1"/>
  </r>
  <r>
    <n v="303"/>
    <x v="154"/>
    <x v="2"/>
    <x v="4"/>
    <x v="0"/>
    <x v="3"/>
    <x v="1"/>
    <x v="0"/>
    <n v="20.325015"/>
    <n v="62.375"/>
    <n v="11.833339"/>
    <n v="23"/>
    <n v="44"/>
    <n v="67"/>
    <x v="1"/>
  </r>
  <r>
    <n v="20"/>
    <x v="155"/>
    <x v="3"/>
    <x v="10"/>
    <x v="0"/>
    <x v="0"/>
    <x v="0"/>
    <x v="2"/>
    <n v="38.174985"/>
    <n v="53.833299999999994"/>
    <n v="13.125567999999999"/>
    <n v="11"/>
    <n v="57"/>
    <n v="68"/>
    <x v="1"/>
  </r>
  <r>
    <n v="132"/>
    <x v="156"/>
    <x v="1"/>
    <x v="7"/>
    <x v="0"/>
    <x v="0"/>
    <x v="0"/>
    <x v="0"/>
    <n v="14.587515"/>
    <n v="74.75"/>
    <n v="12.707689"/>
    <n v="9"/>
    <n v="59"/>
    <n v="68"/>
    <x v="1"/>
  </r>
  <r>
    <n v="139"/>
    <x v="157"/>
    <x v="1"/>
    <x v="7"/>
    <x v="0"/>
    <x v="0"/>
    <x v="0"/>
    <x v="2"/>
    <n v="12.337515"/>
    <n v="82.958299999999994"/>
    <n v="7.2502710000000006"/>
    <n v="5"/>
    <n v="63"/>
    <n v="68"/>
    <x v="1"/>
  </r>
  <r>
    <n v="170"/>
    <x v="158"/>
    <x v="0"/>
    <x v="3"/>
    <x v="0"/>
    <x v="3"/>
    <x v="1"/>
    <x v="2"/>
    <n v="12.450015"/>
    <n v="66.666700000000006"/>
    <n v="6.8339999999999996"/>
    <n v="5"/>
    <n v="63"/>
    <n v="68"/>
    <x v="1"/>
  </r>
  <r>
    <n v="290"/>
    <x v="159"/>
    <x v="2"/>
    <x v="4"/>
    <x v="0"/>
    <x v="6"/>
    <x v="0"/>
    <x v="0"/>
    <n v="23.062499999999996"/>
    <n v="57.958299999999994"/>
    <n v="11.750393000000001"/>
    <n v="13"/>
    <n v="55"/>
    <n v="68"/>
    <x v="1"/>
  </r>
  <r>
    <n v="316"/>
    <x v="160"/>
    <x v="2"/>
    <x v="9"/>
    <x v="0"/>
    <x v="5"/>
    <x v="1"/>
    <x v="0"/>
    <n v="23.437484999999999"/>
    <n v="55.291699999999999"/>
    <n v="14.208154"/>
    <n v="18"/>
    <n v="50"/>
    <n v="68"/>
    <x v="1"/>
  </r>
  <r>
    <n v="155"/>
    <x v="161"/>
    <x v="0"/>
    <x v="3"/>
    <x v="0"/>
    <x v="5"/>
    <x v="1"/>
    <x v="0"/>
    <n v="14.887485"/>
    <n v="45.625"/>
    <n v="8.2505140000000008"/>
    <n v="13"/>
    <n v="57"/>
    <n v="70"/>
    <x v="2"/>
  </r>
  <r>
    <n v="164"/>
    <x v="162"/>
    <x v="0"/>
    <x v="3"/>
    <x v="0"/>
    <x v="6"/>
    <x v="0"/>
    <x v="0"/>
    <n v="12.712499999999999"/>
    <n v="49.458300000000001"/>
    <n v="20.458449999999999"/>
    <n v="3"/>
    <n v="67"/>
    <n v="70"/>
    <x v="2"/>
  </r>
  <r>
    <n v="32"/>
    <x v="163"/>
    <x v="3"/>
    <x v="6"/>
    <x v="0"/>
    <x v="4"/>
    <x v="0"/>
    <x v="2"/>
    <n v="32.925014999999995"/>
    <n v="82.956500000000005"/>
    <n v="3.5652710000000001"/>
    <n v="9"/>
    <n v="62"/>
    <n v="71"/>
    <x v="2"/>
  </r>
  <r>
    <n v="54"/>
    <x v="164"/>
    <x v="3"/>
    <x v="6"/>
    <x v="0"/>
    <x v="1"/>
    <x v="0"/>
    <x v="0"/>
    <n v="30.787514999999999"/>
    <n v="42.304299999999998"/>
    <n v="6.3055710000000005"/>
    <n v="9"/>
    <n v="62"/>
    <n v="71"/>
    <x v="2"/>
  </r>
  <r>
    <n v="69"/>
    <x v="165"/>
    <x v="1"/>
    <x v="8"/>
    <x v="0"/>
    <x v="0"/>
    <x v="0"/>
    <x v="1"/>
    <n v="29.25"/>
    <n v="0"/>
    <n v="17.545759"/>
    <n v="8"/>
    <n v="63"/>
    <n v="71"/>
    <x v="2"/>
  </r>
  <r>
    <n v="141"/>
    <x v="166"/>
    <x v="1"/>
    <x v="7"/>
    <x v="0"/>
    <x v="5"/>
    <x v="1"/>
    <x v="0"/>
    <n v="20.849985"/>
    <n v="62.666699999999999"/>
    <n v="8.0835499999999989"/>
    <n v="16"/>
    <n v="55"/>
    <n v="71"/>
    <x v="2"/>
  </r>
  <r>
    <n v="22"/>
    <x v="167"/>
    <x v="3"/>
    <x v="10"/>
    <x v="0"/>
    <x v="5"/>
    <x v="1"/>
    <x v="0"/>
    <n v="37.35"/>
    <n v="40"/>
    <n v="11.521990000000001"/>
    <n v="21"/>
    <n v="51"/>
    <n v="72"/>
    <x v="2"/>
  </r>
  <r>
    <n v="93"/>
    <x v="168"/>
    <x v="1"/>
    <x v="1"/>
    <x v="0"/>
    <x v="3"/>
    <x v="1"/>
    <x v="0"/>
    <n v="17.287514999999999"/>
    <n v="48"/>
    <n v="12.208271000000002"/>
    <n v="7"/>
    <n v="65"/>
    <n v="72"/>
    <x v="2"/>
  </r>
  <r>
    <n v="154"/>
    <x v="169"/>
    <x v="0"/>
    <x v="3"/>
    <x v="0"/>
    <x v="2"/>
    <x v="0"/>
    <x v="0"/>
    <n v="13.462515000000002"/>
    <n v="35.416699999999999"/>
    <n v="16.959106999999999"/>
    <n v="14"/>
    <n v="58"/>
    <n v="72"/>
    <x v="2"/>
  </r>
  <r>
    <n v="160"/>
    <x v="170"/>
    <x v="0"/>
    <x v="3"/>
    <x v="0"/>
    <x v="0"/>
    <x v="0"/>
    <x v="2"/>
    <n v="13.087485000000001"/>
    <n v="56.833299999999994"/>
    <n v="10.042161"/>
    <n v="5"/>
    <n v="67"/>
    <n v="72"/>
    <x v="2"/>
  </r>
  <r>
    <n v="167"/>
    <x v="171"/>
    <x v="0"/>
    <x v="3"/>
    <x v="0"/>
    <x v="0"/>
    <x v="0"/>
    <x v="2"/>
    <n v="16.875"/>
    <n v="68.833299999999994"/>
    <n v="13.833556999999999"/>
    <n v="4"/>
    <n v="68"/>
    <n v="72"/>
    <x v="2"/>
  </r>
  <r>
    <n v="80"/>
    <x v="172"/>
    <x v="1"/>
    <x v="8"/>
    <x v="0"/>
    <x v="6"/>
    <x v="0"/>
    <x v="2"/>
    <n v="25.275015"/>
    <n v="73.739100000000008"/>
    <n v="19.348461"/>
    <n v="9"/>
    <n v="64"/>
    <n v="73"/>
    <x v="2"/>
  </r>
  <r>
    <n v="104"/>
    <x v="173"/>
    <x v="1"/>
    <x v="1"/>
    <x v="0"/>
    <x v="0"/>
    <x v="0"/>
    <x v="0"/>
    <n v="24.787485"/>
    <n v="54.041700000000006"/>
    <n v="7.4169"/>
    <n v="11"/>
    <n v="62"/>
    <n v="73"/>
    <x v="2"/>
  </r>
  <r>
    <n v="121"/>
    <x v="174"/>
    <x v="1"/>
    <x v="7"/>
    <x v="0"/>
    <x v="3"/>
    <x v="1"/>
    <x v="2"/>
    <n v="15.3"/>
    <n v="76.208299999999994"/>
    <n v="7.125718"/>
    <n v="7"/>
    <n v="66"/>
    <n v="73"/>
    <x v="2"/>
  </r>
  <r>
    <n v="127"/>
    <x v="175"/>
    <x v="1"/>
    <x v="7"/>
    <x v="0"/>
    <x v="5"/>
    <x v="1"/>
    <x v="0"/>
    <n v="15.674985"/>
    <n v="54.125"/>
    <n v="10.750150000000001"/>
    <n v="19"/>
    <n v="54"/>
    <n v="73"/>
    <x v="2"/>
  </r>
  <r>
    <n v="140"/>
    <x v="176"/>
    <x v="1"/>
    <x v="7"/>
    <x v="0"/>
    <x v="2"/>
    <x v="0"/>
    <x v="0"/>
    <n v="14.812514999999999"/>
    <n v="71.958299999999994"/>
    <n v="8.3758710000000001"/>
    <n v="19"/>
    <n v="54"/>
    <n v="73"/>
    <x v="2"/>
  </r>
  <r>
    <n v="151"/>
    <x v="177"/>
    <x v="1"/>
    <x v="7"/>
    <x v="0"/>
    <x v="4"/>
    <x v="0"/>
    <x v="0"/>
    <n v="14.625"/>
    <n v="63.666699999999999"/>
    <n v="7.4590429999999994"/>
    <n v="4"/>
    <n v="69"/>
    <n v="73"/>
    <x v="2"/>
  </r>
  <r>
    <n v="75"/>
    <x v="178"/>
    <x v="1"/>
    <x v="8"/>
    <x v="0"/>
    <x v="1"/>
    <x v="0"/>
    <x v="2"/>
    <n v="25.987500000000001"/>
    <n v="77.652200000000008"/>
    <n v="13.608839"/>
    <n v="9"/>
    <n v="65"/>
    <n v="74"/>
    <x v="2"/>
  </r>
  <r>
    <n v="134"/>
    <x v="179"/>
    <x v="1"/>
    <x v="7"/>
    <x v="0"/>
    <x v="5"/>
    <x v="1"/>
    <x v="2"/>
    <n v="19.837484999999997"/>
    <n v="92.25"/>
    <n v="9.0416499999999989"/>
    <n v="20"/>
    <n v="54"/>
    <n v="74"/>
    <x v="2"/>
  </r>
  <r>
    <n v="118"/>
    <x v="180"/>
    <x v="1"/>
    <x v="1"/>
    <x v="0"/>
    <x v="0"/>
    <x v="0"/>
    <x v="2"/>
    <n v="14.887485"/>
    <n v="70.083300000000008"/>
    <n v="21.500836000000003"/>
    <n v="9"/>
    <n v="66"/>
    <n v="75"/>
    <x v="2"/>
  </r>
  <r>
    <n v="152"/>
    <x v="181"/>
    <x v="0"/>
    <x v="3"/>
    <x v="0"/>
    <x v="1"/>
    <x v="0"/>
    <x v="2"/>
    <n v="14.0625"/>
    <n v="67.708299999999994"/>
    <n v="13.875164"/>
    <n v="4"/>
    <n v="71"/>
    <n v="75"/>
    <x v="2"/>
  </r>
  <r>
    <n v="165"/>
    <x v="182"/>
    <x v="0"/>
    <x v="3"/>
    <x v="0"/>
    <x v="4"/>
    <x v="0"/>
    <x v="0"/>
    <n v="14.2875"/>
    <n v="50.708299999999994"/>
    <n v="18.041961000000001"/>
    <n v="4"/>
    <n v="71"/>
    <n v="75"/>
    <x v="2"/>
  </r>
  <r>
    <n v="166"/>
    <x v="183"/>
    <x v="0"/>
    <x v="3"/>
    <x v="0"/>
    <x v="1"/>
    <x v="0"/>
    <x v="0"/>
    <n v="19.012499999999999"/>
    <n v="47.166699999999999"/>
    <n v="11.250104"/>
    <n v="4"/>
    <n v="71"/>
    <n v="75"/>
    <x v="2"/>
  </r>
  <r>
    <n v="171"/>
    <x v="184"/>
    <x v="0"/>
    <x v="3"/>
    <x v="0"/>
    <x v="6"/>
    <x v="0"/>
    <x v="2"/>
    <n v="17.362485"/>
    <n v="74.625"/>
    <n v="10.416824999999999"/>
    <n v="4"/>
    <n v="71"/>
    <n v="75"/>
    <x v="2"/>
  </r>
  <r>
    <n v="289"/>
    <x v="185"/>
    <x v="2"/>
    <x v="4"/>
    <x v="0"/>
    <x v="3"/>
    <x v="1"/>
    <x v="0"/>
    <n v="20.550014999999998"/>
    <n v="48.666699999999999"/>
    <n v="18.875039000000001"/>
    <n v="31"/>
    <n v="44"/>
    <n v="75"/>
    <x v="2"/>
  </r>
  <r>
    <n v="349"/>
    <x v="186"/>
    <x v="3"/>
    <x v="11"/>
    <x v="0"/>
    <x v="0"/>
    <x v="0"/>
    <x v="2"/>
    <n v="28.274985000000001"/>
    <n v="63.416700000000006"/>
    <n v="17.958814"/>
    <n v="11"/>
    <n v="64"/>
    <n v="75"/>
    <x v="2"/>
  </r>
  <r>
    <n v="19"/>
    <x v="187"/>
    <x v="3"/>
    <x v="10"/>
    <x v="0"/>
    <x v="1"/>
    <x v="0"/>
    <x v="2"/>
    <n v="36.674999999999997"/>
    <n v="74.173900000000003"/>
    <n v="13.957239"/>
    <n v="13"/>
    <n v="63"/>
    <n v="76"/>
    <x v="2"/>
  </r>
  <r>
    <n v="23"/>
    <x v="188"/>
    <x v="3"/>
    <x v="10"/>
    <x v="0"/>
    <x v="3"/>
    <x v="1"/>
    <x v="0"/>
    <n v="33.449984999999998"/>
    <n v="43.652200000000001"/>
    <n v="16.522200000000002"/>
    <n v="11"/>
    <n v="65"/>
    <n v="76"/>
    <x v="2"/>
  </r>
  <r>
    <n v="36"/>
    <x v="189"/>
    <x v="3"/>
    <x v="6"/>
    <x v="0"/>
    <x v="5"/>
    <x v="1"/>
    <x v="2"/>
    <n v="33.412500000000001"/>
    <n v="92.916699999999992"/>
    <n v="10.792293000000001"/>
    <n v="26"/>
    <n v="50"/>
    <n v="76"/>
    <x v="2"/>
  </r>
  <r>
    <n v="47"/>
    <x v="190"/>
    <x v="3"/>
    <x v="6"/>
    <x v="0"/>
    <x v="1"/>
    <x v="0"/>
    <x v="0"/>
    <n v="32.025015000000003"/>
    <n v="42.347799999999999"/>
    <n v="16.869996999999998"/>
    <n v="13"/>
    <n v="63"/>
    <n v="76"/>
    <x v="2"/>
  </r>
  <r>
    <n v="27"/>
    <x v="191"/>
    <x v="3"/>
    <x v="10"/>
    <x v="0"/>
    <x v="0"/>
    <x v="0"/>
    <x v="0"/>
    <n v="37.724984999999997"/>
    <n v="68.75"/>
    <n v="7.6270789999999993"/>
    <n v="13"/>
    <n v="64"/>
    <n v="77"/>
    <x v="2"/>
  </r>
  <r>
    <n v="43"/>
    <x v="192"/>
    <x v="3"/>
    <x v="6"/>
    <x v="0"/>
    <x v="5"/>
    <x v="1"/>
    <x v="0"/>
    <n v="30.450015"/>
    <n v="54.416699999999999"/>
    <n v="13.625589"/>
    <n v="27"/>
    <n v="50"/>
    <n v="77"/>
    <x v="2"/>
  </r>
  <r>
    <n v="50"/>
    <x v="193"/>
    <x v="3"/>
    <x v="6"/>
    <x v="0"/>
    <x v="5"/>
    <x v="1"/>
    <x v="0"/>
    <n v="31.987485000000003"/>
    <n v="18.791699999999999"/>
    <n v="34.000020999999997"/>
    <n v="25"/>
    <n v="52"/>
    <n v="77"/>
    <x v="2"/>
  </r>
  <r>
    <n v="149"/>
    <x v="194"/>
    <x v="1"/>
    <x v="7"/>
    <x v="0"/>
    <x v="3"/>
    <x v="1"/>
    <x v="0"/>
    <n v="22.656510000000001"/>
    <n v="81.875"/>
    <n v="14.333845999999999"/>
    <n v="5"/>
    <n v="72"/>
    <n v="77"/>
    <x v="2"/>
  </r>
  <r>
    <n v="156"/>
    <x v="195"/>
    <x v="0"/>
    <x v="3"/>
    <x v="0"/>
    <x v="3"/>
    <x v="1"/>
    <x v="2"/>
    <n v="17.362485"/>
    <n v="65.25"/>
    <n v="9.292364000000001"/>
    <n v="5"/>
    <n v="72"/>
    <n v="77"/>
    <x v="2"/>
  </r>
  <r>
    <n v="320"/>
    <x v="196"/>
    <x v="2"/>
    <x v="9"/>
    <x v="0"/>
    <x v="1"/>
    <x v="0"/>
    <x v="1"/>
    <n v="24.750000000000004"/>
    <n v="93"/>
    <n v="9.1675430000000002"/>
    <n v="11"/>
    <n v="66"/>
    <n v="77"/>
    <x v="2"/>
  </r>
  <r>
    <n v="116"/>
    <x v="197"/>
    <x v="1"/>
    <x v="1"/>
    <x v="0"/>
    <x v="4"/>
    <x v="0"/>
    <x v="0"/>
    <n v="21.787514999999999"/>
    <n v="72.916700000000006"/>
    <n v="21.875500000000002"/>
    <n v="8"/>
    <n v="70"/>
    <n v="78"/>
    <x v="2"/>
  </r>
  <r>
    <n v="126"/>
    <x v="198"/>
    <x v="1"/>
    <x v="7"/>
    <x v="0"/>
    <x v="2"/>
    <x v="0"/>
    <x v="0"/>
    <n v="14.700014999999999"/>
    <n v="59"/>
    <n v="15.292482"/>
    <n v="23"/>
    <n v="55"/>
    <n v="78"/>
    <x v="2"/>
  </r>
  <r>
    <n v="153"/>
    <x v="199"/>
    <x v="0"/>
    <x v="3"/>
    <x v="0"/>
    <x v="0"/>
    <x v="0"/>
    <x v="0"/>
    <n v="14.137514999999999"/>
    <n v="30.5"/>
    <n v="19.583229000000003"/>
    <n v="5"/>
    <n v="73"/>
    <n v="78"/>
    <x v="2"/>
  </r>
  <r>
    <n v="299"/>
    <x v="200"/>
    <x v="2"/>
    <x v="4"/>
    <x v="0"/>
    <x v="1"/>
    <x v="0"/>
    <x v="2"/>
    <n v="27.9"/>
    <n v="72.041699999999992"/>
    <n v="9.9590139999999998"/>
    <n v="11"/>
    <n v="67"/>
    <n v="78"/>
    <x v="2"/>
  </r>
  <r>
    <n v="342"/>
    <x v="201"/>
    <x v="3"/>
    <x v="11"/>
    <x v="0"/>
    <x v="0"/>
    <x v="0"/>
    <x v="0"/>
    <n v="36.374984999999995"/>
    <n v="57.999999999999993"/>
    <n v="16.083886"/>
    <n v="11"/>
    <n v="67"/>
    <n v="78"/>
    <x v="2"/>
  </r>
  <r>
    <n v="88"/>
    <x v="202"/>
    <x v="1"/>
    <x v="8"/>
    <x v="0"/>
    <x v="4"/>
    <x v="0"/>
    <x v="0"/>
    <n v="28.574999999999999"/>
    <n v="31.416699999999999"/>
    <n v="15.208731999999999"/>
    <n v="10"/>
    <n v="69"/>
    <n v="79"/>
    <x v="2"/>
  </r>
  <r>
    <n v="124"/>
    <x v="203"/>
    <x v="1"/>
    <x v="7"/>
    <x v="0"/>
    <x v="1"/>
    <x v="0"/>
    <x v="2"/>
    <n v="18.374984999999999"/>
    <n v="73.708300000000008"/>
    <n v="22.042732000000001"/>
    <n v="6"/>
    <n v="73"/>
    <n v="79"/>
    <x v="2"/>
  </r>
  <r>
    <n v="292"/>
    <x v="204"/>
    <x v="2"/>
    <x v="4"/>
    <x v="0"/>
    <x v="1"/>
    <x v="0"/>
    <x v="1"/>
    <n v="26.774999999999999"/>
    <n v="89.52170000000001"/>
    <n v="16.303712999999998"/>
    <n v="12"/>
    <n v="67"/>
    <n v="79"/>
    <x v="2"/>
  </r>
  <r>
    <n v="318"/>
    <x v="205"/>
    <x v="2"/>
    <x v="9"/>
    <x v="0"/>
    <x v="6"/>
    <x v="0"/>
    <x v="0"/>
    <n v="25.987500000000001"/>
    <n v="58.708300000000001"/>
    <n v="20.541931999999999"/>
    <n v="15"/>
    <n v="64"/>
    <n v="79"/>
    <x v="2"/>
  </r>
  <r>
    <n v="333"/>
    <x v="206"/>
    <x v="2"/>
    <x v="9"/>
    <x v="0"/>
    <x v="4"/>
    <x v="0"/>
    <x v="2"/>
    <n v="34.875"/>
    <n v="83.083300000000008"/>
    <n v="17.292164"/>
    <n v="13"/>
    <n v="66"/>
    <n v="79"/>
    <x v="2"/>
  </r>
  <r>
    <n v="334"/>
    <x v="207"/>
    <x v="2"/>
    <x v="9"/>
    <x v="0"/>
    <x v="1"/>
    <x v="0"/>
    <x v="0"/>
    <n v="34.387515"/>
    <n v="61.333300000000001"/>
    <n v="18.167586"/>
    <n v="10"/>
    <n v="69"/>
    <n v="79"/>
    <x v="2"/>
  </r>
  <r>
    <n v="128"/>
    <x v="208"/>
    <x v="1"/>
    <x v="7"/>
    <x v="0"/>
    <x v="3"/>
    <x v="1"/>
    <x v="0"/>
    <n v="17.775000000000002"/>
    <n v="63.166699999999999"/>
    <n v="5.0007124999999997"/>
    <n v="7"/>
    <n v="73"/>
    <n v="80"/>
    <x v="2"/>
  </r>
  <r>
    <n v="295"/>
    <x v="209"/>
    <x v="2"/>
    <x v="4"/>
    <x v="0"/>
    <x v="5"/>
    <x v="1"/>
    <x v="0"/>
    <n v="20.7"/>
    <n v="62.916700000000006"/>
    <n v="6.2086689000000002"/>
    <n v="29"/>
    <n v="51"/>
    <n v="80"/>
    <x v="2"/>
  </r>
  <r>
    <n v="353"/>
    <x v="210"/>
    <x v="3"/>
    <x v="11"/>
    <x v="0"/>
    <x v="6"/>
    <x v="0"/>
    <x v="0"/>
    <n v="28.574999999999999"/>
    <n v="63.749999999999993"/>
    <n v="11.584031999999999"/>
    <n v="14"/>
    <n v="66"/>
    <n v="80"/>
    <x v="2"/>
  </r>
  <r>
    <n v="6"/>
    <x v="211"/>
    <x v="3"/>
    <x v="10"/>
    <x v="0"/>
    <x v="0"/>
    <x v="0"/>
    <x v="0"/>
    <n v="31.912514999999999"/>
    <n v="51.826099999999997"/>
    <n v="6.0008683999999999"/>
    <n v="14"/>
    <n v="67"/>
    <n v="81"/>
    <x v="2"/>
  </r>
  <r>
    <n v="9"/>
    <x v="212"/>
    <x v="3"/>
    <x v="10"/>
    <x v="0"/>
    <x v="3"/>
    <x v="1"/>
    <x v="0"/>
    <n v="34.3125"/>
    <n v="43.416700000000006"/>
    <n v="24.25065"/>
    <n v="14"/>
    <n v="67"/>
    <n v="81"/>
    <x v="2"/>
  </r>
  <r>
    <n v="122"/>
    <x v="213"/>
    <x v="1"/>
    <x v="7"/>
    <x v="0"/>
    <x v="6"/>
    <x v="0"/>
    <x v="2"/>
    <n v="18.037485"/>
    <n v="73"/>
    <n v="12.291418"/>
    <n v="8"/>
    <n v="73"/>
    <n v="81"/>
    <x v="2"/>
  </r>
  <r>
    <n v="125"/>
    <x v="214"/>
    <x v="1"/>
    <x v="7"/>
    <x v="0"/>
    <x v="0"/>
    <x v="0"/>
    <x v="0"/>
    <n v="18.149985000000001"/>
    <n v="44.416699999999999"/>
    <n v="19.791263999999998"/>
    <n v="9"/>
    <n v="72"/>
    <n v="81"/>
    <x v="2"/>
  </r>
  <r>
    <n v="297"/>
    <x v="215"/>
    <x v="2"/>
    <x v="4"/>
    <x v="0"/>
    <x v="6"/>
    <x v="0"/>
    <x v="0"/>
    <n v="27.300014999999998"/>
    <n v="77.208299999999994"/>
    <n v="7.9590639999999997"/>
    <n v="15"/>
    <n v="66"/>
    <n v="81"/>
    <x v="2"/>
  </r>
  <r>
    <n v="300"/>
    <x v="216"/>
    <x v="2"/>
    <x v="4"/>
    <x v="0"/>
    <x v="0"/>
    <x v="0"/>
    <x v="2"/>
    <n v="27.787500000000001"/>
    <n v="81.291700000000006"/>
    <n v="13.250121"/>
    <n v="11"/>
    <n v="70"/>
    <n v="81"/>
    <x v="2"/>
  </r>
  <r>
    <n v="130"/>
    <x v="217"/>
    <x v="1"/>
    <x v="7"/>
    <x v="0"/>
    <x v="4"/>
    <x v="0"/>
    <x v="0"/>
    <n v="18"/>
    <n v="48.916699999999999"/>
    <n v="7.7499569999999993"/>
    <n v="6"/>
    <n v="76"/>
    <n v="82"/>
    <x v="2"/>
  </r>
  <r>
    <n v="133"/>
    <x v="218"/>
    <x v="1"/>
    <x v="7"/>
    <x v="0"/>
    <x v="2"/>
    <x v="0"/>
    <x v="2"/>
    <n v="16.050015000000002"/>
    <n v="86.333300000000008"/>
    <n v="12.041575"/>
    <n v="26"/>
    <n v="56"/>
    <n v="82"/>
    <x v="2"/>
  </r>
  <r>
    <n v="315"/>
    <x v="219"/>
    <x v="2"/>
    <x v="9"/>
    <x v="1"/>
    <x v="2"/>
    <x v="1"/>
    <x v="0"/>
    <n v="23.062499999999996"/>
    <n v="44.625"/>
    <n v="21.083224999999999"/>
    <n v="14"/>
    <n v="68"/>
    <n v="82"/>
    <x v="2"/>
  </r>
  <r>
    <n v="332"/>
    <x v="220"/>
    <x v="2"/>
    <x v="9"/>
    <x v="0"/>
    <x v="6"/>
    <x v="0"/>
    <x v="0"/>
    <n v="32.999985000000002"/>
    <n v="74.304299999999998"/>
    <n v="9.5221739999999997"/>
    <n v="31"/>
    <n v="51"/>
    <n v="82"/>
    <x v="2"/>
  </r>
  <r>
    <n v="42"/>
    <x v="221"/>
    <x v="3"/>
    <x v="6"/>
    <x v="0"/>
    <x v="2"/>
    <x v="0"/>
    <x v="0"/>
    <n v="30.862485"/>
    <n v="50.636400000000002"/>
    <n v="7.2728499999999991"/>
    <n v="30"/>
    <n v="53"/>
    <n v="83"/>
    <x v="2"/>
  </r>
  <r>
    <n v="48"/>
    <x v="222"/>
    <x v="3"/>
    <x v="6"/>
    <x v="0"/>
    <x v="0"/>
    <x v="0"/>
    <x v="0"/>
    <n v="30.825000000000003"/>
    <n v="50.5"/>
    <n v="15.416968000000001"/>
    <n v="16"/>
    <n v="67"/>
    <n v="83"/>
    <x v="2"/>
  </r>
  <r>
    <n v="87"/>
    <x v="223"/>
    <x v="1"/>
    <x v="8"/>
    <x v="0"/>
    <x v="6"/>
    <x v="0"/>
    <x v="0"/>
    <n v="28.650015"/>
    <n v="30.217400000000001"/>
    <n v="14.217668"/>
    <n v="10"/>
    <n v="73"/>
    <n v="83"/>
    <x v="2"/>
  </r>
  <r>
    <n v="110"/>
    <x v="224"/>
    <x v="1"/>
    <x v="1"/>
    <x v="0"/>
    <x v="1"/>
    <x v="0"/>
    <x v="0"/>
    <n v="21.412485"/>
    <n v="61.416699999999999"/>
    <n v="16.208974999999999"/>
    <n v="9"/>
    <n v="74"/>
    <n v="83"/>
    <x v="2"/>
  </r>
  <r>
    <n v="123"/>
    <x v="225"/>
    <x v="1"/>
    <x v="7"/>
    <x v="0"/>
    <x v="4"/>
    <x v="0"/>
    <x v="2"/>
    <n v="16.987500000000001"/>
    <n v="69.708299999999994"/>
    <n v="22.958689"/>
    <n v="7"/>
    <n v="76"/>
    <n v="83"/>
    <x v="2"/>
  </r>
  <r>
    <n v="319"/>
    <x v="226"/>
    <x v="2"/>
    <x v="9"/>
    <x v="0"/>
    <x v="4"/>
    <x v="0"/>
    <x v="2"/>
    <n v="25.275015"/>
    <n v="68.875"/>
    <n v="13.375411"/>
    <n v="14"/>
    <n v="69"/>
    <n v="83"/>
    <x v="2"/>
  </r>
  <r>
    <n v="114"/>
    <x v="227"/>
    <x v="1"/>
    <x v="1"/>
    <x v="0"/>
    <x v="3"/>
    <x v="1"/>
    <x v="2"/>
    <n v="20.849985"/>
    <n v="81.083300000000008"/>
    <n v="12.875725000000001"/>
    <n v="14"/>
    <n v="70"/>
    <n v="84"/>
    <x v="2"/>
  </r>
  <r>
    <n v="136"/>
    <x v="228"/>
    <x v="1"/>
    <x v="7"/>
    <x v="0"/>
    <x v="6"/>
    <x v="0"/>
    <x v="0"/>
    <n v="23.85"/>
    <n v="78.791699999999992"/>
    <n v="8.5003570000000011"/>
    <n v="9"/>
    <n v="75"/>
    <n v="84"/>
    <x v="2"/>
  </r>
  <r>
    <n v="293"/>
    <x v="229"/>
    <x v="2"/>
    <x v="4"/>
    <x v="0"/>
    <x v="0"/>
    <x v="0"/>
    <x v="0"/>
    <n v="20.662514999999999"/>
    <n v="63.625"/>
    <n v="28.292425000000001"/>
    <n v="15"/>
    <n v="69"/>
    <n v="84"/>
    <x v="2"/>
  </r>
  <r>
    <n v="296"/>
    <x v="230"/>
    <x v="2"/>
    <x v="4"/>
    <x v="0"/>
    <x v="3"/>
    <x v="1"/>
    <x v="0"/>
    <n v="26.175015000000002"/>
    <n v="74.125"/>
    <n v="6.6673375000000004"/>
    <n v="34"/>
    <n v="50"/>
    <n v="84"/>
    <x v="2"/>
  </r>
  <r>
    <n v="313"/>
    <x v="231"/>
    <x v="2"/>
    <x v="9"/>
    <x v="0"/>
    <x v="1"/>
    <x v="0"/>
    <x v="0"/>
    <n v="24.412499999999998"/>
    <n v="75.833300000000008"/>
    <n v="4.1671186000000002"/>
    <n v="11"/>
    <n v="73"/>
    <n v="84"/>
    <x v="2"/>
  </r>
  <r>
    <n v="10"/>
    <x v="232"/>
    <x v="3"/>
    <x v="10"/>
    <x v="0"/>
    <x v="6"/>
    <x v="0"/>
    <x v="0"/>
    <n v="35.737514999999995"/>
    <n v="48.291699999999999"/>
    <n v="14.958888999999999"/>
    <n v="13"/>
    <n v="72"/>
    <n v="85"/>
    <x v="2"/>
  </r>
  <r>
    <n v="35"/>
    <x v="233"/>
    <x v="3"/>
    <x v="6"/>
    <x v="0"/>
    <x v="2"/>
    <x v="0"/>
    <x v="2"/>
    <n v="32.250015000000005"/>
    <n v="58.521699999999996"/>
    <n v="8.565213"/>
    <n v="30"/>
    <n v="55"/>
    <n v="85"/>
    <x v="2"/>
  </r>
  <r>
    <n v="78"/>
    <x v="234"/>
    <x v="1"/>
    <x v="8"/>
    <x v="0"/>
    <x v="5"/>
    <x v="1"/>
    <x v="0"/>
    <n v="22.837499999999999"/>
    <n v="37.916699999999999"/>
    <n v="24.667189"/>
    <n v="27"/>
    <n v="58"/>
    <n v="85"/>
    <x v="2"/>
  </r>
  <r>
    <n v="129"/>
    <x v="235"/>
    <x v="1"/>
    <x v="7"/>
    <x v="0"/>
    <x v="6"/>
    <x v="0"/>
    <x v="0"/>
    <n v="18.374984999999999"/>
    <n v="58.875"/>
    <n v="11.792"/>
    <n v="8"/>
    <n v="77"/>
    <n v="85"/>
    <x v="2"/>
  </r>
  <r>
    <n v="29"/>
    <x v="236"/>
    <x v="3"/>
    <x v="10"/>
    <x v="0"/>
    <x v="5"/>
    <x v="1"/>
    <x v="0"/>
    <n v="36.262484999999998"/>
    <n v="65.173899999999989"/>
    <n v="9.7394549999999995"/>
    <n v="30"/>
    <n v="56"/>
    <n v="86"/>
    <x v="2"/>
  </r>
  <r>
    <n v="30"/>
    <x v="237"/>
    <x v="3"/>
    <x v="10"/>
    <x v="0"/>
    <x v="3"/>
    <x v="1"/>
    <x v="0"/>
    <n v="34.725014999999999"/>
    <n v="72.217399999999998"/>
    <n v="4.9568341999999994"/>
    <n v="15"/>
    <n v="71"/>
    <n v="86"/>
    <x v="2"/>
  </r>
  <r>
    <n v="57"/>
    <x v="238"/>
    <x v="3"/>
    <x v="6"/>
    <x v="0"/>
    <x v="5"/>
    <x v="1"/>
    <x v="0"/>
    <n v="31.817654999999998"/>
    <n v="53.791699999999999"/>
    <n v="12.500257"/>
    <n v="28"/>
    <n v="58"/>
    <n v="86"/>
    <x v="2"/>
  </r>
  <r>
    <n v="112"/>
    <x v="239"/>
    <x v="1"/>
    <x v="1"/>
    <x v="0"/>
    <x v="2"/>
    <x v="0"/>
    <x v="2"/>
    <n v="19.012499999999999"/>
    <n v="72.958299999999994"/>
    <n v="14.707906999999999"/>
    <n v="30"/>
    <n v="56"/>
    <n v="86"/>
    <x v="2"/>
  </r>
  <r>
    <n v="325"/>
    <x v="240"/>
    <x v="2"/>
    <x v="9"/>
    <x v="0"/>
    <x v="6"/>
    <x v="0"/>
    <x v="1"/>
    <n v="28.425014999999998"/>
    <n v="91"/>
    <n v="9.2496179999999999"/>
    <n v="17"/>
    <n v="69"/>
    <n v="86"/>
    <x v="2"/>
  </r>
  <r>
    <n v="11"/>
    <x v="241"/>
    <x v="3"/>
    <x v="10"/>
    <x v="0"/>
    <x v="4"/>
    <x v="0"/>
    <x v="2"/>
    <n v="33.600014999999999"/>
    <n v="68.636399999999995"/>
    <n v="8.1828440000000011"/>
    <n v="15"/>
    <n v="72"/>
    <n v="87"/>
    <x v="2"/>
  </r>
  <r>
    <n v="18"/>
    <x v="242"/>
    <x v="3"/>
    <x v="10"/>
    <x v="0"/>
    <x v="4"/>
    <x v="0"/>
    <x v="2"/>
    <n v="34.574985000000005"/>
    <n v="86.166699999999992"/>
    <n v="9.8339249999999989"/>
    <n v="13"/>
    <n v="74"/>
    <n v="87"/>
    <x v="2"/>
  </r>
  <r>
    <n v="37"/>
    <x v="243"/>
    <x v="3"/>
    <x v="6"/>
    <x v="0"/>
    <x v="3"/>
    <x v="1"/>
    <x v="0"/>
    <n v="34.424999999999997"/>
    <n v="56.833299999999994"/>
    <n v="9.5006000000000004"/>
    <n v="17"/>
    <n v="70"/>
    <n v="87"/>
    <x v="2"/>
  </r>
  <r>
    <n v="44"/>
    <x v="244"/>
    <x v="3"/>
    <x v="6"/>
    <x v="0"/>
    <x v="3"/>
    <x v="1"/>
    <x v="0"/>
    <n v="29.962485000000001"/>
    <n v="45.739100000000001"/>
    <n v="17.479160999999998"/>
    <n v="16"/>
    <n v="71"/>
    <n v="87"/>
    <x v="2"/>
  </r>
  <r>
    <n v="81"/>
    <x v="245"/>
    <x v="1"/>
    <x v="8"/>
    <x v="0"/>
    <x v="4"/>
    <x v="0"/>
    <x v="0"/>
    <n v="26.774999999999999"/>
    <n v="62.458300000000001"/>
    <n v="15.125250000000001"/>
    <n v="11"/>
    <n v="76"/>
    <n v="87"/>
    <x v="2"/>
  </r>
  <r>
    <n v="111"/>
    <x v="246"/>
    <x v="1"/>
    <x v="1"/>
    <x v="0"/>
    <x v="0"/>
    <x v="0"/>
    <x v="0"/>
    <n v="19.237500000000001"/>
    <n v="40.708299999999994"/>
    <n v="21.792286000000001"/>
    <n v="14"/>
    <n v="73"/>
    <n v="87"/>
    <x v="2"/>
  </r>
  <r>
    <n v="113"/>
    <x v="247"/>
    <x v="1"/>
    <x v="1"/>
    <x v="0"/>
    <x v="5"/>
    <x v="1"/>
    <x v="2"/>
    <n v="18.975014999999999"/>
    <n v="88.791699999999992"/>
    <n v="15.458575000000002"/>
    <n v="32"/>
    <n v="55"/>
    <n v="87"/>
    <x v="2"/>
  </r>
  <r>
    <n v="310"/>
    <x v="248"/>
    <x v="2"/>
    <x v="9"/>
    <x v="0"/>
    <x v="3"/>
    <x v="1"/>
    <x v="0"/>
    <n v="23.774985000000001"/>
    <n v="73.458299999999994"/>
    <n v="6.1676314000000003"/>
    <n v="28"/>
    <n v="59"/>
    <n v="87"/>
    <x v="2"/>
  </r>
  <r>
    <n v="311"/>
    <x v="249"/>
    <x v="2"/>
    <x v="9"/>
    <x v="0"/>
    <x v="6"/>
    <x v="0"/>
    <x v="0"/>
    <n v="23.962499999999999"/>
    <n v="75.875"/>
    <n v="3.8340749999999999"/>
    <n v="13"/>
    <n v="74"/>
    <n v="87"/>
    <x v="2"/>
  </r>
  <r>
    <n v="26"/>
    <x v="250"/>
    <x v="3"/>
    <x v="10"/>
    <x v="0"/>
    <x v="1"/>
    <x v="0"/>
    <x v="1"/>
    <n v="35.062515000000005"/>
    <n v="86.25"/>
    <n v="19.687950000000001"/>
    <n v="12"/>
    <n v="76"/>
    <n v="88"/>
    <x v="2"/>
  </r>
  <r>
    <n v="298"/>
    <x v="251"/>
    <x v="2"/>
    <x v="4"/>
    <x v="0"/>
    <x v="4"/>
    <x v="0"/>
    <x v="0"/>
    <n v="28.425014999999998"/>
    <n v="62.291700000000006"/>
    <n v="11.166086"/>
    <n v="14"/>
    <n v="74"/>
    <n v="88"/>
    <x v="2"/>
  </r>
  <r>
    <n v="304"/>
    <x v="252"/>
    <x v="2"/>
    <x v="4"/>
    <x v="0"/>
    <x v="6"/>
    <x v="0"/>
    <x v="0"/>
    <n v="24.712515"/>
    <n v="70.333299999999994"/>
    <n v="7.1254499999999998"/>
    <n v="17"/>
    <n v="71"/>
    <n v="88"/>
    <x v="2"/>
  </r>
  <r>
    <n v="307"/>
    <x v="253"/>
    <x v="2"/>
    <x v="9"/>
    <x v="0"/>
    <x v="0"/>
    <x v="0"/>
    <x v="0"/>
    <n v="20.662514999999999"/>
    <n v="70.208300000000008"/>
    <n v="9.1667389999999997"/>
    <n v="12"/>
    <n v="76"/>
    <n v="88"/>
    <x v="2"/>
  </r>
  <r>
    <n v="16"/>
    <x v="254"/>
    <x v="3"/>
    <x v="10"/>
    <x v="0"/>
    <x v="3"/>
    <x v="1"/>
    <x v="0"/>
    <n v="33.600014999999999"/>
    <n v="48.375"/>
    <n v="12.625010999999999"/>
    <n v="17"/>
    <n v="72"/>
    <n v="89"/>
    <x v="2"/>
  </r>
  <r>
    <n v="28"/>
    <x v="255"/>
    <x v="3"/>
    <x v="10"/>
    <x v="0"/>
    <x v="2"/>
    <x v="0"/>
    <x v="2"/>
    <n v="36.187514999999998"/>
    <n v="79.304300000000012"/>
    <n v="8.2611000000000008"/>
    <n v="31"/>
    <n v="58"/>
    <n v="89"/>
    <x v="2"/>
  </r>
  <r>
    <n v="94"/>
    <x v="256"/>
    <x v="1"/>
    <x v="1"/>
    <x v="0"/>
    <x v="6"/>
    <x v="0"/>
    <x v="0"/>
    <n v="21.787514999999999"/>
    <n v="42.625"/>
    <n v="25.833257"/>
    <n v="10"/>
    <n v="79"/>
    <n v="89"/>
    <x v="2"/>
  </r>
  <r>
    <n v="305"/>
    <x v="257"/>
    <x v="2"/>
    <x v="9"/>
    <x v="0"/>
    <x v="4"/>
    <x v="0"/>
    <x v="0"/>
    <n v="27.750014999999998"/>
    <n v="68.375"/>
    <n v="9.0832569999999997"/>
    <n v="12"/>
    <n v="77"/>
    <n v="89"/>
    <x v="2"/>
  </r>
  <r>
    <n v="341"/>
    <x v="258"/>
    <x v="3"/>
    <x v="11"/>
    <x v="0"/>
    <x v="1"/>
    <x v="0"/>
    <x v="1"/>
    <n v="34.912484999999997"/>
    <n v="97.041699999999992"/>
    <n v="17.833725000000001"/>
    <n v="14"/>
    <n v="75"/>
    <n v="89"/>
    <x v="2"/>
  </r>
  <r>
    <n v="345"/>
    <x v="259"/>
    <x v="3"/>
    <x v="11"/>
    <x v="0"/>
    <x v="3"/>
    <x v="1"/>
    <x v="0"/>
    <n v="31.162500000000001"/>
    <n v="49"/>
    <n v="4.4582938999999993"/>
    <n v="29"/>
    <n v="60"/>
    <n v="89"/>
    <x v="2"/>
  </r>
  <r>
    <n v="63"/>
    <x v="260"/>
    <x v="1"/>
    <x v="8"/>
    <x v="0"/>
    <x v="2"/>
    <x v="0"/>
    <x v="2"/>
    <n v="30.112514999999998"/>
    <n v="61.041699999999999"/>
    <n v="13.624181999999999"/>
    <n v="39"/>
    <n v="51"/>
    <n v="90"/>
    <x v="2"/>
  </r>
  <r>
    <n v="135"/>
    <x v="261"/>
    <x v="1"/>
    <x v="7"/>
    <x v="0"/>
    <x v="3"/>
    <x v="1"/>
    <x v="2"/>
    <n v="23.85"/>
    <n v="86.708300000000008"/>
    <n v="10.249593000000001"/>
    <n v="12"/>
    <n v="78"/>
    <n v="90"/>
    <x v="2"/>
  </r>
  <r>
    <n v="326"/>
    <x v="262"/>
    <x v="2"/>
    <x v="9"/>
    <x v="0"/>
    <x v="4"/>
    <x v="0"/>
    <x v="1"/>
    <n v="29.700000000000003"/>
    <n v="96.25"/>
    <n v="7.9590639999999997"/>
    <n v="13"/>
    <n v="77"/>
    <n v="90"/>
    <x v="2"/>
  </r>
  <r>
    <n v="355"/>
    <x v="263"/>
    <x v="3"/>
    <x v="11"/>
    <x v="0"/>
    <x v="1"/>
    <x v="0"/>
    <x v="2"/>
    <n v="32.999985000000002"/>
    <n v="85.833300000000008"/>
    <n v="14.8338"/>
    <n v="13"/>
    <n v="77"/>
    <n v="90"/>
    <x v="2"/>
  </r>
  <r>
    <n v="17"/>
    <x v="264"/>
    <x v="3"/>
    <x v="10"/>
    <x v="1"/>
    <x v="6"/>
    <x v="1"/>
    <x v="2"/>
    <n v="34.950015"/>
    <n v="53.75"/>
    <n v="12.999139"/>
    <n v="15"/>
    <n v="76"/>
    <n v="91"/>
    <x v="2"/>
  </r>
  <r>
    <n v="77"/>
    <x v="265"/>
    <x v="1"/>
    <x v="8"/>
    <x v="0"/>
    <x v="2"/>
    <x v="0"/>
    <x v="0"/>
    <n v="22.125015000000001"/>
    <n v="52.521700000000003"/>
    <n v="15.478139000000001"/>
    <n v="29"/>
    <n v="62"/>
    <n v="91"/>
    <x v="2"/>
  </r>
  <r>
    <n v="79"/>
    <x v="266"/>
    <x v="1"/>
    <x v="8"/>
    <x v="0"/>
    <x v="3"/>
    <x v="1"/>
    <x v="0"/>
    <n v="24.712515"/>
    <n v="47.375"/>
    <n v="13.917306999999999"/>
    <n v="14"/>
    <n v="77"/>
    <n v="91"/>
    <x v="2"/>
  </r>
  <r>
    <n v="101"/>
    <x v="267"/>
    <x v="1"/>
    <x v="1"/>
    <x v="0"/>
    <x v="6"/>
    <x v="0"/>
    <x v="2"/>
    <n v="25.500015000000001"/>
    <n v="71.695599999999999"/>
    <n v="21.739757999999998"/>
    <n v="13"/>
    <n v="78"/>
    <n v="91"/>
    <x v="2"/>
  </r>
  <r>
    <n v="107"/>
    <x v="268"/>
    <x v="1"/>
    <x v="1"/>
    <x v="0"/>
    <x v="3"/>
    <x v="1"/>
    <x v="0"/>
    <n v="24.037514999999999"/>
    <n v="47.958300000000001"/>
    <n v="20.334232"/>
    <n v="14"/>
    <n v="77"/>
    <n v="91"/>
    <x v="2"/>
  </r>
  <r>
    <n v="317"/>
    <x v="269"/>
    <x v="2"/>
    <x v="9"/>
    <x v="0"/>
    <x v="3"/>
    <x v="1"/>
    <x v="0"/>
    <n v="25.3125"/>
    <n v="45.833300000000001"/>
    <n v="18.875306999999999"/>
    <n v="32"/>
    <n v="59"/>
    <n v="91"/>
    <x v="2"/>
  </r>
  <r>
    <n v="339"/>
    <x v="270"/>
    <x v="3"/>
    <x v="11"/>
    <x v="0"/>
    <x v="6"/>
    <x v="0"/>
    <x v="2"/>
    <n v="30.524984999999997"/>
    <n v="82.708300000000008"/>
    <n v="4.1679561000000005"/>
    <n v="13"/>
    <n v="78"/>
    <n v="91"/>
    <x v="2"/>
  </r>
  <r>
    <n v="343"/>
    <x v="271"/>
    <x v="3"/>
    <x v="11"/>
    <x v="0"/>
    <x v="2"/>
    <x v="0"/>
    <x v="0"/>
    <n v="33.975000000000001"/>
    <n v="69.583300000000008"/>
    <n v="5.5420189000000004"/>
    <n v="16"/>
    <n v="75"/>
    <n v="91"/>
    <x v="2"/>
  </r>
  <r>
    <n v="5"/>
    <x v="272"/>
    <x v="3"/>
    <x v="10"/>
    <x v="0"/>
    <x v="1"/>
    <x v="0"/>
    <x v="0"/>
    <n v="33.75"/>
    <n v="43.695699999999995"/>
    <n v="12.522300000000001"/>
    <n v="15"/>
    <n v="77"/>
    <n v="92"/>
    <x v="2"/>
  </r>
  <r>
    <n v="24"/>
    <x v="273"/>
    <x v="3"/>
    <x v="10"/>
    <x v="0"/>
    <x v="6"/>
    <x v="0"/>
    <x v="0"/>
    <n v="34.725014999999999"/>
    <n v="49.173899999999996"/>
    <n v="10.60811"/>
    <n v="15"/>
    <n v="77"/>
    <n v="92"/>
    <x v="2"/>
  </r>
  <r>
    <n v="33"/>
    <x v="274"/>
    <x v="3"/>
    <x v="6"/>
    <x v="0"/>
    <x v="1"/>
    <x v="0"/>
    <x v="2"/>
    <n v="31.95"/>
    <n v="77.541700000000006"/>
    <n v="17.708635999999998"/>
    <n v="16"/>
    <n v="76"/>
    <n v="92"/>
    <x v="2"/>
  </r>
  <r>
    <n v="38"/>
    <x v="275"/>
    <x v="3"/>
    <x v="6"/>
    <x v="0"/>
    <x v="6"/>
    <x v="0"/>
    <x v="0"/>
    <n v="34.875"/>
    <n v="73.833300000000008"/>
    <n v="3.0423561000000001"/>
    <n v="18"/>
    <n v="74"/>
    <n v="92"/>
    <x v="2"/>
  </r>
  <r>
    <n v="301"/>
    <x v="276"/>
    <x v="2"/>
    <x v="4"/>
    <x v="0"/>
    <x v="2"/>
    <x v="0"/>
    <x v="2"/>
    <n v="22.95"/>
    <n v="58.583300000000008"/>
    <n v="15.375093"/>
    <n v="18"/>
    <n v="74"/>
    <n v="92"/>
    <x v="2"/>
  </r>
  <r>
    <n v="308"/>
    <x v="277"/>
    <x v="2"/>
    <x v="9"/>
    <x v="0"/>
    <x v="2"/>
    <x v="0"/>
    <x v="2"/>
    <n v="21.562515000000001"/>
    <n v="62.250000000000007"/>
    <n v="18.209192999999999"/>
    <n v="18"/>
    <n v="74"/>
    <n v="92"/>
    <x v="2"/>
  </r>
  <r>
    <n v="321"/>
    <x v="278"/>
    <x v="2"/>
    <x v="9"/>
    <x v="0"/>
    <x v="0"/>
    <x v="0"/>
    <x v="2"/>
    <n v="23.887485000000002"/>
    <n v="57.583300000000001"/>
    <n v="20.459254000000001"/>
    <n v="15"/>
    <n v="77"/>
    <n v="92"/>
    <x v="2"/>
  </r>
  <r>
    <n v="1"/>
    <x v="279"/>
    <x v="3"/>
    <x v="10"/>
    <x v="0"/>
    <x v="5"/>
    <x v="1"/>
    <x v="2"/>
    <n v="32.250015000000005"/>
    <n v="80.583300000000008"/>
    <n v="10.749881999999999"/>
    <n v="46"/>
    <n v="47"/>
    <n v="93"/>
    <x v="2"/>
  </r>
  <r>
    <n v="4"/>
    <x v="280"/>
    <x v="3"/>
    <x v="10"/>
    <x v="0"/>
    <x v="4"/>
    <x v="0"/>
    <x v="0"/>
    <n v="32.4"/>
    <n v="59.043500000000002"/>
    <n v="10.739832"/>
    <n v="16"/>
    <n v="77"/>
    <n v="93"/>
    <x v="2"/>
  </r>
  <r>
    <n v="25"/>
    <x v="281"/>
    <x v="3"/>
    <x v="10"/>
    <x v="0"/>
    <x v="4"/>
    <x v="0"/>
    <x v="2"/>
    <n v="34.875"/>
    <n v="61.695699999999995"/>
    <n v="8.696332"/>
    <n v="15"/>
    <n v="78"/>
    <n v="93"/>
    <x v="2"/>
  </r>
  <r>
    <n v="55"/>
    <x v="282"/>
    <x v="3"/>
    <x v="6"/>
    <x v="0"/>
    <x v="0"/>
    <x v="0"/>
    <x v="2"/>
    <n v="31.499999999999996"/>
    <n v="69.739099999999993"/>
    <n v="16.783231999999998"/>
    <n v="15"/>
    <n v="78"/>
    <n v="93"/>
    <x v="2"/>
  </r>
  <r>
    <n v="58"/>
    <x v="283"/>
    <x v="3"/>
    <x v="6"/>
    <x v="0"/>
    <x v="3"/>
    <x v="1"/>
    <x v="0"/>
    <n v="28.650015"/>
    <n v="68"/>
    <n v="8.3916159999999991"/>
    <n v="15"/>
    <n v="78"/>
    <n v="93"/>
    <x v="2"/>
  </r>
  <r>
    <n v="86"/>
    <x v="284"/>
    <x v="1"/>
    <x v="8"/>
    <x v="0"/>
    <x v="3"/>
    <x v="1"/>
    <x v="2"/>
    <n v="29.212515000000003"/>
    <n v="49.391300000000001"/>
    <n v="12.348099999999999"/>
    <n v="14"/>
    <n v="79"/>
    <n v="93"/>
    <x v="2"/>
  </r>
  <r>
    <n v="328"/>
    <x v="285"/>
    <x v="2"/>
    <x v="9"/>
    <x v="1"/>
    <x v="0"/>
    <x v="1"/>
    <x v="0"/>
    <n v="31.874984999999999"/>
    <n v="54.916699999999999"/>
    <n v="11.209368000000001"/>
    <n v="15"/>
    <n v="78"/>
    <n v="93"/>
    <x v="2"/>
  </r>
  <r>
    <n v="329"/>
    <x v="286"/>
    <x v="2"/>
    <x v="9"/>
    <x v="0"/>
    <x v="2"/>
    <x v="0"/>
    <x v="0"/>
    <n v="30.675015000000002"/>
    <n v="64.375"/>
    <n v="6.6260186000000001"/>
    <n v="17"/>
    <n v="76"/>
    <n v="93"/>
    <x v="2"/>
  </r>
  <r>
    <n v="361"/>
    <x v="287"/>
    <x v="3"/>
    <x v="11"/>
    <x v="0"/>
    <x v="4"/>
    <x v="0"/>
    <x v="2"/>
    <n v="33.487515000000002"/>
    <n v="76.25"/>
    <n v="12.626150000000001"/>
    <n v="15"/>
    <n v="78"/>
    <n v="93"/>
    <x v="2"/>
  </r>
  <r>
    <n v="3"/>
    <x v="288"/>
    <x v="3"/>
    <x v="10"/>
    <x v="0"/>
    <x v="6"/>
    <x v="0"/>
    <x v="0"/>
    <n v="33.600014999999999"/>
    <n v="43.7273"/>
    <n v="16.636703000000001"/>
    <n v="21"/>
    <n v="73"/>
    <n v="94"/>
    <x v="2"/>
  </r>
  <r>
    <n v="45"/>
    <x v="289"/>
    <x v="3"/>
    <x v="6"/>
    <x v="0"/>
    <x v="6"/>
    <x v="0"/>
    <x v="0"/>
    <n v="31.537485"/>
    <n v="37.583299999999994"/>
    <n v="27.999835999999998"/>
    <n v="14"/>
    <n v="80"/>
    <n v="94"/>
    <x v="2"/>
  </r>
  <r>
    <n v="46"/>
    <x v="290"/>
    <x v="3"/>
    <x v="6"/>
    <x v="0"/>
    <x v="4"/>
    <x v="0"/>
    <x v="0"/>
    <n v="32.549985"/>
    <n v="31.434800000000003"/>
    <n v="19.522058000000001"/>
    <n v="13"/>
    <n v="81"/>
    <n v="94"/>
    <x v="2"/>
  </r>
  <r>
    <n v="72"/>
    <x v="291"/>
    <x v="1"/>
    <x v="8"/>
    <x v="0"/>
    <x v="3"/>
    <x v="1"/>
    <x v="0"/>
    <n v="28.995660000000001"/>
    <n v="52.739100000000008"/>
    <n v="18.130468"/>
    <n v="14"/>
    <n v="80"/>
    <n v="94"/>
    <x v="2"/>
  </r>
  <r>
    <n v="115"/>
    <x v="292"/>
    <x v="1"/>
    <x v="1"/>
    <x v="0"/>
    <x v="6"/>
    <x v="0"/>
    <x v="0"/>
    <n v="21.225014999999999"/>
    <n v="77.666700000000006"/>
    <n v="12.417311"/>
    <n v="14"/>
    <n v="80"/>
    <n v="94"/>
    <x v="2"/>
  </r>
  <r>
    <n v="309"/>
    <x v="293"/>
    <x v="2"/>
    <x v="9"/>
    <x v="0"/>
    <x v="5"/>
    <x v="1"/>
    <x v="0"/>
    <n v="23.400000000000002"/>
    <n v="51.916700000000006"/>
    <n v="12.667154"/>
    <n v="32"/>
    <n v="62"/>
    <n v="94"/>
    <x v="2"/>
  </r>
  <r>
    <n v="324"/>
    <x v="294"/>
    <x v="2"/>
    <x v="9"/>
    <x v="0"/>
    <x v="3"/>
    <x v="1"/>
    <x v="2"/>
    <n v="27.187515000000001"/>
    <n v="68.458300000000008"/>
    <n v="12.45865"/>
    <n v="32"/>
    <n v="62"/>
    <n v="94"/>
    <x v="2"/>
  </r>
  <r>
    <n v="360"/>
    <x v="295"/>
    <x v="3"/>
    <x v="11"/>
    <x v="1"/>
    <x v="6"/>
    <x v="1"/>
    <x v="0"/>
    <n v="30.712499999999999"/>
    <n v="50.695700000000002"/>
    <n v="16.044155"/>
    <n v="17"/>
    <n v="77"/>
    <n v="94"/>
    <x v="2"/>
  </r>
  <r>
    <n v="62"/>
    <x v="296"/>
    <x v="1"/>
    <x v="8"/>
    <x v="0"/>
    <x v="0"/>
    <x v="0"/>
    <x v="0"/>
    <n v="28.949985000000002"/>
    <n v="31.833299999999998"/>
    <n v="15.125518000000001"/>
    <n v="18"/>
    <n v="77"/>
    <n v="95"/>
    <x v="2"/>
  </r>
  <r>
    <n v="73"/>
    <x v="297"/>
    <x v="1"/>
    <x v="8"/>
    <x v="0"/>
    <x v="6"/>
    <x v="0"/>
    <x v="0"/>
    <n v="29.287485"/>
    <n v="49.695699999999995"/>
    <n v="9.174042"/>
    <n v="14"/>
    <n v="81"/>
    <n v="95"/>
    <x v="2"/>
  </r>
  <r>
    <n v="76"/>
    <x v="298"/>
    <x v="1"/>
    <x v="8"/>
    <x v="0"/>
    <x v="0"/>
    <x v="0"/>
    <x v="0"/>
    <n v="21.112514999999998"/>
    <n v="60.291700000000006"/>
    <n v="14.041792999999998"/>
    <n v="15"/>
    <n v="80"/>
    <n v="95"/>
    <x v="2"/>
  </r>
  <r>
    <n v="108"/>
    <x v="299"/>
    <x v="1"/>
    <x v="1"/>
    <x v="0"/>
    <x v="6"/>
    <x v="0"/>
    <x v="0"/>
    <n v="23.962499999999999"/>
    <n v="54.25"/>
    <n v="10.958988999999999"/>
    <n v="13"/>
    <n v="82"/>
    <n v="95"/>
    <x v="2"/>
  </r>
  <r>
    <n v="330"/>
    <x v="300"/>
    <x v="2"/>
    <x v="9"/>
    <x v="0"/>
    <x v="5"/>
    <x v="1"/>
    <x v="0"/>
    <n v="29.512485000000002"/>
    <n v="68.166700000000006"/>
    <n v="4.5841935999999999"/>
    <n v="40"/>
    <n v="55"/>
    <n v="95"/>
    <x v="2"/>
  </r>
  <r>
    <n v="352"/>
    <x v="301"/>
    <x v="3"/>
    <x v="11"/>
    <x v="0"/>
    <x v="3"/>
    <x v="1"/>
    <x v="0"/>
    <n v="31.462515"/>
    <n v="58.625000000000007"/>
    <n v="11.375193000000001"/>
    <n v="33"/>
    <n v="62"/>
    <n v="95"/>
    <x v="2"/>
  </r>
  <r>
    <n v="39"/>
    <x v="302"/>
    <x v="3"/>
    <x v="6"/>
    <x v="0"/>
    <x v="4"/>
    <x v="0"/>
    <x v="0"/>
    <n v="34.500014999999998"/>
    <n v="53.791699999999999"/>
    <n v="24.25065"/>
    <n v="18"/>
    <n v="78"/>
    <n v="96"/>
    <x v="2"/>
  </r>
  <r>
    <n v="40"/>
    <x v="303"/>
    <x v="3"/>
    <x v="6"/>
    <x v="0"/>
    <x v="1"/>
    <x v="0"/>
    <x v="2"/>
    <n v="32.287500000000001"/>
    <n v="49.478299999999997"/>
    <n v="12.652213"/>
    <n v="16"/>
    <n v="80"/>
    <n v="96"/>
    <x v="2"/>
  </r>
  <r>
    <n v="51"/>
    <x v="304"/>
    <x v="3"/>
    <x v="6"/>
    <x v="0"/>
    <x v="3"/>
    <x v="1"/>
    <x v="0"/>
    <n v="31.125015000000001"/>
    <n v="40.782600000000002"/>
    <n v="14.956745"/>
    <n v="17"/>
    <n v="79"/>
    <n v="96"/>
    <x v="2"/>
  </r>
  <r>
    <n v="74"/>
    <x v="305"/>
    <x v="1"/>
    <x v="8"/>
    <x v="0"/>
    <x v="4"/>
    <x v="0"/>
    <x v="2"/>
    <n v="30.299985"/>
    <n v="65.565200000000004"/>
    <n v="12.348703"/>
    <n v="13"/>
    <n v="83"/>
    <n v="96"/>
    <x v="2"/>
  </r>
  <r>
    <n v="82"/>
    <x v="306"/>
    <x v="1"/>
    <x v="8"/>
    <x v="0"/>
    <x v="1"/>
    <x v="0"/>
    <x v="2"/>
    <n v="28.274985000000001"/>
    <n v="83.956500000000005"/>
    <n v="15.695487"/>
    <n v="11"/>
    <n v="85"/>
    <n v="96"/>
    <x v="2"/>
  </r>
  <r>
    <n v="95"/>
    <x v="307"/>
    <x v="1"/>
    <x v="1"/>
    <x v="0"/>
    <x v="4"/>
    <x v="0"/>
    <x v="2"/>
    <n v="24.224984999999997"/>
    <n v="64.208299999999994"/>
    <n v="26.000488999999998"/>
    <n v="11"/>
    <n v="85"/>
    <n v="96"/>
    <x v="2"/>
  </r>
  <r>
    <n v="96"/>
    <x v="308"/>
    <x v="1"/>
    <x v="1"/>
    <x v="0"/>
    <x v="1"/>
    <x v="0"/>
    <x v="0"/>
    <n v="22.237515000000002"/>
    <n v="47.083300000000001"/>
    <n v="17.625221"/>
    <n v="13"/>
    <n v="83"/>
    <n v="96"/>
    <x v="2"/>
  </r>
  <r>
    <n v="312"/>
    <x v="309"/>
    <x v="2"/>
    <x v="9"/>
    <x v="0"/>
    <x v="4"/>
    <x v="0"/>
    <x v="0"/>
    <n v="23.962499999999999"/>
    <n v="72.166699999999992"/>
    <n v="4.6255125000000001"/>
    <n v="14"/>
    <n v="82"/>
    <n v="96"/>
    <x v="2"/>
  </r>
  <r>
    <n v="331"/>
    <x v="310"/>
    <x v="2"/>
    <x v="9"/>
    <x v="0"/>
    <x v="3"/>
    <x v="1"/>
    <x v="0"/>
    <n v="30.037499999999998"/>
    <n v="69.833299999999994"/>
    <n v="13.999917999999999"/>
    <n v="47"/>
    <n v="49"/>
    <n v="96"/>
    <x v="2"/>
  </r>
  <r>
    <n v="340"/>
    <x v="311"/>
    <x v="3"/>
    <x v="11"/>
    <x v="0"/>
    <x v="4"/>
    <x v="0"/>
    <x v="1"/>
    <n v="31.837500000000002"/>
    <n v="94.958299999999994"/>
    <n v="15.583061000000001"/>
    <n v="15"/>
    <n v="81"/>
    <n v="96"/>
    <x v="2"/>
  </r>
  <r>
    <n v="354"/>
    <x v="312"/>
    <x v="3"/>
    <x v="11"/>
    <x v="0"/>
    <x v="4"/>
    <x v="0"/>
    <x v="2"/>
    <n v="30.637485000000002"/>
    <n v="59.541699999999999"/>
    <n v="4.1252436000000001"/>
    <n v="15"/>
    <n v="81"/>
    <n v="96"/>
    <x v="2"/>
  </r>
  <r>
    <n v="356"/>
    <x v="313"/>
    <x v="3"/>
    <x v="11"/>
    <x v="0"/>
    <x v="0"/>
    <x v="0"/>
    <x v="2"/>
    <n v="32.774985000000001"/>
    <n v="75.75"/>
    <n v="3.1674249999999997"/>
    <n v="15"/>
    <n v="81"/>
    <n v="96"/>
    <x v="2"/>
  </r>
  <r>
    <n v="31"/>
    <x v="314"/>
    <x v="3"/>
    <x v="10"/>
    <x v="0"/>
    <x v="6"/>
    <x v="0"/>
    <x v="2"/>
    <n v="35.249984999999995"/>
    <n v="60.375"/>
    <n v="12.541864"/>
    <n v="16"/>
    <n v="81"/>
    <n v="97"/>
    <x v="2"/>
  </r>
  <r>
    <n v="34"/>
    <x v="315"/>
    <x v="3"/>
    <x v="6"/>
    <x v="0"/>
    <x v="0"/>
    <x v="0"/>
    <x v="0"/>
    <n v="31.987485000000003"/>
    <n v="43.782600000000002"/>
    <n v="18.609383999999999"/>
    <n v="20"/>
    <n v="77"/>
    <n v="97"/>
    <x v="2"/>
  </r>
  <r>
    <n v="89"/>
    <x v="316"/>
    <x v="1"/>
    <x v="8"/>
    <x v="0"/>
    <x v="1"/>
    <x v="0"/>
    <x v="2"/>
    <n v="27.750014999999998"/>
    <n v="64.666700000000006"/>
    <n v="11.583495999999998"/>
    <n v="13"/>
    <n v="84"/>
    <n v="97"/>
    <x v="2"/>
  </r>
  <r>
    <n v="314"/>
    <x v="317"/>
    <x v="2"/>
    <x v="9"/>
    <x v="0"/>
    <x v="0"/>
    <x v="0"/>
    <x v="2"/>
    <n v="24.075000000000003"/>
    <n v="81.333299999999994"/>
    <n v="12.667489000000002"/>
    <n v="14"/>
    <n v="83"/>
    <n v="97"/>
    <x v="2"/>
  </r>
  <r>
    <n v="350"/>
    <x v="318"/>
    <x v="3"/>
    <x v="11"/>
    <x v="0"/>
    <x v="2"/>
    <x v="0"/>
    <x v="2"/>
    <n v="29.212515000000003"/>
    <n v="50.041699999999999"/>
    <n v="17.458525000000002"/>
    <n v="17"/>
    <n v="80"/>
    <n v="97"/>
    <x v="2"/>
  </r>
  <r>
    <n v="8"/>
    <x v="319"/>
    <x v="3"/>
    <x v="10"/>
    <x v="0"/>
    <x v="5"/>
    <x v="1"/>
    <x v="2"/>
    <n v="33.637500000000003"/>
    <n v="53.583300000000001"/>
    <n v="17.875868000000001"/>
    <n v="35"/>
    <n v="63"/>
    <n v="98"/>
    <x v="2"/>
  </r>
  <r>
    <n v="41"/>
    <x v="320"/>
    <x v="3"/>
    <x v="6"/>
    <x v="0"/>
    <x v="0"/>
    <x v="0"/>
    <x v="0"/>
    <n v="31.874984999999999"/>
    <n v="43.739100000000001"/>
    <n v="14.869645"/>
    <n v="21"/>
    <n v="77"/>
    <n v="98"/>
    <x v="2"/>
  </r>
  <r>
    <n v="64"/>
    <x v="321"/>
    <x v="1"/>
    <x v="8"/>
    <x v="0"/>
    <x v="5"/>
    <x v="1"/>
    <x v="2"/>
    <n v="31.912514999999999"/>
    <n v="78.916699999999992"/>
    <n v="16.875357000000001"/>
    <n v="50"/>
    <n v="48"/>
    <n v="98"/>
    <x v="2"/>
  </r>
  <r>
    <n v="322"/>
    <x v="322"/>
    <x v="2"/>
    <x v="9"/>
    <x v="0"/>
    <x v="2"/>
    <x v="0"/>
    <x v="0"/>
    <n v="24.150015"/>
    <n v="41"/>
    <n v="11.291710999999999"/>
    <n v="18"/>
    <n v="80"/>
    <n v="98"/>
    <x v="2"/>
  </r>
  <r>
    <n v="338"/>
    <x v="323"/>
    <x v="3"/>
    <x v="11"/>
    <x v="0"/>
    <x v="3"/>
    <x v="1"/>
    <x v="0"/>
    <n v="29.174985000000003"/>
    <n v="77.583299999999994"/>
    <n v="5.6252060999999998"/>
    <n v="34"/>
    <n v="64"/>
    <n v="98"/>
    <x v="2"/>
  </r>
  <r>
    <n v="347"/>
    <x v="324"/>
    <x v="3"/>
    <x v="11"/>
    <x v="0"/>
    <x v="4"/>
    <x v="0"/>
    <x v="0"/>
    <n v="27.187515000000001"/>
    <n v="59"/>
    <n v="9.4168500000000002"/>
    <n v="15"/>
    <n v="83"/>
    <n v="98"/>
    <x v="2"/>
  </r>
  <r>
    <n v="357"/>
    <x v="325"/>
    <x v="3"/>
    <x v="11"/>
    <x v="0"/>
    <x v="2"/>
    <x v="0"/>
    <x v="0"/>
    <n v="32.587515000000003"/>
    <n v="68.625"/>
    <n v="18.374482"/>
    <n v="19"/>
    <n v="80"/>
    <n v="99"/>
    <x v="2"/>
  </r>
  <r>
    <n v="85"/>
    <x v="326"/>
    <x v="1"/>
    <x v="8"/>
    <x v="0"/>
    <x v="5"/>
    <x v="1"/>
    <x v="0"/>
    <n v="28.537515000000003"/>
    <n v="39.416699999999999"/>
    <n v="14.041257"/>
    <n v="31"/>
    <n v="69"/>
    <n v="100"/>
    <x v="3"/>
  </r>
  <r>
    <n v="97"/>
    <x v="327"/>
    <x v="1"/>
    <x v="1"/>
    <x v="0"/>
    <x v="0"/>
    <x v="0"/>
    <x v="0"/>
    <n v="22.987485"/>
    <n v="60.291700000000006"/>
    <n v="10.874904000000001"/>
    <n v="19"/>
    <n v="81"/>
    <n v="100"/>
    <x v="3"/>
  </r>
  <r>
    <n v="327"/>
    <x v="328"/>
    <x v="2"/>
    <x v="9"/>
    <x v="0"/>
    <x v="1"/>
    <x v="0"/>
    <x v="2"/>
    <n v="29.737485"/>
    <n v="75.791699999999992"/>
    <n v="22.500274999999998"/>
    <n v="15"/>
    <n v="85"/>
    <n v="100"/>
    <x v="3"/>
  </r>
  <r>
    <n v="335"/>
    <x v="329"/>
    <x v="3"/>
    <x v="11"/>
    <x v="0"/>
    <x v="0"/>
    <x v="0"/>
    <x v="0"/>
    <n v="32.174999999999997"/>
    <n v="52.458300000000001"/>
    <n v="14.750586"/>
    <n v="15"/>
    <n v="85"/>
    <n v="100"/>
    <x v="3"/>
  </r>
  <r>
    <n v="344"/>
    <x v="330"/>
    <x v="3"/>
    <x v="11"/>
    <x v="0"/>
    <x v="5"/>
    <x v="1"/>
    <x v="0"/>
    <n v="32.625"/>
    <n v="50.749999999999993"/>
    <n v="15.625807"/>
    <n v="35"/>
    <n v="65"/>
    <n v="100"/>
    <x v="3"/>
  </r>
  <r>
    <n v="346"/>
    <x v="331"/>
    <x v="3"/>
    <x v="11"/>
    <x v="0"/>
    <x v="6"/>
    <x v="0"/>
    <x v="0"/>
    <n v="28.574999999999999"/>
    <n v="67.083300000000008"/>
    <n v="4.2511500000000009"/>
    <n v="17"/>
    <n v="83"/>
    <n v="100"/>
    <x v="3"/>
  </r>
  <r>
    <n v="60"/>
    <x v="332"/>
    <x v="1"/>
    <x v="8"/>
    <x v="0"/>
    <x v="4"/>
    <x v="0"/>
    <x v="0"/>
    <n v="29.550014999999998"/>
    <n v="53.5"/>
    <n v="14.500475"/>
    <n v="14"/>
    <n v="87"/>
    <n v="101"/>
    <x v="3"/>
  </r>
  <r>
    <n v="71"/>
    <x v="333"/>
    <x v="1"/>
    <x v="8"/>
    <x v="0"/>
    <x v="5"/>
    <x v="1"/>
    <x v="0"/>
    <n v="29.399985000000001"/>
    <n v="59.458299999999994"/>
    <n v="14.791924999999999"/>
    <n v="33"/>
    <n v="68"/>
    <n v="101"/>
    <x v="3"/>
  </r>
  <r>
    <n v="106"/>
    <x v="334"/>
    <x v="1"/>
    <x v="1"/>
    <x v="0"/>
    <x v="5"/>
    <x v="1"/>
    <x v="1"/>
    <n v="23.025015"/>
    <n v="88.833300000000008"/>
    <n v="22.834136000000001"/>
    <n v="35"/>
    <n v="66"/>
    <n v="101"/>
    <x v="3"/>
  </r>
  <r>
    <n v="12"/>
    <x v="335"/>
    <x v="3"/>
    <x v="10"/>
    <x v="0"/>
    <x v="1"/>
    <x v="0"/>
    <x v="0"/>
    <n v="30.637485000000002"/>
    <n v="59.954499999999996"/>
    <n v="20.410008999999999"/>
    <n v="18"/>
    <n v="84"/>
    <n v="102"/>
    <x v="3"/>
  </r>
  <r>
    <n v="100"/>
    <x v="336"/>
    <x v="1"/>
    <x v="1"/>
    <x v="0"/>
    <x v="3"/>
    <x v="1"/>
    <x v="2"/>
    <n v="25.687485000000002"/>
    <n v="85.75"/>
    <n v="9.8333890000000004"/>
    <n v="30"/>
    <n v="72"/>
    <n v="102"/>
    <x v="3"/>
  </r>
  <r>
    <n v="351"/>
    <x v="337"/>
    <x v="3"/>
    <x v="11"/>
    <x v="0"/>
    <x v="5"/>
    <x v="1"/>
    <x v="2"/>
    <n v="31.350015000000003"/>
    <n v="56.083300000000001"/>
    <n v="16.292189"/>
    <n v="36"/>
    <n v="66"/>
    <n v="102"/>
    <x v="3"/>
  </r>
  <r>
    <n v="365"/>
    <x v="338"/>
    <x v="3"/>
    <x v="11"/>
    <x v="0"/>
    <x v="5"/>
    <x v="1"/>
    <x v="0"/>
    <n v="33.224985000000004"/>
    <n v="61.583299999999994"/>
    <n v="14.750318"/>
    <n v="44"/>
    <n v="58"/>
    <n v="102"/>
    <x v="3"/>
  </r>
  <r>
    <n v="53"/>
    <x v="339"/>
    <x v="3"/>
    <x v="6"/>
    <x v="0"/>
    <x v="4"/>
    <x v="0"/>
    <x v="0"/>
    <n v="30.299985"/>
    <n v="57.777799999999999"/>
    <n v="13.110761"/>
    <n v="19"/>
    <n v="84"/>
    <n v="103"/>
    <x v="3"/>
  </r>
  <r>
    <n v="61"/>
    <x v="340"/>
    <x v="1"/>
    <x v="8"/>
    <x v="0"/>
    <x v="1"/>
    <x v="0"/>
    <x v="0"/>
    <n v="29.475000000000001"/>
    <n v="44.958300000000001"/>
    <n v="20.624811000000001"/>
    <n v="16"/>
    <n v="87"/>
    <n v="103"/>
    <x v="3"/>
  </r>
  <r>
    <n v="348"/>
    <x v="341"/>
    <x v="3"/>
    <x v="11"/>
    <x v="0"/>
    <x v="1"/>
    <x v="0"/>
    <x v="2"/>
    <n v="28.200015"/>
    <n v="66.375"/>
    <n v="4.0842061000000003"/>
    <n v="15"/>
    <n v="88"/>
    <n v="103"/>
    <x v="3"/>
  </r>
  <r>
    <n v="49"/>
    <x v="342"/>
    <x v="3"/>
    <x v="6"/>
    <x v="0"/>
    <x v="2"/>
    <x v="0"/>
    <x v="0"/>
    <n v="31.387499999999999"/>
    <n v="51.666699999999999"/>
    <n v="17.749975000000003"/>
    <n v="38"/>
    <n v="66"/>
    <n v="104"/>
    <x v="3"/>
  </r>
  <r>
    <n v="90"/>
    <x v="343"/>
    <x v="1"/>
    <x v="8"/>
    <x v="0"/>
    <x v="0"/>
    <x v="0"/>
    <x v="1"/>
    <n v="25.387515"/>
    <n v="91.833299999999994"/>
    <n v="14.582282000000001"/>
    <n v="17"/>
    <n v="87"/>
    <n v="104"/>
    <x v="3"/>
  </r>
  <r>
    <n v="105"/>
    <x v="344"/>
    <x v="1"/>
    <x v="1"/>
    <x v="1"/>
    <x v="2"/>
    <x v="1"/>
    <x v="0"/>
    <n v="22.800014999999998"/>
    <n v="67.125"/>
    <n v="15.167124999999999"/>
    <n v="38"/>
    <n v="66"/>
    <n v="104"/>
    <x v="3"/>
  </r>
  <r>
    <n v="358"/>
    <x v="345"/>
    <x v="3"/>
    <x v="11"/>
    <x v="0"/>
    <x v="5"/>
    <x v="1"/>
    <x v="0"/>
    <n v="31.274999999999999"/>
    <n v="54.25"/>
    <n v="12.750368"/>
    <n v="36"/>
    <n v="68"/>
    <n v="104"/>
    <x v="3"/>
  </r>
  <r>
    <n v="59"/>
    <x v="346"/>
    <x v="3"/>
    <x v="6"/>
    <x v="0"/>
    <x v="6"/>
    <x v="0"/>
    <x v="2"/>
    <n v="28.762515"/>
    <n v="87.636400000000009"/>
    <n v="19.408961999999999"/>
    <n v="16"/>
    <n v="89"/>
    <n v="105"/>
    <x v="3"/>
  </r>
  <r>
    <n v="362"/>
    <x v="347"/>
    <x v="3"/>
    <x v="11"/>
    <x v="0"/>
    <x v="1"/>
    <x v="0"/>
    <x v="0"/>
    <n v="32.774985000000001"/>
    <n v="50.391300000000008"/>
    <n v="19.695386999999997"/>
    <n v="17"/>
    <n v="88"/>
    <n v="105"/>
    <x v="3"/>
  </r>
  <r>
    <n v="15"/>
    <x v="348"/>
    <x v="3"/>
    <x v="10"/>
    <x v="0"/>
    <x v="5"/>
    <x v="1"/>
    <x v="2"/>
    <n v="32.362515000000002"/>
    <n v="49.875"/>
    <n v="10.583520999999999"/>
    <n v="40"/>
    <n v="66"/>
    <n v="106"/>
    <x v="3"/>
  </r>
  <r>
    <n v="302"/>
    <x v="349"/>
    <x v="2"/>
    <x v="4"/>
    <x v="0"/>
    <x v="5"/>
    <x v="1"/>
    <x v="1"/>
    <n v="21.262499999999999"/>
    <n v="88.25"/>
    <n v="23.541857"/>
    <n v="39"/>
    <n v="67"/>
    <n v="106"/>
    <x v="3"/>
  </r>
  <r>
    <n v="336"/>
    <x v="350"/>
    <x v="3"/>
    <x v="11"/>
    <x v="0"/>
    <x v="2"/>
    <x v="0"/>
    <x v="0"/>
    <n v="27.9"/>
    <n v="62.583299999999994"/>
    <n v="6.7505179999999996"/>
    <n v="18"/>
    <n v="88"/>
    <n v="106"/>
    <x v="3"/>
  </r>
  <r>
    <n v="337"/>
    <x v="351"/>
    <x v="3"/>
    <x v="11"/>
    <x v="0"/>
    <x v="5"/>
    <x v="1"/>
    <x v="0"/>
    <n v="28.574999999999999"/>
    <n v="61.291700000000006"/>
    <n v="6.4174810999999998"/>
    <n v="37"/>
    <n v="69"/>
    <n v="106"/>
    <x v="3"/>
  </r>
  <r>
    <n v="359"/>
    <x v="352"/>
    <x v="3"/>
    <x v="11"/>
    <x v="0"/>
    <x v="3"/>
    <x v="1"/>
    <x v="0"/>
    <n v="30.6"/>
    <n v="68.130400000000009"/>
    <n v="10.391097"/>
    <n v="38"/>
    <n v="68"/>
    <n v="106"/>
    <x v="3"/>
  </r>
  <r>
    <n v="7"/>
    <x v="353"/>
    <x v="3"/>
    <x v="10"/>
    <x v="0"/>
    <x v="2"/>
    <x v="0"/>
    <x v="2"/>
    <n v="32.999985000000002"/>
    <n v="49.869599999999998"/>
    <n v="11.304641999999999"/>
    <n v="40"/>
    <n v="67"/>
    <n v="107"/>
    <x v="3"/>
  </r>
  <r>
    <n v="70"/>
    <x v="354"/>
    <x v="1"/>
    <x v="8"/>
    <x v="0"/>
    <x v="2"/>
    <x v="0"/>
    <x v="2"/>
    <n v="29.700000000000003"/>
    <n v="64.956499999999991"/>
    <n v="15.60899"/>
    <n v="35"/>
    <n v="72"/>
    <n v="107"/>
    <x v="3"/>
  </r>
  <r>
    <n v="364"/>
    <x v="355"/>
    <x v="3"/>
    <x v="11"/>
    <x v="0"/>
    <x v="2"/>
    <x v="0"/>
    <x v="0"/>
    <n v="32.512500000000003"/>
    <n v="63.666699999999999"/>
    <n v="9.0005790000000001"/>
    <n v="25"/>
    <n v="82"/>
    <n v="107"/>
    <x v="3"/>
  </r>
  <r>
    <n v="98"/>
    <x v="356"/>
    <x v="1"/>
    <x v="1"/>
    <x v="0"/>
    <x v="2"/>
    <x v="0"/>
    <x v="2"/>
    <n v="23.475014999999999"/>
    <n v="83.625"/>
    <n v="15.208463999999999"/>
    <n v="45"/>
    <n v="63"/>
    <n v="108"/>
    <x v="3"/>
  </r>
  <r>
    <n v="84"/>
    <x v="357"/>
    <x v="1"/>
    <x v="8"/>
    <x v="0"/>
    <x v="2"/>
    <x v="0"/>
    <x v="0"/>
    <n v="27.300014999999998"/>
    <n v="49.5"/>
    <n v="15.458575000000002"/>
    <n v="36"/>
    <n v="73"/>
    <n v="109"/>
    <x v="3"/>
  </r>
  <r>
    <n v="13"/>
    <x v="358"/>
    <x v="3"/>
    <x v="10"/>
    <x v="0"/>
    <x v="0"/>
    <x v="0"/>
    <x v="0"/>
    <n v="29.849984999999997"/>
    <n v="47.041699999999999"/>
    <n v="20.166999999999998"/>
    <n v="26"/>
    <n v="84"/>
    <n v="110"/>
    <x v="3"/>
  </r>
  <r>
    <n v="99"/>
    <x v="359"/>
    <x v="1"/>
    <x v="1"/>
    <x v="0"/>
    <x v="5"/>
    <x v="1"/>
    <x v="2"/>
    <n v="24.337485000000001"/>
    <n v="87.75"/>
    <n v="8.9165609999999997"/>
    <n v="48"/>
    <n v="62"/>
    <n v="110"/>
    <x v="3"/>
  </r>
  <r>
    <n v="363"/>
    <x v="360"/>
    <x v="3"/>
    <x v="11"/>
    <x v="0"/>
    <x v="0"/>
    <x v="0"/>
    <x v="0"/>
    <n v="31.350015000000003"/>
    <n v="57.416699999999999"/>
    <n v="8.0006040000000009"/>
    <n v="21"/>
    <n v="90"/>
    <n v="111"/>
    <x v="3"/>
  </r>
  <r>
    <n v="323"/>
    <x v="361"/>
    <x v="2"/>
    <x v="9"/>
    <x v="0"/>
    <x v="5"/>
    <x v="1"/>
    <x v="0"/>
    <n v="27.112500000000001"/>
    <n v="50.208299999999994"/>
    <n v="15.041232000000001"/>
    <n v="45"/>
    <n v="71"/>
    <n v="116"/>
    <x v="3"/>
  </r>
  <r>
    <n v="14"/>
    <x v="362"/>
    <x v="3"/>
    <x v="10"/>
    <x v="0"/>
    <x v="2"/>
    <x v="0"/>
    <x v="0"/>
    <n v="30.900015"/>
    <n v="53.782600000000002"/>
    <n v="8.4787160000000004"/>
    <n v="48"/>
    <n v="70"/>
    <n v="118"/>
    <x v="3"/>
  </r>
  <r>
    <n v="52"/>
    <x v="363"/>
    <x v="3"/>
    <x v="6"/>
    <x v="1"/>
    <x v="6"/>
    <x v="1"/>
    <x v="2"/>
    <n v="28.837485000000001"/>
    <n v="60.5"/>
    <n v="20.625682000000001"/>
    <n v="26"/>
    <n v="92"/>
    <n v="118"/>
    <x v="3"/>
  </r>
  <r>
    <n v="2"/>
    <x v="364"/>
    <x v="3"/>
    <x v="10"/>
    <x v="0"/>
    <x v="3"/>
    <x v="1"/>
    <x v="2"/>
    <n v="32.700015"/>
    <n v="69.608699999999999"/>
    <n v="16.652113"/>
    <n v="61"/>
    <n v="60"/>
    <n v="12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B005B2-8DE6-4D90-B0C0-7656408F6AC6}"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R28:U36" firstHeaderRow="0" firstDataRow="1" firstDataCol="1"/>
  <pivotFields count="15">
    <pivotField showAll="0"/>
    <pivotField numFmtId="14" showAll="0"/>
    <pivotField showAll="0">
      <items count="5">
        <item x="1"/>
        <item x="2"/>
        <item x="3"/>
        <item x="0"/>
        <item t="default"/>
      </items>
    </pivotField>
    <pivotField showAll="0">
      <items count="13">
        <item x="10"/>
        <item x="6"/>
        <item x="8"/>
        <item x="1"/>
        <item x="7"/>
        <item x="3"/>
        <item x="0"/>
        <item x="5"/>
        <item x="2"/>
        <item x="4"/>
        <item x="9"/>
        <item x="11"/>
        <item t="default"/>
      </items>
    </pivotField>
    <pivotField showAll="0">
      <items count="3">
        <item x="1"/>
        <item x="0"/>
        <item t="default"/>
      </items>
    </pivotField>
    <pivotField axis="axisRow" showAll="0" includeNewItemsInFilter="1">
      <items count="8">
        <item x="6"/>
        <item x="4"/>
        <item x="1"/>
        <item x="0"/>
        <item x="2"/>
        <item x="5"/>
        <item x="3"/>
        <item t="default"/>
      </items>
    </pivotField>
    <pivotField showAll="0"/>
    <pivotField showAll="0">
      <items count="4">
        <item x="0"/>
        <item x="2"/>
        <item x="1"/>
        <item t="default"/>
      </items>
    </pivotField>
    <pivotField numFmtId="1" showAll="0"/>
    <pivotField numFmtId="1" showAll="0"/>
    <pivotField numFmtId="1" showAll="0"/>
    <pivotField dataField="1" showAll="0"/>
    <pivotField dataField="1" showAll="0"/>
    <pivotField dataField="1" showAll="0"/>
    <pivotField showAll="0">
      <items count="5">
        <item x="3"/>
        <item x="2"/>
        <item x="1"/>
        <item x="0"/>
        <item t="default"/>
      </items>
    </pivotField>
  </pivotFields>
  <rowFields count="1">
    <field x="5"/>
  </rowFields>
  <rowItems count="8">
    <i>
      <x/>
    </i>
    <i>
      <x v="1"/>
    </i>
    <i>
      <x v="2"/>
    </i>
    <i>
      <x v="3"/>
    </i>
    <i>
      <x v="4"/>
    </i>
    <i>
      <x v="5"/>
    </i>
    <i>
      <x v="6"/>
    </i>
    <i t="grand">
      <x/>
    </i>
  </rowItems>
  <colFields count="1">
    <field x="-2"/>
  </colFields>
  <colItems count="3">
    <i>
      <x/>
    </i>
    <i i="1">
      <x v="1"/>
    </i>
    <i i="2">
      <x v="2"/>
    </i>
  </colItems>
  <dataFields count="3">
    <dataField name="Sum of pBike" fld="12" baseField="5" baseItem="1"/>
    <dataField name="Sum of eBike" fld="11" baseField="0" baseItem="0"/>
    <dataField name="Sum of Count" fld="13" baseField="0" baseItem="0"/>
  </dataFields>
  <formats count="30">
    <format dxfId="252">
      <pivotArea type="all" dataOnly="0" outline="0" fieldPosition="0"/>
    </format>
    <format dxfId="253">
      <pivotArea outline="0" collapsedLevelsAreSubtotals="1" fieldPosition="0"/>
    </format>
    <format dxfId="254">
      <pivotArea field="5" type="button" dataOnly="0" labelOnly="1" outline="0" axis="axisRow" fieldPosition="0"/>
    </format>
    <format dxfId="255">
      <pivotArea dataOnly="0" labelOnly="1" fieldPosition="0">
        <references count="1">
          <reference field="5" count="5">
            <x v="0"/>
            <x v="1"/>
            <x v="2"/>
            <x v="3"/>
            <x v="5"/>
          </reference>
        </references>
      </pivotArea>
    </format>
    <format dxfId="256">
      <pivotArea dataOnly="0" labelOnly="1" grandRow="1" outline="0" fieldPosition="0"/>
    </format>
    <format dxfId="257">
      <pivotArea dataOnly="0" labelOnly="1" outline="0" fieldPosition="0">
        <references count="1">
          <reference field="4294967294" count="3">
            <x v="0"/>
            <x v="1"/>
            <x v="2"/>
          </reference>
        </references>
      </pivotArea>
    </format>
    <format dxfId="258">
      <pivotArea type="all" dataOnly="0" outline="0" fieldPosition="0"/>
    </format>
    <format dxfId="259">
      <pivotArea outline="0" collapsedLevelsAreSubtotals="1" fieldPosition="0"/>
    </format>
    <format dxfId="260">
      <pivotArea field="5" type="button" dataOnly="0" labelOnly="1" outline="0" axis="axisRow" fieldPosition="0"/>
    </format>
    <format dxfId="261">
      <pivotArea dataOnly="0" labelOnly="1" fieldPosition="0">
        <references count="1">
          <reference field="5" count="5">
            <x v="0"/>
            <x v="1"/>
            <x v="2"/>
            <x v="3"/>
            <x v="5"/>
          </reference>
        </references>
      </pivotArea>
    </format>
    <format dxfId="262">
      <pivotArea dataOnly="0" labelOnly="1" grandRow="1" outline="0" fieldPosition="0"/>
    </format>
    <format dxfId="263">
      <pivotArea dataOnly="0" labelOnly="1" outline="0" fieldPosition="0">
        <references count="1">
          <reference field="4294967294" count="3">
            <x v="0"/>
            <x v="1"/>
            <x v="2"/>
          </reference>
        </references>
      </pivotArea>
    </format>
    <format dxfId="264">
      <pivotArea type="all" dataOnly="0" outline="0" fieldPosition="0"/>
    </format>
    <format dxfId="265">
      <pivotArea outline="0" collapsedLevelsAreSubtotals="1" fieldPosition="0"/>
    </format>
    <format dxfId="266">
      <pivotArea field="5" type="button" dataOnly="0" labelOnly="1" outline="0" axis="axisRow" fieldPosition="0"/>
    </format>
    <format dxfId="267">
      <pivotArea dataOnly="0" labelOnly="1" fieldPosition="0">
        <references count="1">
          <reference field="5" count="5">
            <x v="0"/>
            <x v="1"/>
            <x v="2"/>
            <x v="3"/>
            <x v="5"/>
          </reference>
        </references>
      </pivotArea>
    </format>
    <format dxfId="268">
      <pivotArea dataOnly="0" labelOnly="1" grandRow="1" outline="0" fieldPosition="0"/>
    </format>
    <format dxfId="269">
      <pivotArea dataOnly="0" labelOnly="1" outline="0" fieldPosition="0">
        <references count="1">
          <reference field="4294967294" count="3">
            <x v="0"/>
            <x v="1"/>
            <x v="2"/>
          </reference>
        </references>
      </pivotArea>
    </format>
    <format dxfId="270">
      <pivotArea type="all" dataOnly="0" outline="0" fieldPosition="0"/>
    </format>
    <format dxfId="271">
      <pivotArea outline="0" collapsedLevelsAreSubtotals="1" fieldPosition="0"/>
    </format>
    <format dxfId="272">
      <pivotArea field="5" type="button" dataOnly="0" labelOnly="1" outline="0" axis="axisRow" fieldPosition="0"/>
    </format>
    <format dxfId="273">
      <pivotArea dataOnly="0" labelOnly="1" fieldPosition="0">
        <references count="1">
          <reference field="5" count="5">
            <x v="0"/>
            <x v="1"/>
            <x v="2"/>
            <x v="3"/>
            <x v="5"/>
          </reference>
        </references>
      </pivotArea>
    </format>
    <format dxfId="274">
      <pivotArea dataOnly="0" labelOnly="1" grandRow="1" outline="0" fieldPosition="0"/>
    </format>
    <format dxfId="275">
      <pivotArea dataOnly="0" labelOnly="1" outline="0" fieldPosition="0">
        <references count="1">
          <reference field="4294967294" count="3">
            <x v="0"/>
            <x v="1"/>
            <x v="2"/>
          </reference>
        </references>
      </pivotArea>
    </format>
    <format dxfId="276">
      <pivotArea type="all" dataOnly="0" outline="0" fieldPosition="0"/>
    </format>
    <format dxfId="277">
      <pivotArea outline="0" collapsedLevelsAreSubtotals="1" fieldPosition="0"/>
    </format>
    <format dxfId="278">
      <pivotArea field="5" type="button" dataOnly="0" labelOnly="1" outline="0" axis="axisRow" fieldPosition="0"/>
    </format>
    <format dxfId="279">
      <pivotArea dataOnly="0" labelOnly="1" fieldPosition="0">
        <references count="1">
          <reference field="5" count="5">
            <x v="0"/>
            <x v="1"/>
            <x v="2"/>
            <x v="3"/>
            <x v="5"/>
          </reference>
        </references>
      </pivotArea>
    </format>
    <format dxfId="280">
      <pivotArea dataOnly="0" labelOnly="1" grandRow="1" outline="0" fieldPosition="0"/>
    </format>
    <format dxfId="281">
      <pivotArea dataOnly="0" labelOnly="1" outline="0" fieldPosition="0">
        <references count="1">
          <reference field="4294967294" count="3">
            <x v="0"/>
            <x v="1"/>
            <x v="2"/>
          </reference>
        </references>
      </pivotArea>
    </format>
  </format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5"/>
          </reference>
        </references>
      </pivotArea>
    </chartFormat>
    <chartFormat chart="1" format="8">
      <pivotArea type="data" outline="0" fieldPosition="0">
        <references count="2">
          <reference field="4294967294" count="1" selected="0">
            <x v="0"/>
          </reference>
          <reference field="5" count="1" selected="0">
            <x v="6"/>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5" count="1" selected="0">
            <x v="0"/>
          </reference>
        </references>
      </pivotArea>
    </chartFormat>
    <chartFormat chart="11" format="23">
      <pivotArea type="data" outline="0" fieldPosition="0">
        <references count="2">
          <reference field="4294967294" count="1" selected="0">
            <x v="0"/>
          </reference>
          <reference field="5" count="1" selected="0">
            <x v="3"/>
          </reference>
        </references>
      </pivotArea>
    </chartFormat>
    <chartFormat chart="11" format="24">
      <pivotArea type="data" outline="0" fieldPosition="0">
        <references count="2">
          <reference field="4294967294" count="1" selected="0">
            <x v="0"/>
          </reference>
          <reference field="5" count="1" selected="0">
            <x v="4"/>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52BAD-03DD-4DE6-8D1A-21D99C8B1984}"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H8" firstHeaderRow="0" firstDataRow="1" firstDataCol="1"/>
  <pivotFields count="15">
    <pivotField showAll="0"/>
    <pivotField numFmtId="14" showAll="0"/>
    <pivotField axis="axisRow" showAll="0">
      <items count="5">
        <item x="1"/>
        <item x="2"/>
        <item x="3"/>
        <item x="0"/>
        <item t="default"/>
      </items>
    </pivotField>
    <pivotField showAll="0">
      <items count="13">
        <item x="10"/>
        <item x="6"/>
        <item x="8"/>
        <item x="1"/>
        <item x="7"/>
        <item x="3"/>
        <item x="0"/>
        <item x="5"/>
        <item x="2"/>
        <item x="4"/>
        <item x="9"/>
        <item x="11"/>
        <item t="default"/>
      </items>
    </pivotField>
    <pivotField showAll="0">
      <items count="3">
        <item x="1"/>
        <item x="0"/>
        <item t="default"/>
      </items>
    </pivotField>
    <pivotField showAll="0" includeNewItemsInFilter="1">
      <items count="8">
        <item x="6"/>
        <item x="4"/>
        <item x="1"/>
        <item x="0"/>
        <item x="2"/>
        <item x="5"/>
        <item x="3"/>
        <item t="default"/>
      </items>
    </pivotField>
    <pivotField showAll="0"/>
    <pivotField showAll="0">
      <items count="4">
        <item x="0"/>
        <item x="2"/>
        <item x="1"/>
        <item t="default"/>
      </items>
    </pivotField>
    <pivotField numFmtId="1" showAll="0"/>
    <pivotField numFmtId="1" showAll="0"/>
    <pivotField numFmtId="1" showAll="0"/>
    <pivotField dataField="1" showAll="0"/>
    <pivotField dataField="1" showAll="0"/>
    <pivotField dataField="1" showAll="0"/>
    <pivotField showAll="0">
      <items count="5">
        <item x="3"/>
        <item x="2"/>
        <item x="1"/>
        <item x="0"/>
        <item t="default"/>
      </items>
    </pivotField>
  </pivotFields>
  <rowFields count="1">
    <field x="2"/>
  </rowFields>
  <rowItems count="5">
    <i>
      <x/>
    </i>
    <i>
      <x v="1"/>
    </i>
    <i>
      <x v="2"/>
    </i>
    <i>
      <x v="3"/>
    </i>
    <i t="grand">
      <x/>
    </i>
  </rowItems>
  <colFields count="1">
    <field x="-2"/>
  </colFields>
  <colItems count="3">
    <i>
      <x/>
    </i>
    <i i="1">
      <x v="1"/>
    </i>
    <i i="2">
      <x v="2"/>
    </i>
  </colItems>
  <dataFields count="3">
    <dataField name="sum of ebike" fld="11" baseField="0" baseItem="0"/>
    <dataField name="Sum of pBike" fld="12" baseField="0" baseItem="0"/>
    <dataField name="Sum of Count" fld="13" baseField="0" baseItem="0"/>
  </dataFields>
  <formats count="12">
    <format dxfId="282">
      <pivotArea type="all" dataOnly="0" outline="0" fieldPosition="0"/>
    </format>
    <format dxfId="283">
      <pivotArea outline="0" collapsedLevelsAreSubtotals="1" fieldPosition="0"/>
    </format>
    <format dxfId="284">
      <pivotArea field="2" type="button" dataOnly="0" labelOnly="1" outline="0" axis="axisRow" fieldPosition="0"/>
    </format>
    <format dxfId="285">
      <pivotArea dataOnly="0" labelOnly="1" fieldPosition="0">
        <references count="1">
          <reference field="2" count="0"/>
        </references>
      </pivotArea>
    </format>
    <format dxfId="286">
      <pivotArea dataOnly="0" labelOnly="1" grandRow="1" outline="0" fieldPosition="0"/>
    </format>
    <format dxfId="287">
      <pivotArea dataOnly="0" labelOnly="1" outline="0" fieldPosition="0">
        <references count="1">
          <reference field="4294967294" count="3">
            <x v="0"/>
            <x v="1"/>
            <x v="2"/>
          </reference>
        </references>
      </pivotArea>
    </format>
    <format dxfId="288">
      <pivotArea type="all" dataOnly="0" outline="0" fieldPosition="0"/>
    </format>
    <format dxfId="289">
      <pivotArea outline="0" collapsedLevelsAreSubtotals="1" fieldPosition="0"/>
    </format>
    <format dxfId="290">
      <pivotArea dataOnly="0" labelOnly="1" fieldPosition="0">
        <references count="1">
          <reference field="2" count="0"/>
        </references>
      </pivotArea>
    </format>
    <format dxfId="291">
      <pivotArea dataOnly="0" labelOnly="1" grandRow="1" outline="0" fieldPosition="0"/>
    </format>
    <format dxfId="292">
      <pivotArea field="2" type="button" dataOnly="0" labelOnly="1" outline="0" axis="axisRow" fieldPosition="0"/>
    </format>
    <format dxfId="293">
      <pivotArea dataOnly="0" labelOnly="1" outline="0" fieldPosition="0">
        <references count="1">
          <reference field="4294967294" count="3">
            <x v="0"/>
            <x v="1"/>
            <x v="2"/>
          </reference>
        </references>
      </pivotArea>
    </format>
  </format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1B38C-198E-452A-80A4-12CC20BDCC73}"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5:I18" firstHeaderRow="0" firstDataRow="1" firstDataCol="1"/>
  <pivotFields count="15">
    <pivotField showAll="0"/>
    <pivotField numFmtId="14" showAll="0"/>
    <pivotField showAll="0">
      <items count="5">
        <item x="1"/>
        <item x="2"/>
        <item x="3"/>
        <item x="0"/>
        <item t="default"/>
      </items>
    </pivotField>
    <pivotField showAll="0">
      <items count="13">
        <item x="10"/>
        <item x="6"/>
        <item x="8"/>
        <item x="1"/>
        <item x="7"/>
        <item x="3"/>
        <item x="0"/>
        <item x="5"/>
        <item x="2"/>
        <item x="4"/>
        <item x="9"/>
        <item x="11"/>
        <item t="default"/>
      </items>
    </pivotField>
    <pivotField showAll="0">
      <items count="3">
        <item x="1"/>
        <item x="0"/>
        <item t="default"/>
      </items>
    </pivotField>
    <pivotField showAll="0" includeNewItemsInFilter="1">
      <items count="8">
        <item x="6"/>
        <item x="4"/>
        <item x="1"/>
        <item x="0"/>
        <item x="2"/>
        <item x="5"/>
        <item x="3"/>
        <item t="default"/>
      </items>
    </pivotField>
    <pivotField axis="axisRow" showAll="0">
      <items count="3">
        <item x="1"/>
        <item x="0"/>
        <item t="default"/>
      </items>
    </pivotField>
    <pivotField showAll="0">
      <items count="4">
        <item x="0"/>
        <item x="2"/>
        <item x="1"/>
        <item t="default"/>
      </items>
    </pivotField>
    <pivotField numFmtId="1" showAll="0"/>
    <pivotField numFmtId="1" showAll="0"/>
    <pivotField numFmtId="1" showAll="0"/>
    <pivotField dataField="1" showAll="0"/>
    <pivotField dataField="1" showAll="0"/>
    <pivotField showAll="0"/>
    <pivotField showAll="0">
      <items count="5">
        <item x="3"/>
        <item x="2"/>
        <item x="1"/>
        <item x="0"/>
        <item t="default"/>
      </items>
    </pivotField>
  </pivotFields>
  <rowFields count="1">
    <field x="6"/>
  </rowFields>
  <rowItems count="3">
    <i>
      <x/>
    </i>
    <i>
      <x v="1"/>
    </i>
    <i t="grand">
      <x/>
    </i>
  </rowItems>
  <colFields count="1">
    <field x="-2"/>
  </colFields>
  <colItems count="2">
    <i>
      <x/>
    </i>
    <i i="1">
      <x v="1"/>
    </i>
  </colItems>
  <dataFields count="2">
    <dataField name="Sum of eBike" fld="11" baseField="0" baseItem="0"/>
    <dataField name="Sum of pBike" fld="1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24F65-2480-476F-B19F-6F99439976B4}"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4:N37" firstHeaderRow="1" firstDataRow="1" firstDataCol="1"/>
  <pivotFields count="1">
    <pivotField axis="axisRow" showAll="0">
      <items count="3">
        <item x="0"/>
        <item x="1"/>
        <item t="default"/>
      </items>
    </pivotField>
  </pivotFields>
  <rowFields count="1">
    <field x="0"/>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935FC2-7389-4CC5-B422-485A362FB1CB}"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7" firstHeaderRow="0" firstDataRow="1" firstDataCol="1"/>
  <pivotFields count="15">
    <pivotField showAll="0"/>
    <pivotField numFmtId="14" showAll="0"/>
    <pivotField showAll="0">
      <items count="5">
        <item x="1"/>
        <item x="2"/>
        <item x="3"/>
        <item x="0"/>
        <item t="default"/>
      </items>
    </pivotField>
    <pivotField showAll="0">
      <items count="13">
        <item x="10"/>
        <item x="6"/>
        <item x="8"/>
        <item x="1"/>
        <item x="7"/>
        <item x="3"/>
        <item x="0"/>
        <item x="5"/>
        <item x="2"/>
        <item x="4"/>
        <item x="9"/>
        <item x="11"/>
        <item t="default"/>
      </items>
    </pivotField>
    <pivotField showAll="0"/>
    <pivotField showAll="0" includeNewItemsInFilter="1">
      <items count="8">
        <item x="6"/>
        <item x="4"/>
        <item x="1"/>
        <item x="0"/>
        <item x="2"/>
        <item x="5"/>
        <item x="3"/>
        <item t="default"/>
      </items>
    </pivotField>
    <pivotField showAll="0"/>
    <pivotField axis="axisRow" showAll="0">
      <items count="4">
        <item x="0"/>
        <item x="2"/>
        <item x="1"/>
        <item t="default"/>
      </items>
    </pivotField>
    <pivotField numFmtId="1" showAll="0"/>
    <pivotField numFmtId="1" showAll="0"/>
    <pivotField numFmtId="1" showAll="0"/>
    <pivotField dataField="1" showAll="0"/>
    <pivotField dataField="1" showAll="0"/>
    <pivotField showAll="0"/>
    <pivotField showAll="0">
      <items count="5">
        <item x="3"/>
        <item x="2"/>
        <item x="1"/>
        <item x="0"/>
        <item t="default"/>
      </items>
    </pivotField>
  </pivotFields>
  <rowFields count="1">
    <field x="7"/>
  </rowFields>
  <rowItems count="4">
    <i>
      <x/>
    </i>
    <i>
      <x v="1"/>
    </i>
    <i>
      <x v="2"/>
    </i>
    <i t="grand">
      <x/>
    </i>
  </rowItems>
  <colFields count="1">
    <field x="-2"/>
  </colFields>
  <colItems count="2">
    <i>
      <x/>
    </i>
    <i i="1">
      <x v="1"/>
    </i>
  </colItems>
  <dataFields count="2">
    <dataField name="Sum of pBike" fld="12" baseField="7" baseItem="0"/>
    <dataField name="Sum of eBike" fld="11" baseField="7" baseItem="0"/>
  </dataFields>
  <chartFormats count="6">
    <chartFormat chart="4" format="189" series="1">
      <pivotArea type="data" outline="0" fieldPosition="0">
        <references count="1">
          <reference field="4294967294" count="1" selected="0">
            <x v="0"/>
          </reference>
        </references>
      </pivotArea>
    </chartFormat>
    <chartFormat chart="4" format="190" series="1">
      <pivotArea type="data" outline="0" fieldPosition="0">
        <references count="1">
          <reference field="4294967294" count="1" selected="0">
            <x v="1"/>
          </reference>
        </references>
      </pivotArea>
    </chartFormat>
    <chartFormat chart="4" format="223" series="1">
      <pivotArea type="data" outline="0" fieldPosition="0">
        <references count="2">
          <reference field="4294967294" count="1" selected="0">
            <x v="0"/>
          </reference>
          <reference field="7" count="1" selected="0">
            <x v="2"/>
          </reference>
        </references>
      </pivotArea>
    </chartFormat>
    <chartFormat chart="4" format="224" series="1">
      <pivotArea type="data" outline="0" fieldPosition="0">
        <references count="2">
          <reference field="4294967294" count="1" selected="0">
            <x v="1"/>
          </reference>
          <reference field="7" count="1" selected="0">
            <x v="0"/>
          </reference>
        </references>
      </pivotArea>
    </chartFormat>
    <chartFormat chart="4" format="225" series="1">
      <pivotArea type="data" outline="0" fieldPosition="0">
        <references count="2">
          <reference field="4294967294" count="1" selected="0">
            <x v="1"/>
          </reference>
          <reference field="7" count="1" selected="0">
            <x v="1"/>
          </reference>
        </references>
      </pivotArea>
    </chartFormat>
    <chartFormat chart="4" format="226" series="1">
      <pivotArea type="data" outline="0" fieldPosition="0">
        <references count="2">
          <reference field="4294967294" count="1" selected="0">
            <x v="1"/>
          </reference>
          <reference field="7"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08F3E7-FC1D-4EEC-8F8B-D49001878E2E}"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C25" firstHeaderRow="0" firstDataRow="1" firstDataCol="1" rowPageCount="1" colPageCount="1"/>
  <pivotFields count="15">
    <pivotField showAll="0"/>
    <pivotField axis="axisPage" numFmtId="14" multipleItemSelectionAllowed="1" showAll="0">
      <items count="366">
        <item x="279"/>
        <item x="364"/>
        <item x="288"/>
        <item x="280"/>
        <item x="272"/>
        <item x="211"/>
        <item x="353"/>
        <item x="319"/>
        <item x="212"/>
        <item x="232"/>
        <item x="241"/>
        <item x="335"/>
        <item x="358"/>
        <item x="362"/>
        <item x="348"/>
        <item x="254"/>
        <item x="264"/>
        <item x="242"/>
        <item x="187"/>
        <item x="155"/>
        <item x="147"/>
        <item x="167"/>
        <item x="188"/>
        <item x="273"/>
        <item x="281"/>
        <item x="250"/>
        <item x="191"/>
        <item x="255"/>
        <item x="236"/>
        <item x="237"/>
        <item x="314"/>
        <item x="163"/>
        <item x="274"/>
        <item x="315"/>
        <item x="233"/>
        <item x="189"/>
        <item x="243"/>
        <item x="275"/>
        <item x="302"/>
        <item x="303"/>
        <item x="320"/>
        <item x="221"/>
        <item x="192"/>
        <item x="244"/>
        <item x="289"/>
        <item x="290"/>
        <item x="190"/>
        <item x="222"/>
        <item x="342"/>
        <item x="193"/>
        <item x="304"/>
        <item x="363"/>
        <item x="339"/>
        <item x="164"/>
        <item x="282"/>
        <item x="21"/>
        <item x="238"/>
        <item x="283"/>
        <item x="346"/>
        <item x="332"/>
        <item x="340"/>
        <item x="296"/>
        <item x="260"/>
        <item x="321"/>
        <item x="151"/>
        <item x="120"/>
        <item x="80"/>
        <item x="69"/>
        <item x="165"/>
        <item x="354"/>
        <item x="333"/>
        <item x="291"/>
        <item x="297"/>
        <item x="305"/>
        <item x="178"/>
        <item x="298"/>
        <item x="265"/>
        <item x="234"/>
        <item x="266"/>
        <item x="172"/>
        <item x="245"/>
        <item x="306"/>
        <item x="101"/>
        <item x="357"/>
        <item x="326"/>
        <item x="284"/>
        <item x="223"/>
        <item x="202"/>
        <item x="316"/>
        <item x="343"/>
        <item x="108"/>
        <item x="128"/>
        <item x="168"/>
        <item x="256"/>
        <item x="307"/>
        <item x="308"/>
        <item x="327"/>
        <item x="356"/>
        <item x="359"/>
        <item x="336"/>
        <item x="267"/>
        <item x="102"/>
        <item x="129"/>
        <item x="173"/>
        <item x="344"/>
        <item x="334"/>
        <item x="268"/>
        <item x="299"/>
        <item x="103"/>
        <item x="224"/>
        <item x="246"/>
        <item x="239"/>
        <item x="247"/>
        <item x="227"/>
        <item x="292"/>
        <item x="197"/>
        <item x="117"/>
        <item x="180"/>
        <item x="2"/>
        <item x="152"/>
        <item x="174"/>
        <item x="213"/>
        <item x="225"/>
        <item x="203"/>
        <item x="214"/>
        <item x="198"/>
        <item x="175"/>
        <item x="208"/>
        <item x="235"/>
        <item x="217"/>
        <item x="132"/>
        <item x="156"/>
        <item x="218"/>
        <item x="179"/>
        <item x="261"/>
        <item x="228"/>
        <item x="65"/>
        <item x="135"/>
        <item x="157"/>
        <item x="176"/>
        <item x="166"/>
        <item x="123"/>
        <item x="50"/>
        <item x="115"/>
        <item x="39"/>
        <item x="126"/>
        <item x="136"/>
        <item x="137"/>
        <item x="194"/>
        <item x="130"/>
        <item x="177"/>
        <item x="181"/>
        <item x="199"/>
        <item x="169"/>
        <item x="161"/>
        <item x="195"/>
        <item x="116"/>
        <item x="6"/>
        <item x="148"/>
        <item x="170"/>
        <item x="143"/>
        <item x="124"/>
        <item x="149"/>
        <item x="162"/>
        <item x="182"/>
        <item x="183"/>
        <item x="171"/>
        <item x="125"/>
        <item x="104"/>
        <item x="158"/>
        <item x="184"/>
        <item x="118"/>
        <item x="138"/>
        <item x="96"/>
        <item x="12"/>
        <item x="7"/>
        <item x="28"/>
        <item x="22"/>
        <item x="100"/>
        <item x="105"/>
        <item x="134"/>
        <item x="109"/>
        <item x="13"/>
        <item x="9"/>
        <item x="29"/>
        <item x="46"/>
        <item x="51"/>
        <item x="52"/>
        <item x="40"/>
        <item x="11"/>
        <item x="10"/>
        <item x="30"/>
        <item x="26"/>
        <item x="23"/>
        <item x="32"/>
        <item x="33"/>
        <item x="27"/>
        <item x="24"/>
        <item x="14"/>
        <item x="4"/>
        <item x="56"/>
        <item x="76"/>
        <item x="47"/>
        <item x="15"/>
        <item x="16"/>
        <item x="34"/>
        <item x="81"/>
        <item x="1"/>
        <item x="0"/>
        <item x="25"/>
        <item x="18"/>
        <item x="19"/>
        <item x="41"/>
        <item x="31"/>
        <item x="42"/>
        <item x="48"/>
        <item x="60"/>
        <item x="17"/>
        <item x="53"/>
        <item x="61"/>
        <item x="43"/>
        <item x="54"/>
        <item x="49"/>
        <item x="64"/>
        <item x="44"/>
        <item x="55"/>
        <item x="73"/>
        <item x="70"/>
        <item x="87"/>
        <item x="110"/>
        <item x="133"/>
        <item x="57"/>
        <item x="66"/>
        <item x="20"/>
        <item x="35"/>
        <item x="77"/>
        <item x="67"/>
        <item x="36"/>
        <item x="78"/>
        <item x="106"/>
        <item x="37"/>
        <item x="71"/>
        <item x="93"/>
        <item x="58"/>
        <item x="79"/>
        <item x="88"/>
        <item x="3"/>
        <item x="74"/>
        <item x="89"/>
        <item x="75"/>
        <item x="5"/>
        <item x="82"/>
        <item x="90"/>
        <item x="111"/>
        <item x="84"/>
        <item x="85"/>
        <item x="94"/>
        <item x="121"/>
        <item x="145"/>
        <item x="139"/>
        <item x="112"/>
        <item x="91"/>
        <item x="122"/>
        <item x="92"/>
        <item x="72"/>
        <item x="97"/>
        <item x="113"/>
        <item x="59"/>
        <item x="83"/>
        <item x="107"/>
        <item x="45"/>
        <item x="62"/>
        <item x="98"/>
        <item x="99"/>
        <item x="146"/>
        <item x="141"/>
        <item x="68"/>
        <item x="127"/>
        <item x="140"/>
        <item x="38"/>
        <item x="114"/>
        <item x="131"/>
        <item x="153"/>
        <item x="86"/>
        <item x="95"/>
        <item x="150"/>
        <item x="142"/>
        <item x="8"/>
        <item x="185"/>
        <item x="159"/>
        <item x="144"/>
        <item x="204"/>
        <item x="229"/>
        <item x="63"/>
        <item x="209"/>
        <item x="230"/>
        <item x="215"/>
        <item x="251"/>
        <item x="200"/>
        <item x="216"/>
        <item x="276"/>
        <item x="349"/>
        <item x="154"/>
        <item x="252"/>
        <item x="257"/>
        <item x="119"/>
        <item x="253"/>
        <item x="277"/>
        <item x="293"/>
        <item x="248"/>
        <item x="249"/>
        <item x="309"/>
        <item x="231"/>
        <item x="317"/>
        <item x="219"/>
        <item x="160"/>
        <item x="269"/>
        <item x="205"/>
        <item x="226"/>
        <item x="196"/>
        <item x="278"/>
        <item x="322"/>
        <item x="361"/>
        <item x="294"/>
        <item x="240"/>
        <item x="262"/>
        <item x="328"/>
        <item x="285"/>
        <item x="286"/>
        <item x="300"/>
        <item x="310"/>
        <item x="220"/>
        <item x="206"/>
        <item x="207"/>
        <item x="329"/>
        <item x="350"/>
        <item x="351"/>
        <item x="323"/>
        <item x="270"/>
        <item x="311"/>
        <item x="258"/>
        <item x="201"/>
        <item x="271"/>
        <item x="330"/>
        <item x="259"/>
        <item x="331"/>
        <item x="324"/>
        <item x="341"/>
        <item x="186"/>
        <item x="318"/>
        <item x="337"/>
        <item x="301"/>
        <item x="210"/>
        <item x="312"/>
        <item x="263"/>
        <item x="313"/>
        <item x="325"/>
        <item x="345"/>
        <item x="352"/>
        <item x="295"/>
        <item x="287"/>
        <item x="347"/>
        <item x="360"/>
        <item x="355"/>
        <item x="338"/>
        <item t="default"/>
      </items>
    </pivotField>
    <pivotField showAll="0">
      <items count="5">
        <item x="1"/>
        <item x="2"/>
        <item x="3"/>
        <item x="0"/>
        <item t="default"/>
      </items>
    </pivotField>
    <pivotField axis="axisRow" showAll="0">
      <items count="13">
        <item x="10"/>
        <item x="6"/>
        <item x="8"/>
        <item x="1"/>
        <item x="7"/>
        <item x="3"/>
        <item x="0"/>
        <item x="5"/>
        <item x="2"/>
        <item x="4"/>
        <item x="9"/>
        <item x="11"/>
        <item t="default"/>
      </items>
    </pivotField>
    <pivotField showAll="0">
      <items count="3">
        <item x="1"/>
        <item x="0"/>
        <item t="default"/>
      </items>
    </pivotField>
    <pivotField showAll="0" includeNewItemsInFilter="1">
      <items count="8">
        <item x="6"/>
        <item x="4"/>
        <item x="1"/>
        <item x="0"/>
        <item x="2"/>
        <item x="5"/>
        <item x="3"/>
        <item t="default"/>
      </items>
    </pivotField>
    <pivotField showAll="0"/>
    <pivotField showAll="0">
      <items count="4">
        <item x="0"/>
        <item x="2"/>
        <item x="1"/>
        <item t="default"/>
      </items>
    </pivotField>
    <pivotField numFmtId="1" showAll="0"/>
    <pivotField numFmtId="1" showAll="0"/>
    <pivotField numFmtId="1" showAll="0"/>
    <pivotField dataField="1" showAll="0"/>
    <pivotField dataField="1" showAll="0"/>
    <pivotField showAll="0"/>
    <pivotField showAll="0">
      <items count="5">
        <item x="3"/>
        <item x="2"/>
        <item x="1"/>
        <item x="0"/>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pageFields count="1">
    <pageField fld="1" hier="-1"/>
  </pageFields>
  <dataFields count="2">
    <dataField name="Sum of eBike" fld="11" baseField="0" baseItem="0"/>
    <dataField name="Sum of pBike" fld="1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79580C-C8FB-4BCA-9AE6-CA5473A7E6D3}"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9:B34" firstHeaderRow="1" firstDataRow="1" firstDataCol="1"/>
  <pivotFields count="15">
    <pivotField showAll="0"/>
    <pivotField numFmtId="14" showAll="0"/>
    <pivotField showAll="0">
      <items count="5">
        <item x="1"/>
        <item x="2"/>
        <item x="3"/>
        <item x="0"/>
        <item t="default"/>
      </items>
    </pivotField>
    <pivotField showAll="0">
      <items count="13">
        <item x="10"/>
        <item x="6"/>
        <item x="8"/>
        <item x="1"/>
        <item x="7"/>
        <item x="3"/>
        <item x="0"/>
        <item x="5"/>
        <item x="2"/>
        <item x="4"/>
        <item x="9"/>
        <item x="11"/>
        <item t="default"/>
      </items>
    </pivotField>
    <pivotField showAll="0">
      <items count="3">
        <item x="1"/>
        <item x="0"/>
        <item t="default"/>
      </items>
    </pivotField>
    <pivotField showAll="0" includeNewItemsInFilter="1">
      <items count="8">
        <item x="6"/>
        <item x="4"/>
        <item x="1"/>
        <item x="0"/>
        <item x="2"/>
        <item x="5"/>
        <item x="3"/>
        <item t="default"/>
      </items>
    </pivotField>
    <pivotField showAll="0"/>
    <pivotField showAll="0">
      <items count="4">
        <item x="0"/>
        <item x="2"/>
        <item x="1"/>
        <item t="default"/>
      </items>
    </pivotField>
    <pivotField numFmtId="1" showAll="0"/>
    <pivotField numFmtId="1" showAll="0"/>
    <pivotField numFmtId="1" showAll="0"/>
    <pivotField showAll="0"/>
    <pivotField showAll="0"/>
    <pivotField dataField="1" showAll="0"/>
    <pivotField axis="axisRow" showAll="0">
      <items count="5">
        <item x="3"/>
        <item x="2"/>
        <item x="1"/>
        <item x="0"/>
        <item t="default"/>
      </items>
    </pivotField>
  </pivotFields>
  <rowFields count="1">
    <field x="14"/>
  </rowFields>
  <rowItems count="5">
    <i>
      <x/>
    </i>
    <i>
      <x v="1"/>
    </i>
    <i>
      <x v="2"/>
    </i>
    <i>
      <x v="3"/>
    </i>
    <i t="grand">
      <x/>
    </i>
  </rowItems>
  <colItems count="1">
    <i/>
  </colItems>
  <dataFields count="1">
    <dataField name="Sum of Count" fld="13" showDataAs="percentOfTotal" baseField="0" baseItem="0" numFmtId="10"/>
  </dataFields>
  <chartFormats count="5">
    <chartFormat chart="3" format="52" series="1">
      <pivotArea type="data" outline="0" fieldPosition="0">
        <references count="1">
          <reference field="4294967294" count="1" selected="0">
            <x v="0"/>
          </reference>
        </references>
      </pivotArea>
    </chartFormat>
    <chartFormat chart="3" format="53">
      <pivotArea type="data" outline="0" fieldPosition="0">
        <references count="2">
          <reference field="4294967294" count="1" selected="0">
            <x v="0"/>
          </reference>
          <reference field="14" count="1" selected="0">
            <x v="0"/>
          </reference>
        </references>
      </pivotArea>
    </chartFormat>
    <chartFormat chart="3" format="54">
      <pivotArea type="data" outline="0" fieldPosition="0">
        <references count="2">
          <reference field="4294967294" count="1" selected="0">
            <x v="0"/>
          </reference>
          <reference field="14" count="1" selected="0">
            <x v="1"/>
          </reference>
        </references>
      </pivotArea>
    </chartFormat>
    <chartFormat chart="3" format="55">
      <pivotArea type="data" outline="0" fieldPosition="0">
        <references count="2">
          <reference field="4294967294" count="1" selected="0">
            <x v="0"/>
          </reference>
          <reference field="14" count="1" selected="0">
            <x v="2"/>
          </reference>
        </references>
      </pivotArea>
    </chartFormat>
    <chartFormat chart="3" format="56">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760BC0-53F9-47E2-A425-52F0233BFAE7}"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2:J25" firstHeaderRow="0" firstDataRow="1" firstDataCol="1"/>
  <pivotFields count="15">
    <pivotField showAll="0"/>
    <pivotField numFmtId="14" showAll="0"/>
    <pivotField showAll="0">
      <items count="5">
        <item x="1"/>
        <item x="2"/>
        <item x="3"/>
        <item x="0"/>
        <item t="default"/>
      </items>
    </pivotField>
    <pivotField showAll="0">
      <items count="13">
        <item x="10"/>
        <item x="6"/>
        <item x="8"/>
        <item x="1"/>
        <item x="7"/>
        <item x="3"/>
        <item x="0"/>
        <item x="5"/>
        <item x="2"/>
        <item x="4"/>
        <item x="9"/>
        <item x="11"/>
        <item t="default"/>
      </items>
    </pivotField>
    <pivotField axis="axisRow" showAll="0">
      <items count="3">
        <item x="1"/>
        <item x="0"/>
        <item t="default"/>
      </items>
    </pivotField>
    <pivotField showAll="0" includeNewItemsInFilter="1">
      <items count="8">
        <item x="6"/>
        <item x="4"/>
        <item x="1"/>
        <item x="0"/>
        <item x="2"/>
        <item x="5"/>
        <item x="3"/>
        <item t="default"/>
      </items>
    </pivotField>
    <pivotField showAll="0"/>
    <pivotField showAll="0">
      <items count="4">
        <item x="0"/>
        <item x="2"/>
        <item x="1"/>
        <item t="default"/>
      </items>
    </pivotField>
    <pivotField numFmtId="1" showAll="0"/>
    <pivotField numFmtId="1" showAll="0"/>
    <pivotField numFmtId="1" showAll="0"/>
    <pivotField dataField="1" showAll="0"/>
    <pivotField dataField="1" showAll="0"/>
    <pivotField showAll="0"/>
    <pivotField showAll="0">
      <items count="5">
        <item x="3"/>
        <item x="2"/>
        <item x="1"/>
        <item x="0"/>
        <item t="default"/>
      </items>
    </pivotField>
  </pivotFields>
  <rowFields count="1">
    <field x="4"/>
  </rowFields>
  <rowItems count="3">
    <i>
      <x/>
    </i>
    <i>
      <x v="1"/>
    </i>
    <i t="grand">
      <x/>
    </i>
  </rowItems>
  <colFields count="1">
    <field x="-2"/>
  </colFields>
  <colItems count="2">
    <i>
      <x/>
    </i>
    <i i="1">
      <x v="1"/>
    </i>
  </colItems>
  <dataFields count="2">
    <dataField name="Sum of eBike" fld="11" baseField="0" baseItem="0"/>
    <dataField name="Sum of pBike" fld="12" baseField="0" baseItem="0"/>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7AF5952-EA20-4609-BC7E-DC549DED549B}" sourceName="Season">
  <pivotTables>
    <pivotTable tabId="6" name="PivotTable3"/>
    <pivotTable tabId="6" name="PivotTable4"/>
    <pivotTable tabId="6" name="PivotTable5"/>
    <pivotTable tabId="6" name="PivotTable6"/>
    <pivotTable tabId="6" name="PivotTable7"/>
    <pivotTable tabId="6" name="PivotTable2"/>
    <pivotTable tabId="4" name="PivotTable9"/>
  </pivotTables>
  <data>
    <tabular pivotCacheId="1739170052">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A5A9C36-77D3-4BDD-A62E-D1C2CA0DA575}" sourceName=" Month">
  <pivotTables>
    <pivotTable tabId="6" name="PivotTable4"/>
    <pivotTable tabId="6" name="PivotTable6"/>
    <pivotTable tabId="6" name="PivotTable7"/>
    <pivotTable tabId="6" name="PivotTable5"/>
    <pivotTable tabId="6" name="PivotTable2"/>
    <pivotTable tabId="4" name="PivotTable9"/>
  </pivotTables>
  <data>
    <tabular pivotCacheId="1739170052">
      <items count="12">
        <i x="10" s="1"/>
        <i x="6" s="1"/>
        <i x="8" s="1"/>
        <i x="1" s="1"/>
        <i x="7" s="1"/>
        <i x="3" s="1"/>
        <i x="0" s="1"/>
        <i x="5" s="1"/>
        <i x="2" s="1"/>
        <i x="4" s="1"/>
        <i x="9"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535D601F-668C-4C7F-9452-D8B326EFE582}" sourceName="Weather">
  <pivotTables>
    <pivotTable tabId="6" name="PivotTable5"/>
    <pivotTable tabId="6" name="PivotTable3"/>
    <pivotTable tabId="6" name="PivotTable6"/>
    <pivotTable tabId="6" name="PivotTable7"/>
    <pivotTable tabId="6" name="PivotTable2"/>
    <pivotTable tabId="6" name="PivotTable4"/>
    <pivotTable tabId="4" name="PivotTable9"/>
  </pivotTables>
  <data>
    <tabular pivotCacheId="173917005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2AE22B48-58A5-46E7-AE36-7FD57B65A992}" sourceName="Holiday">
  <pivotTables>
    <pivotTable tabId="6" name="PivotTable7"/>
    <pivotTable tabId="6" name="PivotTable3"/>
    <pivotTable tabId="6" name="PivotTable4"/>
    <pivotTable tabId="6" name="PivotTable6"/>
    <pivotTable tabId="6" name="PivotTable2"/>
    <pivotTable tabId="4" name="PivotTable9"/>
  </pivotTables>
  <data>
    <tabular pivotCacheId="1739170052">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9805B9E7-B604-430B-A0AE-F6D76C227642}" sourceName="Weekday">
  <pivotTables>
    <pivotTable tabId="6" name="PivotTable5"/>
    <pivotTable tabId="6" name="PivotTable3"/>
    <pivotTable tabId="6" name="PivotTable6"/>
    <pivotTable tabId="6" name="PivotTable7"/>
    <pivotTable tabId="6" name="PivotTable4"/>
    <pivotTable tabId="6" name="PivotTable2"/>
    <pivotTable tabId="4" name="PivotTable9"/>
  </pivotTables>
  <data>
    <tabular pivotCacheId="1739170052">
      <items count="7">
        <i x="6" s="1"/>
        <i x="4" s="1"/>
        <i x="1" s="1"/>
        <i x="0" s="1"/>
        <i x="2" s="1"/>
        <i x="5"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 xr10:uid="{501D24B3-5CB2-4C4B-A3E6-5019F86070D1}" sourceName="activity">
  <pivotTables>
    <pivotTable tabId="4" name="PivotTable9"/>
    <pivotTable tabId="6" name="PivotTable2"/>
    <pivotTable tabId="6" name="PivotTable3"/>
    <pivotTable tabId="6" name="PivotTable5"/>
    <pivotTable tabId="6" name="PivotTable6"/>
    <pivotTable tabId="6" name="PivotTable7"/>
    <pivotTable tabId="6" name="PivotTable4"/>
  </pivotTables>
  <data>
    <tabular pivotCacheId="1739170052">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E7645473-C930-40B8-8606-D4E70E0F01EF}" cache="Slicer_Season" caption="Season" rowHeight="251883"/>
  <slicer name=" Month" xr10:uid="{9E5F72E3-D8EE-42EC-A8FE-ED4C419DFE68}" cache="Slicer_Month" caption=" Month" rowHeight="251883"/>
  <slicer name="Weather" xr10:uid="{3954CCBF-0B47-4ECC-9361-F8667D64D20D}" cache="Slicer_Weather" caption="Weather" rowHeight="251883"/>
  <slicer name="Holiday" xr10:uid="{7E2AFEA6-45A5-450C-8A03-962A3423BDEF}" cache="Slicer_Holiday" caption="Holiday" rowHeight="251883"/>
  <slicer name="Weekday" xr10:uid="{A599EECD-9263-480F-9D06-DB2DD41F4DEC}" cache="Slicer_Weekday" caption="Weekday" startItem="4" rowHeight="251883"/>
  <slicer name="activity" xr10:uid="{84997FFB-CE26-4BAD-B912-3B6D5AC4F36C}" cache="Slicer_activity" caption="activit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3B709F-73E3-418F-B6C9-DC6F60733467}" name="Table1" displayName="Table1" ref="A1:O366" totalsRowShown="0" headerRowDxfId="1796" dataDxfId="1795">
  <autoFilter ref="A1:O366" xr:uid="{C03B709F-73E3-418F-B6C9-DC6F60733467}"/>
  <sortState xmlns:xlrd2="http://schemas.microsoft.com/office/spreadsheetml/2017/richdata2" ref="A2:N366">
    <sortCondition ref="N1:N366"/>
  </sortState>
  <tableColumns count="15">
    <tableColumn id="1" xr3:uid="{9473F431-E842-48BB-A9E1-F4E8C1F4ACBA}" name="Id" dataDxfId="1794"/>
    <tableColumn id="2" xr3:uid="{C2379EF2-44A4-4D7A-8E0A-022F4088BAD4}" name="Date" dataDxfId="1793"/>
    <tableColumn id="3" xr3:uid="{16BCEF05-3558-4AD5-82D3-EEA619176079}" name="Season" dataDxfId="1792"/>
    <tableColumn id="4" xr3:uid="{5709BC38-0644-42CC-9282-4714B1386F94}" name=" Month" dataDxfId="1791"/>
    <tableColumn id="5" xr3:uid="{62554B10-BDCE-48E6-86C5-81C2855ED323}" name="Holiday" dataDxfId="1790"/>
    <tableColumn id="6" xr3:uid="{88C7C7A1-AD1A-466D-B5FA-79CD6188A944}" name="Weekday" dataDxfId="1789"/>
    <tableColumn id="7" xr3:uid="{18687C4A-8790-4A08-8551-4AEFDC8E46CF}" name="Workingday" dataDxfId="1788"/>
    <tableColumn id="8" xr3:uid="{A7108256-E675-4E72-A45C-E63163068D83}" name="Weather" dataDxfId="1787"/>
    <tableColumn id="9" xr3:uid="{D8B736D7-2072-46DC-B074-5622B7293FC1}" name="Temp" dataDxfId="1786"/>
    <tableColumn id="10" xr3:uid="{B9DE449B-99AC-46C1-B6AC-AF7DE3793510}" name="Humidity" dataDxfId="1785"/>
    <tableColumn id="11" xr3:uid="{DAE0CD4C-32DB-48D3-A7D7-570FB416AEC1}" name="WindSpeed" dataDxfId="1784"/>
    <tableColumn id="12" xr3:uid="{479D025A-C2B7-479C-AD21-EDEFBB9062B1}" name="eBike" dataDxfId="1783"/>
    <tableColumn id="13" xr3:uid="{7713AF12-D961-4E9E-8F5D-5BF0A9FE3EE1}" name="pBike" dataDxfId="1782"/>
    <tableColumn id="14" xr3:uid="{A9F63FE9-4856-4B5C-83DE-823363843AD9}" name="Count" dataDxfId="1781">
      <calculatedColumnFormula>L2+M2</calculatedColumnFormula>
    </tableColumn>
    <tableColumn id="15" xr3:uid="{8B4997E0-6B8D-4563-AB0D-FEC23A179EAA}" name="activity" dataDxfId="178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69933F-98AF-4975-A0EF-7F958E8FAD38}" name="Table13" displayName="Table13" ref="A2:N367" totalsRowShown="0" headerRowDxfId="1779" dataDxfId="1778">
  <autoFilter ref="A2:N367" xr:uid="{6569933F-98AF-4975-A0EF-7F958E8FAD38}"/>
  <sortState xmlns:xlrd2="http://schemas.microsoft.com/office/spreadsheetml/2017/richdata2" ref="A3:N367">
    <sortCondition ref="L2:L367"/>
  </sortState>
  <tableColumns count="14">
    <tableColumn id="1" xr3:uid="{652BF99A-8380-4542-9789-67E826485838}" name="Id" dataDxfId="1777"/>
    <tableColumn id="2" xr3:uid="{1F753B26-D92D-486C-BC96-76FF4083BEA9}" name="Date" dataDxfId="1776"/>
    <tableColumn id="3" xr3:uid="{1ECB4C30-735F-4A5D-A185-A6A32A099DAF}" name="Season" dataDxfId="1775"/>
    <tableColumn id="4" xr3:uid="{8BD3B2A1-2D5A-41DF-99A8-7697E9E5F68E}" name=" Month" dataDxfId="1774"/>
    <tableColumn id="5" xr3:uid="{FA1AB0AD-8155-4E3D-9922-5427AD4777CE}" name="Holiday" dataDxfId="1773"/>
    <tableColumn id="6" xr3:uid="{80F85119-86BA-4295-B9B3-A7EC5F907154}" name="Weekday" dataDxfId="1772"/>
    <tableColumn id="7" xr3:uid="{72E651D5-244D-45FC-BC4D-20068247B109}" name="Workingday" dataDxfId="1771"/>
    <tableColumn id="8" xr3:uid="{012EA2E7-ABBC-4BDE-AE7F-44BB7F908F3A}" name="Weather" dataDxfId="1770"/>
    <tableColumn id="9" xr3:uid="{C59B7A8E-0B23-4212-9EBD-8FC30EE6E31B}" name="Temp" dataDxfId="1769"/>
    <tableColumn id="10" xr3:uid="{33BAF08D-CDD3-4CBE-A1CD-BD9BD1F87377}" name="Humidity" dataDxfId="1768"/>
    <tableColumn id="11" xr3:uid="{66603AE2-F46B-4B18-B9CA-E3849743210F}" name="WindSpeed" dataDxfId="1767"/>
    <tableColumn id="12" xr3:uid="{9F242C40-6067-4B54-AE6C-BAC2195FD691}" name="eBike" dataDxfId="1766"/>
    <tableColumn id="13" xr3:uid="{97B73D37-81AE-4E1F-B4AE-0521B816DCF4}" name="pBike" dataDxfId="1765"/>
    <tableColumn id="14" xr3:uid="{B82333F8-8256-407A-9868-9D4859424142}" name="Count" dataDxfId="1764">
      <calculatedColumnFormula>L3+M3</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8" dT="2024-08-05T00:28:05.97" personId="{82FD64D3-0942-4376-8D6E-06F5699C7556}" id="{5ED4CA5E-6BE8-4B94-950F-EBD205F0F7DD}">
    <text xml:space="preserve">I have created a new variable called "activity" and it represents the count of rental bikes including both ebike and pbike and whether the rental activity is quiet,modest,good or busy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C1F-089D-48E1-9EF7-95F6B966495C}">
  <dimension ref="A1:S19"/>
  <sheetViews>
    <sheetView zoomScale="83" zoomScaleNormal="55" workbookViewId="0">
      <selection activeCell="A26" sqref="A26"/>
    </sheetView>
  </sheetViews>
  <sheetFormatPr defaultRowHeight="14.5" x14ac:dyDescent="0.35"/>
  <cols>
    <col min="1" max="1" width="17.81640625" customWidth="1"/>
    <col min="10" max="10" width="30.36328125" customWidth="1"/>
    <col min="11" max="11" width="16.7265625" customWidth="1"/>
  </cols>
  <sheetData>
    <row r="1" spans="1:19" ht="18.5" x14ac:dyDescent="0.45">
      <c r="A1" s="17" t="s">
        <v>18</v>
      </c>
      <c r="N1">
        <v>1</v>
      </c>
      <c r="O1">
        <v>2</v>
      </c>
      <c r="P1">
        <v>3</v>
      </c>
      <c r="Q1">
        <v>4</v>
      </c>
      <c r="R1">
        <v>5</v>
      </c>
      <c r="S1">
        <v>6</v>
      </c>
    </row>
    <row r="3" spans="1:19" ht="18.5" x14ac:dyDescent="0.45">
      <c r="A3" s="12" t="s">
        <v>19</v>
      </c>
      <c r="B3" s="12" t="s">
        <v>20</v>
      </c>
      <c r="C3" s="11"/>
      <c r="D3" s="11"/>
      <c r="E3" s="11"/>
      <c r="F3" s="11"/>
      <c r="G3" s="11"/>
      <c r="H3" s="11"/>
      <c r="I3" s="11"/>
      <c r="J3" s="11"/>
      <c r="K3" s="11" t="s">
        <v>99</v>
      </c>
      <c r="L3" s="11"/>
    </row>
    <row r="4" spans="1:19" ht="18.5" x14ac:dyDescent="0.45">
      <c r="A4" s="13" t="s">
        <v>21</v>
      </c>
      <c r="B4" s="14" t="s">
        <v>24</v>
      </c>
      <c r="C4" s="11"/>
      <c r="D4" s="11"/>
      <c r="E4" s="11"/>
      <c r="F4" s="11"/>
      <c r="G4" s="11"/>
      <c r="H4" s="11"/>
      <c r="I4" s="11"/>
      <c r="J4" s="11"/>
      <c r="K4" s="11"/>
      <c r="L4" s="11"/>
    </row>
    <row r="5" spans="1:19" ht="18.5" x14ac:dyDescent="0.45">
      <c r="A5" s="13" t="s">
        <v>0</v>
      </c>
      <c r="B5" s="14" t="s">
        <v>25</v>
      </c>
      <c r="C5" s="11"/>
      <c r="D5" s="11"/>
      <c r="E5" s="11"/>
      <c r="F5" s="11"/>
      <c r="G5" s="11"/>
      <c r="H5" s="11"/>
      <c r="I5" s="11"/>
      <c r="J5" s="11"/>
      <c r="K5" s="11"/>
      <c r="L5" s="11"/>
    </row>
    <row r="6" spans="1:19" ht="18.5" x14ac:dyDescent="0.45">
      <c r="A6" s="13" t="s">
        <v>22</v>
      </c>
      <c r="B6" s="14" t="s">
        <v>26</v>
      </c>
      <c r="C6" s="11"/>
      <c r="D6" s="11"/>
      <c r="E6" s="11"/>
      <c r="F6" s="11"/>
      <c r="G6" s="11"/>
      <c r="H6" s="11"/>
      <c r="I6" s="11"/>
      <c r="J6" s="11"/>
      <c r="K6" s="11" t="s">
        <v>100</v>
      </c>
      <c r="L6" s="11"/>
    </row>
    <row r="7" spans="1:19" ht="18.5" x14ac:dyDescent="0.45">
      <c r="A7" s="13" t="s">
        <v>23</v>
      </c>
      <c r="B7" s="14" t="s">
        <v>46</v>
      </c>
      <c r="C7" s="11"/>
      <c r="D7" s="11"/>
      <c r="E7" s="11"/>
      <c r="F7" s="15"/>
      <c r="G7" s="11"/>
      <c r="H7" s="11"/>
      <c r="I7" s="11"/>
      <c r="J7" s="11"/>
      <c r="K7" s="11" t="s">
        <v>100</v>
      </c>
      <c r="L7" s="11"/>
    </row>
    <row r="8" spans="1:19" ht="18.5" x14ac:dyDescent="0.45">
      <c r="A8" s="13" t="s">
        <v>3</v>
      </c>
      <c r="B8" s="14" t="s">
        <v>62</v>
      </c>
      <c r="C8" s="11"/>
      <c r="D8" s="11"/>
      <c r="E8" s="11"/>
      <c r="F8" s="11"/>
      <c r="G8" s="11"/>
      <c r="H8" s="11"/>
      <c r="I8" s="11"/>
      <c r="J8" s="11"/>
      <c r="K8" s="11" t="s">
        <v>100</v>
      </c>
      <c r="L8" s="11"/>
    </row>
    <row r="9" spans="1:19" ht="18.5" x14ac:dyDescent="0.45">
      <c r="A9" s="13" t="s">
        <v>4</v>
      </c>
      <c r="B9" s="14" t="s">
        <v>58</v>
      </c>
      <c r="C9" s="11"/>
      <c r="D9" s="11"/>
      <c r="E9" s="11"/>
      <c r="F9" s="11"/>
      <c r="G9" s="11"/>
      <c r="H9" s="11"/>
      <c r="I9" s="11"/>
      <c r="J9" s="11"/>
      <c r="K9" s="11" t="s">
        <v>100</v>
      </c>
      <c r="L9" s="11"/>
    </row>
    <row r="10" spans="1:19" ht="18.5" x14ac:dyDescent="0.45">
      <c r="A10" s="13" t="s">
        <v>5</v>
      </c>
      <c r="B10" s="14" t="s">
        <v>61</v>
      </c>
      <c r="C10" s="11"/>
      <c r="D10" s="11"/>
      <c r="E10" s="11"/>
      <c r="F10" s="11"/>
      <c r="G10" s="11"/>
      <c r="H10" s="11"/>
      <c r="I10" s="11"/>
      <c r="J10" s="11"/>
      <c r="K10" s="11" t="s">
        <v>100</v>
      </c>
      <c r="L10" s="11"/>
    </row>
    <row r="11" spans="1:19" ht="18.5" x14ac:dyDescent="0.45">
      <c r="A11" s="13" t="s">
        <v>6</v>
      </c>
      <c r="B11" s="14" t="s">
        <v>57</v>
      </c>
      <c r="C11" s="11"/>
      <c r="D11" s="11"/>
      <c r="E11" s="11"/>
      <c r="F11" s="11"/>
      <c r="G11" s="11"/>
      <c r="H11" s="11"/>
      <c r="I11" s="11"/>
      <c r="J11" s="11"/>
      <c r="K11" s="11" t="s">
        <v>100</v>
      </c>
      <c r="L11" s="11"/>
    </row>
    <row r="12" spans="1:19" ht="18.5" x14ac:dyDescent="0.45">
      <c r="A12" s="13" t="s">
        <v>7</v>
      </c>
      <c r="B12" s="14" t="s">
        <v>27</v>
      </c>
      <c r="C12" s="11"/>
      <c r="D12" s="11"/>
      <c r="E12" s="11"/>
      <c r="F12" s="11"/>
      <c r="G12" s="11"/>
      <c r="H12" s="11"/>
      <c r="I12" s="11"/>
      <c r="J12" s="11"/>
      <c r="K12" s="11" t="s">
        <v>101</v>
      </c>
      <c r="L12" s="11"/>
    </row>
    <row r="13" spans="1:19" ht="18.5" x14ac:dyDescent="0.45">
      <c r="A13" s="13" t="s">
        <v>8</v>
      </c>
      <c r="B13" s="14" t="s">
        <v>28</v>
      </c>
      <c r="C13" s="11"/>
      <c r="D13" s="11"/>
      <c r="E13" s="11"/>
      <c r="F13" s="11"/>
      <c r="G13" s="11"/>
      <c r="H13" s="11"/>
      <c r="I13" s="11"/>
      <c r="J13" s="11"/>
      <c r="K13" s="11" t="s">
        <v>101</v>
      </c>
      <c r="L13" s="11"/>
    </row>
    <row r="14" spans="1:19" ht="18.5" x14ac:dyDescent="0.45">
      <c r="A14" s="13" t="s">
        <v>9</v>
      </c>
      <c r="B14" s="14" t="s">
        <v>29</v>
      </c>
      <c r="C14" s="11"/>
      <c r="D14" s="11"/>
      <c r="E14" s="11"/>
      <c r="F14" s="11"/>
      <c r="G14" s="11"/>
      <c r="H14" s="11"/>
      <c r="I14" s="11"/>
      <c r="J14" s="11"/>
      <c r="K14" s="11" t="s">
        <v>101</v>
      </c>
      <c r="L14" s="11"/>
    </row>
    <row r="15" spans="1:19" ht="18.5" x14ac:dyDescent="0.45">
      <c r="A15" s="13" t="s">
        <v>10</v>
      </c>
      <c r="B15" s="14" t="s">
        <v>30</v>
      </c>
      <c r="C15" s="11"/>
      <c r="D15" s="11"/>
      <c r="E15" s="11"/>
      <c r="F15" s="11"/>
      <c r="G15" s="11"/>
      <c r="H15" s="11"/>
      <c r="I15" s="11"/>
      <c r="J15" s="11"/>
      <c r="K15" s="11" t="s">
        <v>101</v>
      </c>
      <c r="L15" s="11"/>
    </row>
    <row r="16" spans="1:19" ht="18.5" x14ac:dyDescent="0.45">
      <c r="A16" s="13" t="s">
        <v>11</v>
      </c>
      <c r="B16" s="14" t="s">
        <v>31</v>
      </c>
      <c r="C16" s="11"/>
      <c r="D16" s="11"/>
      <c r="E16" s="11"/>
      <c r="F16" s="11"/>
      <c r="G16" s="11"/>
      <c r="H16" s="11"/>
      <c r="I16" s="11"/>
      <c r="J16" s="11"/>
      <c r="K16" s="11" t="s">
        <v>101</v>
      </c>
      <c r="L16" s="11"/>
    </row>
    <row r="17" spans="1:12" ht="18.5" x14ac:dyDescent="0.45">
      <c r="A17" s="13" t="s">
        <v>12</v>
      </c>
      <c r="B17" s="14" t="s">
        <v>32</v>
      </c>
      <c r="C17" s="11"/>
      <c r="D17" s="11"/>
      <c r="E17" s="11"/>
      <c r="F17" s="11"/>
      <c r="G17" s="11"/>
      <c r="H17" s="11"/>
      <c r="I17" s="11"/>
      <c r="J17" s="11"/>
      <c r="K17" s="11" t="s">
        <v>101</v>
      </c>
      <c r="L17" s="11"/>
    </row>
    <row r="18" spans="1:12" ht="18.5" x14ac:dyDescent="0.45">
      <c r="A18" s="11" t="s">
        <v>102</v>
      </c>
      <c r="B18" s="14" t="s">
        <v>107</v>
      </c>
      <c r="C18" s="11"/>
      <c r="D18" s="11"/>
      <c r="E18" s="11"/>
      <c r="F18" s="11"/>
      <c r="G18" s="11"/>
      <c r="H18" s="11"/>
      <c r="I18" s="11"/>
      <c r="J18" s="11"/>
      <c r="K18" s="11" t="s">
        <v>100</v>
      </c>
      <c r="L18" s="11"/>
    </row>
    <row r="19" spans="1:12" ht="18.5" x14ac:dyDescent="0.45">
      <c r="A19" s="11"/>
      <c r="B19" s="11"/>
      <c r="C19" s="11"/>
      <c r="D19" s="11"/>
      <c r="E19" s="11"/>
      <c r="F19" s="11"/>
      <c r="G19" s="11"/>
      <c r="H19" s="11"/>
      <c r="I19" s="11"/>
      <c r="J19" s="11"/>
      <c r="K19" s="11"/>
      <c r="L19" s="1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21C0-61AC-4926-BD9A-F21C3E8A6AE2}">
  <dimension ref="A1:P366"/>
  <sheetViews>
    <sheetView zoomScale="55" workbookViewId="0">
      <selection activeCell="N1" sqref="N1:N1048576"/>
    </sheetView>
  </sheetViews>
  <sheetFormatPr defaultRowHeight="14.5" x14ac:dyDescent="0.35"/>
  <cols>
    <col min="1" max="1" width="9.1796875" style="2" bestFit="1" customWidth="1"/>
    <col min="2" max="2" width="10.36328125" bestFit="1" customWidth="1"/>
    <col min="3" max="4" width="9.08984375" style="2"/>
    <col min="5" max="5" width="10.453125" style="2" bestFit="1" customWidth="1"/>
    <col min="6" max="6" width="10.453125" style="2" customWidth="1"/>
    <col min="7" max="7" width="14.1796875" style="2" customWidth="1"/>
    <col min="8" max="8" width="9.81640625" style="2" customWidth="1"/>
    <col min="9" max="9" width="8.81640625" bestFit="1" customWidth="1"/>
    <col min="10" max="10" width="10.54296875" customWidth="1"/>
    <col min="11" max="11" width="12.453125" customWidth="1"/>
    <col min="12" max="13" width="9.08984375" style="2"/>
  </cols>
  <sheetData>
    <row r="1" spans="1:15" ht="20.25" customHeight="1" x14ac:dyDescent="0.35">
      <c r="A1" s="16" t="s">
        <v>17</v>
      </c>
      <c r="B1" s="16" t="s">
        <v>0</v>
      </c>
      <c r="C1" s="16" t="s">
        <v>1</v>
      </c>
      <c r="D1" s="16" t="s">
        <v>2</v>
      </c>
      <c r="E1" s="16" t="s">
        <v>3</v>
      </c>
      <c r="F1" s="16" t="s">
        <v>4</v>
      </c>
      <c r="G1" s="16" t="s">
        <v>5</v>
      </c>
      <c r="H1" s="16" t="s">
        <v>6</v>
      </c>
      <c r="I1" s="16" t="s">
        <v>7</v>
      </c>
      <c r="J1" s="16" t="s">
        <v>8</v>
      </c>
      <c r="K1" s="16" t="s">
        <v>9</v>
      </c>
      <c r="L1" s="16" t="s">
        <v>10</v>
      </c>
      <c r="M1" s="16" t="s">
        <v>11</v>
      </c>
      <c r="N1" s="16" t="s">
        <v>12</v>
      </c>
      <c r="O1" s="16" t="s">
        <v>102</v>
      </c>
    </row>
    <row r="2" spans="1:15" x14ac:dyDescent="0.35">
      <c r="A2" s="2">
        <v>209</v>
      </c>
      <c r="B2" s="1">
        <v>44770</v>
      </c>
      <c r="C2" s="2" t="s">
        <v>15</v>
      </c>
      <c r="D2" s="2" t="s">
        <v>39</v>
      </c>
      <c r="E2" s="2" t="s">
        <v>59</v>
      </c>
      <c r="F2" s="2" t="s">
        <v>51</v>
      </c>
      <c r="G2" s="2" t="s">
        <v>5</v>
      </c>
      <c r="H2" s="2" t="s">
        <v>54</v>
      </c>
      <c r="I2" s="3">
        <v>8.7750000000000004</v>
      </c>
      <c r="J2" s="3">
        <v>58.333300000000001</v>
      </c>
      <c r="K2" s="3">
        <v>11.958093</v>
      </c>
      <c r="L2" s="2">
        <v>0</v>
      </c>
      <c r="M2" s="2">
        <v>8</v>
      </c>
      <c r="N2" s="2">
        <f t="shared" ref="N2:N65" si="0">L2+M2</f>
        <v>8</v>
      </c>
      <c r="O2" s="2" t="s">
        <v>103</v>
      </c>
    </row>
    <row r="3" spans="1:15" x14ac:dyDescent="0.35">
      <c r="A3" s="2">
        <v>208</v>
      </c>
      <c r="B3" s="1">
        <v>44769</v>
      </c>
      <c r="C3" s="2" t="s">
        <v>15</v>
      </c>
      <c r="D3" s="2" t="s">
        <v>39</v>
      </c>
      <c r="E3" s="2" t="s">
        <v>59</v>
      </c>
      <c r="F3" s="2" t="s">
        <v>50</v>
      </c>
      <c r="G3" s="2" t="s">
        <v>5</v>
      </c>
      <c r="H3" s="2" t="s">
        <v>54</v>
      </c>
      <c r="I3" s="3">
        <v>9.7874999999999996</v>
      </c>
      <c r="J3" s="3">
        <v>40.291700000000006</v>
      </c>
      <c r="K3" s="3">
        <v>12.292020999999998</v>
      </c>
      <c r="L3" s="2">
        <v>1</v>
      </c>
      <c r="M3" s="2">
        <v>9</v>
      </c>
      <c r="N3" s="2">
        <f t="shared" si="0"/>
        <v>10</v>
      </c>
      <c r="O3" s="2" t="s">
        <v>103</v>
      </c>
    </row>
    <row r="4" spans="1:15" x14ac:dyDescent="0.35">
      <c r="A4" s="2">
        <v>119</v>
      </c>
      <c r="B4" s="1">
        <v>44680</v>
      </c>
      <c r="C4" s="2" t="s">
        <v>14</v>
      </c>
      <c r="D4" s="2" t="s">
        <v>36</v>
      </c>
      <c r="E4" s="2" t="s">
        <v>59</v>
      </c>
      <c r="F4" s="2" t="s">
        <v>52</v>
      </c>
      <c r="G4" s="2" t="s">
        <v>5</v>
      </c>
      <c r="H4" s="2" t="s">
        <v>54</v>
      </c>
      <c r="I4" s="3">
        <v>11.437514999999999</v>
      </c>
      <c r="J4" s="3">
        <v>45.708300000000001</v>
      </c>
      <c r="K4" s="3">
        <v>16.084220999999999</v>
      </c>
      <c r="L4" s="2">
        <v>1</v>
      </c>
      <c r="M4" s="2">
        <v>11</v>
      </c>
      <c r="N4" s="2">
        <f t="shared" si="0"/>
        <v>12</v>
      </c>
      <c r="O4" s="2" t="s">
        <v>103</v>
      </c>
    </row>
    <row r="5" spans="1:15" x14ac:dyDescent="0.35">
      <c r="A5" s="2">
        <v>247</v>
      </c>
      <c r="B5" s="1">
        <v>44808</v>
      </c>
      <c r="C5" s="2" t="s">
        <v>16</v>
      </c>
      <c r="D5" s="2" t="s">
        <v>41</v>
      </c>
      <c r="E5" s="2" t="s">
        <v>59</v>
      </c>
      <c r="F5" s="2" t="s">
        <v>47</v>
      </c>
      <c r="G5" s="2" t="s">
        <v>60</v>
      </c>
      <c r="H5" s="2" t="s">
        <v>54</v>
      </c>
      <c r="I5" s="3">
        <v>16.943490000000001</v>
      </c>
      <c r="J5" s="3">
        <v>74.208300000000008</v>
      </c>
      <c r="K5" s="3">
        <v>13.833289000000001</v>
      </c>
      <c r="L5" s="2">
        <v>2</v>
      </c>
      <c r="M5" s="2">
        <v>10</v>
      </c>
      <c r="N5" s="2">
        <f t="shared" si="0"/>
        <v>12</v>
      </c>
      <c r="O5" s="2" t="s">
        <v>103</v>
      </c>
    </row>
    <row r="6" spans="1:15" x14ac:dyDescent="0.35">
      <c r="A6" s="2">
        <v>200</v>
      </c>
      <c r="B6" s="1">
        <v>44761</v>
      </c>
      <c r="C6" s="2" t="s">
        <v>15</v>
      </c>
      <c r="D6" s="2" t="s">
        <v>39</v>
      </c>
      <c r="E6" s="2" t="s">
        <v>59</v>
      </c>
      <c r="F6" s="2" t="s">
        <v>49</v>
      </c>
      <c r="G6" s="2" t="s">
        <v>5</v>
      </c>
      <c r="H6" s="2" t="s">
        <v>54</v>
      </c>
      <c r="I6" s="3">
        <v>9.7500149999999994</v>
      </c>
      <c r="J6" s="3">
        <v>65.041700000000006</v>
      </c>
      <c r="K6" s="3">
        <v>8.7501999999999995</v>
      </c>
      <c r="L6" s="2">
        <v>0</v>
      </c>
      <c r="M6" s="2">
        <v>13</v>
      </c>
      <c r="N6" s="2">
        <f t="shared" si="0"/>
        <v>13</v>
      </c>
      <c r="O6" s="2" t="s">
        <v>103</v>
      </c>
    </row>
    <row r="7" spans="1:15" x14ac:dyDescent="0.35">
      <c r="A7" s="2">
        <v>251</v>
      </c>
      <c r="B7" s="1">
        <v>44812</v>
      </c>
      <c r="C7" s="2" t="s">
        <v>16</v>
      </c>
      <c r="D7" s="2" t="s">
        <v>41</v>
      </c>
      <c r="E7" s="2" t="s">
        <v>59</v>
      </c>
      <c r="F7" s="2" t="s">
        <v>51</v>
      </c>
      <c r="G7" s="2" t="s">
        <v>5</v>
      </c>
      <c r="H7" s="2" t="s">
        <v>56</v>
      </c>
      <c r="I7" s="3">
        <v>17.509095000000002</v>
      </c>
      <c r="J7" s="3">
        <v>93.956500000000005</v>
      </c>
      <c r="K7" s="3">
        <v>12.914116</v>
      </c>
      <c r="L7" s="2">
        <v>1</v>
      </c>
      <c r="M7" s="2">
        <v>12</v>
      </c>
      <c r="N7" s="2">
        <f t="shared" si="0"/>
        <v>13</v>
      </c>
      <c r="O7" s="2" t="s">
        <v>103</v>
      </c>
    </row>
    <row r="8" spans="1:15" x14ac:dyDescent="0.35">
      <c r="A8" s="2">
        <v>158</v>
      </c>
      <c r="B8" s="1">
        <v>44719</v>
      </c>
      <c r="C8" s="2" t="s">
        <v>15</v>
      </c>
      <c r="D8" s="2" t="s">
        <v>38</v>
      </c>
      <c r="E8" s="2" t="s">
        <v>59</v>
      </c>
      <c r="F8" s="2" t="s">
        <v>49</v>
      </c>
      <c r="G8" s="2" t="s">
        <v>5</v>
      </c>
      <c r="H8" s="2" t="s">
        <v>54</v>
      </c>
      <c r="I8" s="3">
        <v>18.45</v>
      </c>
      <c r="J8" s="3">
        <v>59.791700000000006</v>
      </c>
      <c r="K8" s="3">
        <v>12.583136</v>
      </c>
      <c r="L8" s="2">
        <v>1</v>
      </c>
      <c r="M8" s="2">
        <v>13</v>
      </c>
      <c r="N8" s="2">
        <f t="shared" si="0"/>
        <v>14</v>
      </c>
      <c r="O8" s="2" t="s">
        <v>103</v>
      </c>
    </row>
    <row r="9" spans="1:15" x14ac:dyDescent="0.35">
      <c r="A9" s="2">
        <v>176</v>
      </c>
      <c r="B9" s="1">
        <v>44737</v>
      </c>
      <c r="C9" s="2" t="s">
        <v>15</v>
      </c>
      <c r="D9" s="2" t="s">
        <v>38</v>
      </c>
      <c r="E9" s="2" t="s">
        <v>59</v>
      </c>
      <c r="F9" s="2" t="s">
        <v>53</v>
      </c>
      <c r="G9" s="2" t="s">
        <v>60</v>
      </c>
      <c r="H9" s="2" t="s">
        <v>54</v>
      </c>
      <c r="I9" s="3">
        <v>12.365235</v>
      </c>
      <c r="J9" s="3">
        <v>48.333300000000001</v>
      </c>
      <c r="K9" s="3">
        <v>14.041257</v>
      </c>
      <c r="L9" s="2">
        <v>6</v>
      </c>
      <c r="M9" s="2">
        <v>9</v>
      </c>
      <c r="N9" s="2">
        <f t="shared" si="0"/>
        <v>15</v>
      </c>
      <c r="O9" s="2" t="s">
        <v>103</v>
      </c>
    </row>
    <row r="10" spans="1:15" x14ac:dyDescent="0.35">
      <c r="A10" s="2">
        <v>288</v>
      </c>
      <c r="B10" s="1">
        <v>44849</v>
      </c>
      <c r="C10" s="2" t="s">
        <v>16</v>
      </c>
      <c r="D10" s="2" t="s">
        <v>42</v>
      </c>
      <c r="E10" s="2" t="s">
        <v>59</v>
      </c>
      <c r="F10" s="2" t="s">
        <v>53</v>
      </c>
      <c r="G10" s="2" t="s">
        <v>60</v>
      </c>
      <c r="H10" s="2" t="s">
        <v>54</v>
      </c>
      <c r="I10" s="3">
        <v>19.387485000000002</v>
      </c>
      <c r="J10" s="3">
        <v>48.333300000000001</v>
      </c>
      <c r="K10" s="3">
        <v>17.291561000000002</v>
      </c>
      <c r="L10" s="2">
        <v>2</v>
      </c>
      <c r="M10" s="2">
        <v>13</v>
      </c>
      <c r="N10" s="2">
        <f t="shared" si="0"/>
        <v>15</v>
      </c>
      <c r="O10" s="2" t="s">
        <v>103</v>
      </c>
    </row>
    <row r="11" spans="1:15" x14ac:dyDescent="0.35">
      <c r="A11" s="2">
        <v>184</v>
      </c>
      <c r="B11" s="1">
        <v>44745</v>
      </c>
      <c r="C11" s="2" t="s">
        <v>15</v>
      </c>
      <c r="D11" s="2" t="s">
        <v>39</v>
      </c>
      <c r="E11" s="2" t="s">
        <v>59</v>
      </c>
      <c r="F11" s="2" t="s">
        <v>47</v>
      </c>
      <c r="G11" s="2" t="s">
        <v>60</v>
      </c>
      <c r="H11" s="2" t="s">
        <v>55</v>
      </c>
      <c r="I11" s="3">
        <v>16.35651</v>
      </c>
      <c r="J11" s="3">
        <v>68.25</v>
      </c>
      <c r="K11" s="3">
        <v>15.333486000000001</v>
      </c>
      <c r="L11" s="2">
        <v>3</v>
      </c>
      <c r="M11" s="2">
        <v>13</v>
      </c>
      <c r="N11" s="2">
        <f t="shared" si="0"/>
        <v>16</v>
      </c>
      <c r="O11" s="2" t="s">
        <v>103</v>
      </c>
    </row>
    <row r="12" spans="1:15" x14ac:dyDescent="0.35">
      <c r="A12" s="2">
        <v>191</v>
      </c>
      <c r="B12" s="1">
        <v>44752</v>
      </c>
      <c r="C12" s="2" t="s">
        <v>15</v>
      </c>
      <c r="D12" s="2" t="s">
        <v>39</v>
      </c>
      <c r="E12" s="2" t="s">
        <v>59</v>
      </c>
      <c r="F12" s="2" t="s">
        <v>47</v>
      </c>
      <c r="G12" s="2" t="s">
        <v>60</v>
      </c>
      <c r="H12" s="2" t="s">
        <v>54</v>
      </c>
      <c r="I12" s="3">
        <v>6.2249850000000002</v>
      </c>
      <c r="J12" s="3">
        <v>57.833300000000001</v>
      </c>
      <c r="K12" s="3">
        <v>12.292557</v>
      </c>
      <c r="L12" s="2">
        <v>1</v>
      </c>
      <c r="M12" s="2">
        <v>15</v>
      </c>
      <c r="N12" s="2">
        <f t="shared" si="0"/>
        <v>16</v>
      </c>
      <c r="O12" s="2" t="s">
        <v>103</v>
      </c>
    </row>
    <row r="13" spans="1:15" x14ac:dyDescent="0.35">
      <c r="A13" s="2">
        <v>190</v>
      </c>
      <c r="B13" s="1">
        <v>44751</v>
      </c>
      <c r="C13" s="2" t="s">
        <v>15</v>
      </c>
      <c r="D13" s="2" t="s">
        <v>39</v>
      </c>
      <c r="E13" s="2" t="s">
        <v>59</v>
      </c>
      <c r="F13" s="2" t="s">
        <v>53</v>
      </c>
      <c r="G13" s="2" t="s">
        <v>60</v>
      </c>
      <c r="H13" s="2" t="s">
        <v>54</v>
      </c>
      <c r="I13" s="3">
        <v>7.4250000000000007</v>
      </c>
      <c r="J13" s="3">
        <v>60.916699999999999</v>
      </c>
      <c r="K13" s="3">
        <v>11.250104</v>
      </c>
      <c r="L13" s="2">
        <v>1</v>
      </c>
      <c r="M13" s="2">
        <v>18</v>
      </c>
      <c r="N13" s="2">
        <f t="shared" si="0"/>
        <v>19</v>
      </c>
      <c r="O13" s="2" t="s">
        <v>103</v>
      </c>
    </row>
    <row r="14" spans="1:15" x14ac:dyDescent="0.35">
      <c r="A14" s="2">
        <v>175</v>
      </c>
      <c r="B14" s="1">
        <v>44736</v>
      </c>
      <c r="C14" s="2" t="s">
        <v>15</v>
      </c>
      <c r="D14" s="2" t="s">
        <v>38</v>
      </c>
      <c r="E14" s="2" t="s">
        <v>59</v>
      </c>
      <c r="F14" s="2" t="s">
        <v>52</v>
      </c>
      <c r="G14" s="2" t="s">
        <v>5</v>
      </c>
      <c r="H14" s="2" t="s">
        <v>54</v>
      </c>
      <c r="I14" s="3">
        <v>13.612499999999999</v>
      </c>
      <c r="J14" s="3">
        <v>57.333300000000001</v>
      </c>
      <c r="K14" s="3">
        <v>14.875674999999999</v>
      </c>
      <c r="L14" s="2">
        <v>3</v>
      </c>
      <c r="M14" s="2">
        <v>17</v>
      </c>
      <c r="N14" s="2">
        <f t="shared" si="0"/>
        <v>20</v>
      </c>
      <c r="O14" s="2" t="s">
        <v>103</v>
      </c>
    </row>
    <row r="15" spans="1:15" x14ac:dyDescent="0.35">
      <c r="A15" s="2">
        <v>183</v>
      </c>
      <c r="B15" s="1">
        <v>44744</v>
      </c>
      <c r="C15" s="2" t="s">
        <v>15</v>
      </c>
      <c r="D15" s="2" t="s">
        <v>39</v>
      </c>
      <c r="E15" s="2" t="s">
        <v>59</v>
      </c>
      <c r="F15" s="2" t="s">
        <v>53</v>
      </c>
      <c r="G15" s="2" t="s">
        <v>60</v>
      </c>
      <c r="H15" s="2" t="s">
        <v>54</v>
      </c>
      <c r="I15" s="3">
        <v>15.487515</v>
      </c>
      <c r="J15" s="3">
        <v>44.458300000000001</v>
      </c>
      <c r="K15" s="3">
        <v>7.7091539999999998</v>
      </c>
      <c r="L15" s="2">
        <v>7</v>
      </c>
      <c r="M15" s="2">
        <v>13</v>
      </c>
      <c r="N15" s="2">
        <f t="shared" si="0"/>
        <v>20</v>
      </c>
      <c r="O15" s="2" t="s">
        <v>103</v>
      </c>
    </row>
    <row r="16" spans="1:15" x14ac:dyDescent="0.35">
      <c r="A16" s="2">
        <v>199</v>
      </c>
      <c r="B16" s="1">
        <v>44760</v>
      </c>
      <c r="C16" s="2" t="s">
        <v>15</v>
      </c>
      <c r="D16" s="2" t="s">
        <v>39</v>
      </c>
      <c r="E16" s="2" t="s">
        <v>59</v>
      </c>
      <c r="F16" s="2" t="s">
        <v>48</v>
      </c>
      <c r="G16" s="2" t="s">
        <v>5</v>
      </c>
      <c r="H16" s="2" t="s">
        <v>54</v>
      </c>
      <c r="I16" s="3">
        <v>7.9124849999999993</v>
      </c>
      <c r="J16" s="3">
        <v>65.125</v>
      </c>
      <c r="K16" s="3">
        <v>14.458867999999999</v>
      </c>
      <c r="L16" s="2">
        <v>2</v>
      </c>
      <c r="M16" s="2">
        <v>18</v>
      </c>
      <c r="N16" s="2">
        <f t="shared" si="0"/>
        <v>20</v>
      </c>
      <c r="O16" s="2" t="s">
        <v>103</v>
      </c>
    </row>
    <row r="17" spans="1:15" x14ac:dyDescent="0.35">
      <c r="A17" s="2">
        <v>204</v>
      </c>
      <c r="B17" s="1">
        <v>44765</v>
      </c>
      <c r="C17" s="2" t="s">
        <v>15</v>
      </c>
      <c r="D17" s="2" t="s">
        <v>39</v>
      </c>
      <c r="E17" s="2" t="s">
        <v>59</v>
      </c>
      <c r="F17" s="2" t="s">
        <v>53</v>
      </c>
      <c r="G17" s="2" t="s">
        <v>60</v>
      </c>
      <c r="H17" s="2" t="s">
        <v>54</v>
      </c>
      <c r="I17" s="3">
        <v>2.6608679999999998</v>
      </c>
      <c r="J17" s="3">
        <v>50</v>
      </c>
      <c r="K17" s="3">
        <v>8.7918070000000004</v>
      </c>
      <c r="L17" s="2">
        <v>2</v>
      </c>
      <c r="M17" s="2">
        <v>18</v>
      </c>
      <c r="N17" s="2">
        <f t="shared" si="0"/>
        <v>20</v>
      </c>
      <c r="O17" s="2" t="s">
        <v>103</v>
      </c>
    </row>
    <row r="18" spans="1:15" x14ac:dyDescent="0.35">
      <c r="A18" s="2">
        <v>205</v>
      </c>
      <c r="B18" s="1">
        <v>44766</v>
      </c>
      <c r="C18" s="2" t="s">
        <v>15</v>
      </c>
      <c r="D18" s="2" t="s">
        <v>39</v>
      </c>
      <c r="E18" s="2" t="s">
        <v>59</v>
      </c>
      <c r="F18" s="2" t="s">
        <v>47</v>
      </c>
      <c r="G18" s="2" t="s">
        <v>60</v>
      </c>
      <c r="H18" s="2" t="s">
        <v>54</v>
      </c>
      <c r="I18" s="3">
        <v>4.3434765000000004</v>
      </c>
      <c r="J18" s="3">
        <v>55.083300000000001</v>
      </c>
      <c r="K18" s="3">
        <v>11.334456999999999</v>
      </c>
      <c r="L18" s="2">
        <v>3</v>
      </c>
      <c r="M18" s="2">
        <v>17</v>
      </c>
      <c r="N18" s="2">
        <f t="shared" si="0"/>
        <v>20</v>
      </c>
      <c r="O18" s="2" t="s">
        <v>103</v>
      </c>
    </row>
    <row r="19" spans="1:15" x14ac:dyDescent="0.35">
      <c r="A19" s="2">
        <v>218</v>
      </c>
      <c r="B19" s="1">
        <v>44779</v>
      </c>
      <c r="C19" s="2" t="s">
        <v>15</v>
      </c>
      <c r="D19" s="2" t="s">
        <v>40</v>
      </c>
      <c r="E19" s="2" t="s">
        <v>59</v>
      </c>
      <c r="F19" s="2" t="s">
        <v>53</v>
      </c>
      <c r="G19" s="2" t="s">
        <v>60</v>
      </c>
      <c r="H19" s="2" t="s">
        <v>55</v>
      </c>
      <c r="I19" s="3">
        <v>10.499985000000001</v>
      </c>
      <c r="J19" s="3">
        <v>75.5</v>
      </c>
      <c r="K19" s="3">
        <v>15.29275</v>
      </c>
      <c r="L19" s="2">
        <v>2</v>
      </c>
      <c r="M19" s="2">
        <v>18</v>
      </c>
      <c r="N19" s="2">
        <f t="shared" si="0"/>
        <v>20</v>
      </c>
      <c r="O19" s="2" t="s">
        <v>103</v>
      </c>
    </row>
    <row r="20" spans="1:15" x14ac:dyDescent="0.35">
      <c r="A20" s="2">
        <v>211</v>
      </c>
      <c r="B20" s="1">
        <v>44772</v>
      </c>
      <c r="C20" s="2" t="s">
        <v>15</v>
      </c>
      <c r="D20" s="2" t="s">
        <v>39</v>
      </c>
      <c r="E20" s="2" t="s">
        <v>59</v>
      </c>
      <c r="F20" s="2" t="s">
        <v>53</v>
      </c>
      <c r="G20" s="2" t="s">
        <v>60</v>
      </c>
      <c r="H20" s="2" t="s">
        <v>54</v>
      </c>
      <c r="I20" s="3">
        <v>8.843490000000001</v>
      </c>
      <c r="J20" s="3">
        <v>46.583300000000001</v>
      </c>
      <c r="K20" s="3">
        <v>11.291979</v>
      </c>
      <c r="L20" s="2">
        <v>2</v>
      </c>
      <c r="M20" s="2">
        <v>20</v>
      </c>
      <c r="N20" s="2">
        <f t="shared" si="0"/>
        <v>22</v>
      </c>
      <c r="O20" s="2" t="s">
        <v>103</v>
      </c>
    </row>
    <row r="21" spans="1:15" x14ac:dyDescent="0.35">
      <c r="A21" s="2">
        <v>212</v>
      </c>
      <c r="B21" s="1">
        <v>44773</v>
      </c>
      <c r="C21" s="2" t="s">
        <v>15</v>
      </c>
      <c r="D21" s="2" t="s">
        <v>39</v>
      </c>
      <c r="E21" s="2" t="s">
        <v>59</v>
      </c>
      <c r="F21" s="2" t="s">
        <v>47</v>
      </c>
      <c r="G21" s="2" t="s">
        <v>60</v>
      </c>
      <c r="H21" s="2" t="s">
        <v>54</v>
      </c>
      <c r="I21" s="3">
        <v>9.7434899999999995</v>
      </c>
      <c r="J21" s="3">
        <v>48.083300000000001</v>
      </c>
      <c r="K21" s="3">
        <v>11.042470999999999</v>
      </c>
      <c r="L21" s="2">
        <v>3</v>
      </c>
      <c r="M21" s="2">
        <v>19</v>
      </c>
      <c r="N21" s="2">
        <f t="shared" si="0"/>
        <v>22</v>
      </c>
      <c r="O21" s="2" t="s">
        <v>103</v>
      </c>
    </row>
    <row r="22" spans="1:15" x14ac:dyDescent="0.35">
      <c r="A22" s="2">
        <v>234</v>
      </c>
      <c r="B22" s="1">
        <v>44795</v>
      </c>
      <c r="C22" s="2" t="s">
        <v>15</v>
      </c>
      <c r="D22" s="2" t="s">
        <v>40</v>
      </c>
      <c r="E22" s="2" t="s">
        <v>59</v>
      </c>
      <c r="F22" s="2" t="s">
        <v>48</v>
      </c>
      <c r="G22" s="2" t="s">
        <v>5</v>
      </c>
      <c r="H22" s="2" t="s">
        <v>54</v>
      </c>
      <c r="I22" s="3">
        <v>13.649985000000001</v>
      </c>
      <c r="J22" s="3">
        <v>47</v>
      </c>
      <c r="K22" s="3">
        <v>18.542249999999999</v>
      </c>
      <c r="L22" s="2">
        <v>4</v>
      </c>
      <c r="M22" s="2">
        <v>18</v>
      </c>
      <c r="N22" s="2">
        <f t="shared" si="0"/>
        <v>22</v>
      </c>
      <c r="O22" s="2" t="s">
        <v>103</v>
      </c>
    </row>
    <row r="23" spans="1:15" x14ac:dyDescent="0.35">
      <c r="A23" s="2">
        <v>56</v>
      </c>
      <c r="B23" s="1">
        <v>44617</v>
      </c>
      <c r="C23" s="2" t="s">
        <v>13</v>
      </c>
      <c r="D23" s="2" t="s">
        <v>34</v>
      </c>
      <c r="E23" s="2" t="s">
        <v>59</v>
      </c>
      <c r="F23" s="2" t="s">
        <v>52</v>
      </c>
      <c r="G23" s="2" t="s">
        <v>5</v>
      </c>
      <c r="H23" s="2" t="s">
        <v>55</v>
      </c>
      <c r="I23" s="3">
        <v>30.6</v>
      </c>
      <c r="J23" s="3">
        <v>71.217399999999998</v>
      </c>
      <c r="K23" s="3">
        <v>23.218112999999999</v>
      </c>
      <c r="L23" s="2">
        <v>5</v>
      </c>
      <c r="M23" s="2">
        <v>18</v>
      </c>
      <c r="N23" s="2">
        <f t="shared" si="0"/>
        <v>23</v>
      </c>
      <c r="O23" s="2" t="s">
        <v>103</v>
      </c>
    </row>
    <row r="24" spans="1:15" x14ac:dyDescent="0.35">
      <c r="A24" s="2">
        <v>178</v>
      </c>
      <c r="B24" s="1">
        <v>44739</v>
      </c>
      <c r="C24" s="2" t="s">
        <v>15</v>
      </c>
      <c r="D24" s="2" t="s">
        <v>38</v>
      </c>
      <c r="E24" s="2" t="s">
        <v>59</v>
      </c>
      <c r="F24" s="2" t="s">
        <v>48</v>
      </c>
      <c r="G24" s="2" t="s">
        <v>5</v>
      </c>
      <c r="H24" s="2" t="s">
        <v>55</v>
      </c>
      <c r="I24" s="3">
        <v>14.625</v>
      </c>
      <c r="J24" s="3">
        <v>65.833299999999994</v>
      </c>
      <c r="K24" s="3">
        <v>7.2083960000000005</v>
      </c>
      <c r="L24" s="2">
        <v>2</v>
      </c>
      <c r="M24" s="2">
        <v>21</v>
      </c>
      <c r="N24" s="2">
        <f t="shared" si="0"/>
        <v>23</v>
      </c>
      <c r="O24" s="2" t="s">
        <v>103</v>
      </c>
    </row>
    <row r="25" spans="1:15" x14ac:dyDescent="0.35">
      <c r="A25" s="2">
        <v>194</v>
      </c>
      <c r="B25" s="1">
        <v>44755</v>
      </c>
      <c r="C25" s="2" t="s">
        <v>15</v>
      </c>
      <c r="D25" s="2" t="s">
        <v>39</v>
      </c>
      <c r="E25" s="2" t="s">
        <v>59</v>
      </c>
      <c r="F25" s="2" t="s">
        <v>50</v>
      </c>
      <c r="G25" s="2" t="s">
        <v>5</v>
      </c>
      <c r="H25" s="2" t="s">
        <v>54</v>
      </c>
      <c r="I25" s="3">
        <v>7.7727149999999998</v>
      </c>
      <c r="J25" s="3">
        <v>63.166699999999999</v>
      </c>
      <c r="K25" s="3">
        <v>9.7909110000000013</v>
      </c>
      <c r="L25" s="2">
        <v>1</v>
      </c>
      <c r="M25" s="2">
        <v>23</v>
      </c>
      <c r="N25" s="2">
        <f t="shared" si="0"/>
        <v>24</v>
      </c>
      <c r="O25" s="2" t="s">
        <v>103</v>
      </c>
    </row>
    <row r="26" spans="1:15" x14ac:dyDescent="0.35">
      <c r="A26" s="2">
        <v>198</v>
      </c>
      <c r="B26" s="1">
        <v>44759</v>
      </c>
      <c r="C26" s="2" t="s">
        <v>15</v>
      </c>
      <c r="D26" s="2" t="s">
        <v>39</v>
      </c>
      <c r="E26" s="2" t="s">
        <v>59</v>
      </c>
      <c r="F26" s="2" t="s">
        <v>47</v>
      </c>
      <c r="G26" s="2" t="s">
        <v>60</v>
      </c>
      <c r="H26" s="2" t="s">
        <v>54</v>
      </c>
      <c r="I26" s="3">
        <v>10.425015</v>
      </c>
      <c r="J26" s="3">
        <v>60.416699999999999</v>
      </c>
      <c r="K26" s="3">
        <v>16.417211000000002</v>
      </c>
      <c r="L26" s="2">
        <v>5</v>
      </c>
      <c r="M26" s="2">
        <v>19</v>
      </c>
      <c r="N26" s="2">
        <f t="shared" si="0"/>
        <v>24</v>
      </c>
      <c r="O26" s="2" t="s">
        <v>103</v>
      </c>
    </row>
    <row r="27" spans="1:15" x14ac:dyDescent="0.35">
      <c r="A27" s="2">
        <v>210</v>
      </c>
      <c r="B27" s="1">
        <v>44771</v>
      </c>
      <c r="C27" s="2" t="s">
        <v>15</v>
      </c>
      <c r="D27" s="2" t="s">
        <v>39</v>
      </c>
      <c r="E27" s="2" t="s">
        <v>59</v>
      </c>
      <c r="F27" s="2" t="s">
        <v>52</v>
      </c>
      <c r="G27" s="2" t="s">
        <v>5</v>
      </c>
      <c r="H27" s="2" t="s">
        <v>54</v>
      </c>
      <c r="I27" s="3">
        <v>9.156509999999999</v>
      </c>
      <c r="J27" s="3">
        <v>54.25</v>
      </c>
      <c r="K27" s="3">
        <v>11.667245999999999</v>
      </c>
      <c r="L27" s="2">
        <v>1</v>
      </c>
      <c r="M27" s="2">
        <v>23</v>
      </c>
      <c r="N27" s="2">
        <f t="shared" si="0"/>
        <v>24</v>
      </c>
      <c r="O27" s="2" t="s">
        <v>103</v>
      </c>
    </row>
    <row r="28" spans="1:15" x14ac:dyDescent="0.35">
      <c r="A28" s="2">
        <v>193</v>
      </c>
      <c r="B28" s="1">
        <v>44754</v>
      </c>
      <c r="C28" s="2" t="s">
        <v>15</v>
      </c>
      <c r="D28" s="2" t="s">
        <v>39</v>
      </c>
      <c r="E28" s="2" t="s">
        <v>59</v>
      </c>
      <c r="F28" s="2" t="s">
        <v>49</v>
      </c>
      <c r="G28" s="2" t="s">
        <v>5</v>
      </c>
      <c r="H28" s="2" t="s">
        <v>54</v>
      </c>
      <c r="I28" s="3">
        <v>7.6090949999999999</v>
      </c>
      <c r="J28" s="3">
        <v>55.916699999999999</v>
      </c>
      <c r="K28" s="3">
        <v>13.417017999999999</v>
      </c>
      <c r="L28" s="2">
        <v>1</v>
      </c>
      <c r="M28" s="2">
        <v>24</v>
      </c>
      <c r="N28" s="2">
        <f t="shared" si="0"/>
        <v>25</v>
      </c>
      <c r="O28" s="2" t="s">
        <v>103</v>
      </c>
    </row>
    <row r="29" spans="1:15" x14ac:dyDescent="0.35">
      <c r="A29" s="2">
        <v>197</v>
      </c>
      <c r="B29" s="1">
        <v>44758</v>
      </c>
      <c r="C29" s="2" t="s">
        <v>15</v>
      </c>
      <c r="D29" s="2" t="s">
        <v>39</v>
      </c>
      <c r="E29" s="2" t="s">
        <v>59</v>
      </c>
      <c r="F29" s="2" t="s">
        <v>53</v>
      </c>
      <c r="G29" s="2" t="s">
        <v>60</v>
      </c>
      <c r="H29" s="2" t="s">
        <v>54</v>
      </c>
      <c r="I29" s="3">
        <v>10.499985000000001</v>
      </c>
      <c r="J29" s="3">
        <v>58.5</v>
      </c>
      <c r="K29" s="3">
        <v>13.958914</v>
      </c>
      <c r="L29" s="2">
        <v>4</v>
      </c>
      <c r="M29" s="2">
        <v>21</v>
      </c>
      <c r="N29" s="2">
        <f t="shared" si="0"/>
        <v>25</v>
      </c>
      <c r="O29" s="2" t="s">
        <v>103</v>
      </c>
    </row>
    <row r="30" spans="1:15" x14ac:dyDescent="0.35">
      <c r="A30" s="2">
        <v>177</v>
      </c>
      <c r="B30" s="1">
        <v>44738</v>
      </c>
      <c r="C30" s="2" t="s">
        <v>15</v>
      </c>
      <c r="D30" s="2" t="s">
        <v>38</v>
      </c>
      <c r="E30" s="2" t="s">
        <v>59</v>
      </c>
      <c r="F30" s="2" t="s">
        <v>47</v>
      </c>
      <c r="G30" s="2" t="s">
        <v>60</v>
      </c>
      <c r="H30" s="2" t="s">
        <v>54</v>
      </c>
      <c r="I30" s="3">
        <v>14.478255000000001</v>
      </c>
      <c r="J30" s="3">
        <v>51.333300000000001</v>
      </c>
      <c r="K30" s="3">
        <v>6.3337310999999996</v>
      </c>
      <c r="L30" s="2">
        <v>9</v>
      </c>
      <c r="M30" s="2">
        <v>18</v>
      </c>
      <c r="N30" s="2">
        <f t="shared" si="0"/>
        <v>27</v>
      </c>
      <c r="O30" s="2" t="s">
        <v>103</v>
      </c>
    </row>
    <row r="31" spans="1:15" x14ac:dyDescent="0.35">
      <c r="A31" s="2">
        <v>185</v>
      </c>
      <c r="B31" s="1">
        <v>44746</v>
      </c>
      <c r="C31" s="2" t="s">
        <v>15</v>
      </c>
      <c r="D31" s="2" t="s">
        <v>39</v>
      </c>
      <c r="E31" s="2" t="s">
        <v>3</v>
      </c>
      <c r="F31" s="2" t="s">
        <v>48</v>
      </c>
      <c r="G31" s="2" t="s">
        <v>60</v>
      </c>
      <c r="H31" s="2" t="s">
        <v>55</v>
      </c>
      <c r="I31" s="3">
        <v>8.8363800000000001</v>
      </c>
      <c r="J31" s="3">
        <v>63.791699999999999</v>
      </c>
      <c r="K31" s="3">
        <v>5.4591064000000005</v>
      </c>
      <c r="L31" s="2">
        <v>2</v>
      </c>
      <c r="M31" s="2">
        <v>25</v>
      </c>
      <c r="N31" s="2">
        <f t="shared" si="0"/>
        <v>27</v>
      </c>
      <c r="O31" s="2" t="s">
        <v>103</v>
      </c>
    </row>
    <row r="32" spans="1:15" x14ac:dyDescent="0.35">
      <c r="A32" s="2">
        <v>192</v>
      </c>
      <c r="B32" s="1">
        <v>44753</v>
      </c>
      <c r="C32" s="2" t="s">
        <v>15</v>
      </c>
      <c r="D32" s="2" t="s">
        <v>39</v>
      </c>
      <c r="E32" s="2" t="s">
        <v>59</v>
      </c>
      <c r="F32" s="2" t="s">
        <v>48</v>
      </c>
      <c r="G32" s="2" t="s">
        <v>5</v>
      </c>
      <c r="H32" s="2" t="s">
        <v>54</v>
      </c>
      <c r="I32" s="3">
        <v>6.7874850000000002</v>
      </c>
      <c r="J32" s="3">
        <v>63.583300000000001</v>
      </c>
      <c r="K32" s="3">
        <v>18.916578999999999</v>
      </c>
      <c r="L32" s="2">
        <v>1</v>
      </c>
      <c r="M32" s="2">
        <v>26</v>
      </c>
      <c r="N32" s="2">
        <f t="shared" si="0"/>
        <v>27</v>
      </c>
      <c r="O32" s="2" t="s">
        <v>103</v>
      </c>
    </row>
    <row r="33" spans="1:15" x14ac:dyDescent="0.35">
      <c r="A33" s="2">
        <v>214</v>
      </c>
      <c r="B33" s="1">
        <v>44775</v>
      </c>
      <c r="C33" s="2" t="s">
        <v>15</v>
      </c>
      <c r="D33" s="2" t="s">
        <v>40</v>
      </c>
      <c r="E33" s="2" t="s">
        <v>59</v>
      </c>
      <c r="F33" s="2" t="s">
        <v>49</v>
      </c>
      <c r="G33" s="2" t="s">
        <v>5</v>
      </c>
      <c r="H33" s="2" t="s">
        <v>54</v>
      </c>
      <c r="I33" s="3">
        <v>8.6478300000000008</v>
      </c>
      <c r="J33" s="3">
        <v>49.125</v>
      </c>
      <c r="K33" s="3">
        <v>13.79195</v>
      </c>
      <c r="L33" s="2">
        <v>1</v>
      </c>
      <c r="M33" s="2">
        <v>26</v>
      </c>
      <c r="N33" s="2">
        <f t="shared" si="0"/>
        <v>27</v>
      </c>
      <c r="O33" s="2" t="s">
        <v>103</v>
      </c>
    </row>
    <row r="34" spans="1:15" x14ac:dyDescent="0.35">
      <c r="A34" s="2">
        <v>195</v>
      </c>
      <c r="B34" s="1">
        <v>44756</v>
      </c>
      <c r="C34" s="2" t="s">
        <v>15</v>
      </c>
      <c r="D34" s="2" t="s">
        <v>39</v>
      </c>
      <c r="E34" s="2" t="s">
        <v>59</v>
      </c>
      <c r="F34" s="2" t="s">
        <v>51</v>
      </c>
      <c r="G34" s="2" t="s">
        <v>5</v>
      </c>
      <c r="H34" s="2" t="s">
        <v>54</v>
      </c>
      <c r="I34" s="3">
        <v>7.4250000000000007</v>
      </c>
      <c r="J34" s="3">
        <v>47.625</v>
      </c>
      <c r="K34" s="3">
        <v>16.124689</v>
      </c>
      <c r="L34" s="2">
        <v>1</v>
      </c>
      <c r="M34" s="2">
        <v>27</v>
      </c>
      <c r="N34" s="2">
        <f t="shared" si="0"/>
        <v>28</v>
      </c>
      <c r="O34" s="2" t="s">
        <v>103</v>
      </c>
    </row>
    <row r="35" spans="1:15" x14ac:dyDescent="0.35">
      <c r="A35" s="2">
        <v>196</v>
      </c>
      <c r="B35" s="1">
        <v>44757</v>
      </c>
      <c r="C35" s="2" t="s">
        <v>15</v>
      </c>
      <c r="D35" s="2" t="s">
        <v>39</v>
      </c>
      <c r="E35" s="2" t="s">
        <v>59</v>
      </c>
      <c r="F35" s="2" t="s">
        <v>52</v>
      </c>
      <c r="G35" s="2" t="s">
        <v>5</v>
      </c>
      <c r="H35" s="2" t="s">
        <v>54</v>
      </c>
      <c r="I35" s="3">
        <v>7.2391500000000004</v>
      </c>
      <c r="J35" s="3">
        <v>59.125000000000007</v>
      </c>
      <c r="K35" s="3">
        <v>12.249810999999999</v>
      </c>
      <c r="L35" s="2">
        <v>1</v>
      </c>
      <c r="M35" s="2">
        <v>27</v>
      </c>
      <c r="N35" s="2">
        <f t="shared" si="0"/>
        <v>28</v>
      </c>
      <c r="O35" s="2" t="s">
        <v>103</v>
      </c>
    </row>
    <row r="36" spans="1:15" x14ac:dyDescent="0.35">
      <c r="A36" s="2">
        <v>206</v>
      </c>
      <c r="B36" s="1">
        <v>44767</v>
      </c>
      <c r="C36" s="2" t="s">
        <v>15</v>
      </c>
      <c r="D36" s="2" t="s">
        <v>39</v>
      </c>
      <c r="E36" s="2" t="s">
        <v>59</v>
      </c>
      <c r="F36" s="2" t="s">
        <v>48</v>
      </c>
      <c r="G36" s="2" t="s">
        <v>5</v>
      </c>
      <c r="H36" s="2" t="s">
        <v>54</v>
      </c>
      <c r="I36" s="3">
        <v>4.3826084999999999</v>
      </c>
      <c r="J36" s="3">
        <v>75.708299999999994</v>
      </c>
      <c r="K36" s="3">
        <v>6.0841560999999995</v>
      </c>
      <c r="L36" s="2">
        <v>2</v>
      </c>
      <c r="M36" s="2">
        <v>27</v>
      </c>
      <c r="N36" s="2">
        <f t="shared" si="0"/>
        <v>29</v>
      </c>
      <c r="O36" s="2" t="s">
        <v>103</v>
      </c>
    </row>
    <row r="37" spans="1:15" x14ac:dyDescent="0.35">
      <c r="A37" s="2">
        <v>235</v>
      </c>
      <c r="B37" s="1">
        <v>44796</v>
      </c>
      <c r="C37" s="2" t="s">
        <v>15</v>
      </c>
      <c r="D37" s="2" t="s">
        <v>40</v>
      </c>
      <c r="E37" s="2" t="s">
        <v>59</v>
      </c>
      <c r="F37" s="2" t="s">
        <v>49</v>
      </c>
      <c r="G37" s="2" t="s">
        <v>5</v>
      </c>
      <c r="H37" s="2" t="s">
        <v>54</v>
      </c>
      <c r="I37" s="3">
        <v>8.1999899999999997</v>
      </c>
      <c r="J37" s="3">
        <v>45.541699999999999</v>
      </c>
      <c r="K37" s="3">
        <v>9.8331210000000002</v>
      </c>
      <c r="L37" s="2">
        <v>1</v>
      </c>
      <c r="M37" s="2">
        <v>28</v>
      </c>
      <c r="N37" s="2">
        <f t="shared" si="0"/>
        <v>29</v>
      </c>
      <c r="O37" s="2" t="s">
        <v>103</v>
      </c>
    </row>
    <row r="38" spans="1:15" x14ac:dyDescent="0.35">
      <c r="A38" s="2">
        <v>238</v>
      </c>
      <c r="B38" s="1">
        <v>44799</v>
      </c>
      <c r="C38" s="2" t="s">
        <v>15</v>
      </c>
      <c r="D38" s="2" t="s">
        <v>40</v>
      </c>
      <c r="E38" s="2" t="s">
        <v>59</v>
      </c>
      <c r="F38" s="2" t="s">
        <v>52</v>
      </c>
      <c r="G38" s="2" t="s">
        <v>5</v>
      </c>
      <c r="H38" s="2" t="s">
        <v>54</v>
      </c>
      <c r="I38" s="3">
        <v>16.395659999999999</v>
      </c>
      <c r="J38" s="3">
        <v>76.125</v>
      </c>
      <c r="K38" s="3">
        <v>5.6254874999999993</v>
      </c>
      <c r="L38" s="2">
        <v>2</v>
      </c>
      <c r="M38" s="2">
        <v>27</v>
      </c>
      <c r="N38" s="2">
        <f t="shared" si="0"/>
        <v>29</v>
      </c>
      <c r="O38" s="2" t="s">
        <v>103</v>
      </c>
    </row>
    <row r="39" spans="1:15" x14ac:dyDescent="0.35">
      <c r="A39" s="2">
        <v>241</v>
      </c>
      <c r="B39" s="1">
        <v>44802</v>
      </c>
      <c r="C39" s="2" t="s">
        <v>15</v>
      </c>
      <c r="D39" s="2" t="s">
        <v>40</v>
      </c>
      <c r="E39" s="2" t="s">
        <v>59</v>
      </c>
      <c r="F39" s="2" t="s">
        <v>48</v>
      </c>
      <c r="G39" s="2" t="s">
        <v>5</v>
      </c>
      <c r="H39" s="2" t="s">
        <v>54</v>
      </c>
      <c r="I39" s="3">
        <v>18.327285</v>
      </c>
      <c r="J39" s="3">
        <v>55.458300000000008</v>
      </c>
      <c r="K39" s="3">
        <v>10.708275</v>
      </c>
      <c r="L39" s="2">
        <v>2</v>
      </c>
      <c r="M39" s="2">
        <v>27</v>
      </c>
      <c r="N39" s="2">
        <f t="shared" si="0"/>
        <v>29</v>
      </c>
      <c r="O39" s="2" t="s">
        <v>103</v>
      </c>
    </row>
    <row r="40" spans="1:15" x14ac:dyDescent="0.35">
      <c r="A40" s="2">
        <v>280</v>
      </c>
      <c r="B40" s="1">
        <v>44841</v>
      </c>
      <c r="C40" s="2" t="s">
        <v>16</v>
      </c>
      <c r="D40" s="2" t="s">
        <v>42</v>
      </c>
      <c r="E40" s="2" t="s">
        <v>59</v>
      </c>
      <c r="F40" s="2" t="s">
        <v>52</v>
      </c>
      <c r="G40" s="2" t="s">
        <v>5</v>
      </c>
      <c r="H40" s="2" t="s">
        <v>54</v>
      </c>
      <c r="I40" s="3">
        <v>15.112485</v>
      </c>
      <c r="J40" s="3">
        <v>68.416699999999992</v>
      </c>
      <c r="K40" s="3">
        <v>1.5002439000000001</v>
      </c>
      <c r="L40" s="2">
        <v>3</v>
      </c>
      <c r="M40" s="2">
        <v>26</v>
      </c>
      <c r="N40" s="2">
        <f t="shared" si="0"/>
        <v>29</v>
      </c>
      <c r="O40" s="2" t="s">
        <v>103</v>
      </c>
    </row>
    <row r="41" spans="1:15" x14ac:dyDescent="0.35">
      <c r="A41" s="2">
        <v>145</v>
      </c>
      <c r="B41" s="1">
        <v>44706</v>
      </c>
      <c r="C41" s="2" t="s">
        <v>14</v>
      </c>
      <c r="D41" s="2" t="s">
        <v>37</v>
      </c>
      <c r="E41" s="2" t="s">
        <v>59</v>
      </c>
      <c r="F41" s="2" t="s">
        <v>50</v>
      </c>
      <c r="G41" s="2" t="s">
        <v>5</v>
      </c>
      <c r="H41" s="2" t="s">
        <v>54</v>
      </c>
      <c r="I41" s="3">
        <v>16.799985</v>
      </c>
      <c r="J41" s="3">
        <v>69.625</v>
      </c>
      <c r="K41" s="3">
        <v>10.333611000000001</v>
      </c>
      <c r="L41" s="2">
        <v>11</v>
      </c>
      <c r="M41" s="2">
        <v>19</v>
      </c>
      <c r="N41" s="2">
        <f t="shared" si="0"/>
        <v>30</v>
      </c>
      <c r="O41" s="2" t="s">
        <v>103</v>
      </c>
    </row>
    <row r="42" spans="1:15" x14ac:dyDescent="0.35">
      <c r="A42" s="2">
        <v>189</v>
      </c>
      <c r="B42" s="1">
        <v>44750</v>
      </c>
      <c r="C42" s="2" t="s">
        <v>15</v>
      </c>
      <c r="D42" s="2" t="s">
        <v>39</v>
      </c>
      <c r="E42" s="2" t="s">
        <v>59</v>
      </c>
      <c r="F42" s="2" t="s">
        <v>52</v>
      </c>
      <c r="G42" s="2" t="s">
        <v>5</v>
      </c>
      <c r="H42" s="2" t="s">
        <v>55</v>
      </c>
      <c r="I42" s="3">
        <v>8.843490000000001</v>
      </c>
      <c r="J42" s="3">
        <v>75.791699999999992</v>
      </c>
      <c r="K42" s="3">
        <v>15.083643</v>
      </c>
      <c r="L42" s="2">
        <v>3</v>
      </c>
      <c r="M42" s="2">
        <v>27</v>
      </c>
      <c r="N42" s="2">
        <f t="shared" si="0"/>
        <v>30</v>
      </c>
      <c r="O42" s="2" t="s">
        <v>103</v>
      </c>
    </row>
    <row r="43" spans="1:15" x14ac:dyDescent="0.35">
      <c r="A43" s="2">
        <v>213</v>
      </c>
      <c r="B43" s="1">
        <v>44774</v>
      </c>
      <c r="C43" s="2" t="s">
        <v>15</v>
      </c>
      <c r="D43" s="2" t="s">
        <v>40</v>
      </c>
      <c r="E43" s="2" t="s">
        <v>59</v>
      </c>
      <c r="F43" s="2" t="s">
        <v>48</v>
      </c>
      <c r="G43" s="2" t="s">
        <v>5</v>
      </c>
      <c r="H43" s="2" t="s">
        <v>54</v>
      </c>
      <c r="I43" s="3">
        <v>8.1374849999999999</v>
      </c>
      <c r="J43" s="3">
        <v>55.083300000000001</v>
      </c>
      <c r="K43" s="3">
        <v>10.500038999999999</v>
      </c>
      <c r="L43" s="2">
        <v>1</v>
      </c>
      <c r="M43" s="2">
        <v>29</v>
      </c>
      <c r="N43" s="2">
        <f t="shared" si="0"/>
        <v>30</v>
      </c>
      <c r="O43" s="2" t="s">
        <v>103</v>
      </c>
    </row>
    <row r="44" spans="1:15" x14ac:dyDescent="0.35">
      <c r="A44" s="2">
        <v>215</v>
      </c>
      <c r="B44" s="1">
        <v>44776</v>
      </c>
      <c r="C44" s="2" t="s">
        <v>15</v>
      </c>
      <c r="D44" s="2" t="s">
        <v>40</v>
      </c>
      <c r="E44" s="2" t="s">
        <v>59</v>
      </c>
      <c r="F44" s="2" t="s">
        <v>50</v>
      </c>
      <c r="G44" s="2" t="s">
        <v>5</v>
      </c>
      <c r="H44" s="2" t="s">
        <v>55</v>
      </c>
      <c r="I44" s="3">
        <v>11.700000000000001</v>
      </c>
      <c r="J44" s="3">
        <v>65.75</v>
      </c>
      <c r="K44" s="3">
        <v>9.0840610000000002</v>
      </c>
      <c r="L44" s="2">
        <v>1</v>
      </c>
      <c r="M44" s="2">
        <v>29</v>
      </c>
      <c r="N44" s="2">
        <f t="shared" si="0"/>
        <v>30</v>
      </c>
      <c r="O44" s="2" t="s">
        <v>103</v>
      </c>
    </row>
    <row r="45" spans="1:15" x14ac:dyDescent="0.35">
      <c r="A45" s="2">
        <v>221</v>
      </c>
      <c r="B45" s="1">
        <v>44782</v>
      </c>
      <c r="C45" s="2" t="s">
        <v>15</v>
      </c>
      <c r="D45" s="2" t="s">
        <v>40</v>
      </c>
      <c r="E45" s="2" t="s">
        <v>59</v>
      </c>
      <c r="F45" s="2" t="s">
        <v>49</v>
      </c>
      <c r="G45" s="2" t="s">
        <v>5</v>
      </c>
      <c r="H45" s="2" t="s">
        <v>54</v>
      </c>
      <c r="I45" s="3">
        <v>9.9374850000000006</v>
      </c>
      <c r="J45" s="3">
        <v>57.041699999999992</v>
      </c>
      <c r="K45" s="3">
        <v>10.125107</v>
      </c>
      <c r="L45" s="2">
        <v>1</v>
      </c>
      <c r="M45" s="2">
        <v>29</v>
      </c>
      <c r="N45" s="2">
        <f t="shared" si="0"/>
        <v>30</v>
      </c>
      <c r="O45" s="2" t="s">
        <v>103</v>
      </c>
    </row>
    <row r="46" spans="1:15" x14ac:dyDescent="0.35">
      <c r="A46" s="2">
        <v>225</v>
      </c>
      <c r="B46" s="1">
        <v>44786</v>
      </c>
      <c r="C46" s="2" t="s">
        <v>15</v>
      </c>
      <c r="D46" s="2" t="s">
        <v>40</v>
      </c>
      <c r="E46" s="2" t="s">
        <v>59</v>
      </c>
      <c r="F46" s="2" t="s">
        <v>53</v>
      </c>
      <c r="G46" s="2" t="s">
        <v>60</v>
      </c>
      <c r="H46" s="2" t="s">
        <v>55</v>
      </c>
      <c r="I46" s="3">
        <v>10.012499999999999</v>
      </c>
      <c r="J46" s="3">
        <v>72.958299999999994</v>
      </c>
      <c r="K46" s="3">
        <v>14.167418</v>
      </c>
      <c r="L46" s="2">
        <v>6</v>
      </c>
      <c r="M46" s="2">
        <v>24</v>
      </c>
      <c r="N46" s="2">
        <f t="shared" si="0"/>
        <v>30</v>
      </c>
      <c r="O46" s="2" t="s">
        <v>103</v>
      </c>
    </row>
    <row r="47" spans="1:15" x14ac:dyDescent="0.35">
      <c r="A47" s="2">
        <v>271</v>
      </c>
      <c r="B47" s="1">
        <v>44832</v>
      </c>
      <c r="C47" s="2" t="s">
        <v>16</v>
      </c>
      <c r="D47" s="2" t="s">
        <v>41</v>
      </c>
      <c r="E47" s="2" t="s">
        <v>59</v>
      </c>
      <c r="F47" s="2" t="s">
        <v>50</v>
      </c>
      <c r="G47" s="2" t="s">
        <v>5</v>
      </c>
      <c r="H47" s="2" t="s">
        <v>55</v>
      </c>
      <c r="I47" s="3">
        <v>13.5</v>
      </c>
      <c r="J47" s="3">
        <v>84.875</v>
      </c>
      <c r="K47" s="3">
        <v>9.9581430000000015</v>
      </c>
      <c r="L47" s="2">
        <v>3</v>
      </c>
      <c r="M47" s="2">
        <v>27</v>
      </c>
      <c r="N47" s="2">
        <f t="shared" si="0"/>
        <v>30</v>
      </c>
      <c r="O47" s="2" t="s">
        <v>103</v>
      </c>
    </row>
    <row r="48" spans="1:15" x14ac:dyDescent="0.35">
      <c r="A48" s="2">
        <v>186</v>
      </c>
      <c r="B48" s="1">
        <v>44747</v>
      </c>
      <c r="C48" s="2" t="s">
        <v>15</v>
      </c>
      <c r="D48" s="2" t="s">
        <v>39</v>
      </c>
      <c r="E48" s="2" t="s">
        <v>59</v>
      </c>
      <c r="F48" s="2" t="s">
        <v>49</v>
      </c>
      <c r="G48" s="2" t="s">
        <v>5</v>
      </c>
      <c r="H48" s="2" t="s">
        <v>54</v>
      </c>
      <c r="I48" s="3">
        <v>9</v>
      </c>
      <c r="J48" s="3">
        <v>59.041699999999999</v>
      </c>
      <c r="K48" s="3">
        <v>8.4592860000000005</v>
      </c>
      <c r="L48" s="2">
        <v>2</v>
      </c>
      <c r="M48" s="2">
        <v>29</v>
      </c>
      <c r="N48" s="2">
        <f t="shared" si="0"/>
        <v>31</v>
      </c>
      <c r="O48" s="2" t="s">
        <v>103</v>
      </c>
    </row>
    <row r="49" spans="1:15" x14ac:dyDescent="0.35">
      <c r="A49" s="2">
        <v>203</v>
      </c>
      <c r="B49" s="1">
        <v>44764</v>
      </c>
      <c r="C49" s="2" t="s">
        <v>15</v>
      </c>
      <c r="D49" s="2" t="s">
        <v>39</v>
      </c>
      <c r="E49" s="2" t="s">
        <v>59</v>
      </c>
      <c r="F49" s="2" t="s">
        <v>52</v>
      </c>
      <c r="G49" s="2" t="s">
        <v>5</v>
      </c>
      <c r="H49" s="2" t="s">
        <v>54</v>
      </c>
      <c r="I49" s="3">
        <v>7.9874999999999998</v>
      </c>
      <c r="J49" s="3">
        <v>58.041699999999999</v>
      </c>
      <c r="K49" s="3">
        <v>8.9177</v>
      </c>
      <c r="L49" s="2">
        <v>2</v>
      </c>
      <c r="M49" s="2">
        <v>29</v>
      </c>
      <c r="N49" s="2">
        <f t="shared" si="0"/>
        <v>31</v>
      </c>
      <c r="O49" s="2" t="s">
        <v>103</v>
      </c>
    </row>
    <row r="50" spans="1:15" x14ac:dyDescent="0.35">
      <c r="A50" s="2">
        <v>216</v>
      </c>
      <c r="B50" s="1">
        <v>44777</v>
      </c>
      <c r="C50" s="2" t="s">
        <v>15</v>
      </c>
      <c r="D50" s="2" t="s">
        <v>40</v>
      </c>
      <c r="E50" s="2" t="s">
        <v>59</v>
      </c>
      <c r="F50" s="2" t="s">
        <v>51</v>
      </c>
      <c r="G50" s="2" t="s">
        <v>5</v>
      </c>
      <c r="H50" s="2" t="s">
        <v>55</v>
      </c>
      <c r="I50" s="3">
        <v>8.4130650000000013</v>
      </c>
      <c r="J50" s="3">
        <v>75.75</v>
      </c>
      <c r="K50" s="3">
        <v>13.20905</v>
      </c>
      <c r="L50" s="2">
        <v>1</v>
      </c>
      <c r="M50" s="2">
        <v>30</v>
      </c>
      <c r="N50" s="2">
        <f t="shared" si="0"/>
        <v>31</v>
      </c>
      <c r="O50" s="2" t="s">
        <v>103</v>
      </c>
    </row>
    <row r="51" spans="1:15" x14ac:dyDescent="0.35">
      <c r="A51" s="2">
        <v>223</v>
      </c>
      <c r="B51" s="1">
        <v>44784</v>
      </c>
      <c r="C51" s="2" t="s">
        <v>15</v>
      </c>
      <c r="D51" s="2" t="s">
        <v>40</v>
      </c>
      <c r="E51" s="2" t="s">
        <v>59</v>
      </c>
      <c r="F51" s="2" t="s">
        <v>51</v>
      </c>
      <c r="G51" s="2" t="s">
        <v>5</v>
      </c>
      <c r="H51" s="2" t="s">
        <v>54</v>
      </c>
      <c r="I51" s="3">
        <v>6.49566</v>
      </c>
      <c r="J51" s="3">
        <v>42.375</v>
      </c>
      <c r="K51" s="3">
        <v>11.041332000000001</v>
      </c>
      <c r="L51" s="2">
        <v>1</v>
      </c>
      <c r="M51" s="2">
        <v>30</v>
      </c>
      <c r="N51" s="2">
        <f t="shared" si="0"/>
        <v>31</v>
      </c>
      <c r="O51" s="2" t="s">
        <v>103</v>
      </c>
    </row>
    <row r="52" spans="1:15" x14ac:dyDescent="0.35">
      <c r="A52" s="2">
        <v>143</v>
      </c>
      <c r="B52" s="1">
        <v>44704</v>
      </c>
      <c r="C52" s="2" t="s">
        <v>14</v>
      </c>
      <c r="D52" s="2" t="s">
        <v>37</v>
      </c>
      <c r="E52" s="2" t="s">
        <v>59</v>
      </c>
      <c r="F52" s="2" t="s">
        <v>48</v>
      </c>
      <c r="G52" s="2" t="s">
        <v>5</v>
      </c>
      <c r="H52" s="2" t="s">
        <v>55</v>
      </c>
      <c r="I52" s="3">
        <v>18.750015000000001</v>
      </c>
      <c r="J52" s="3">
        <v>81</v>
      </c>
      <c r="K52" s="3">
        <v>15.667413999999999</v>
      </c>
      <c r="L52" s="2">
        <v>1</v>
      </c>
      <c r="M52" s="2">
        <v>31</v>
      </c>
      <c r="N52" s="2">
        <f t="shared" si="0"/>
        <v>32</v>
      </c>
      <c r="O52" s="2" t="s">
        <v>103</v>
      </c>
    </row>
    <row r="53" spans="1:15" x14ac:dyDescent="0.35">
      <c r="A53" s="2">
        <v>187</v>
      </c>
      <c r="B53" s="1">
        <v>44748</v>
      </c>
      <c r="C53" s="2" t="s">
        <v>15</v>
      </c>
      <c r="D53" s="2" t="s">
        <v>39</v>
      </c>
      <c r="E53" s="2" t="s">
        <v>59</v>
      </c>
      <c r="F53" s="2" t="s">
        <v>50</v>
      </c>
      <c r="G53" s="2" t="s">
        <v>5</v>
      </c>
      <c r="H53" s="2" t="s">
        <v>54</v>
      </c>
      <c r="I53" s="3">
        <v>10.213065</v>
      </c>
      <c r="J53" s="3">
        <v>74.333300000000008</v>
      </c>
      <c r="K53" s="3">
        <v>10.042161</v>
      </c>
      <c r="L53" s="2">
        <v>2</v>
      </c>
      <c r="M53" s="2">
        <v>30</v>
      </c>
      <c r="N53" s="2">
        <f t="shared" si="0"/>
        <v>32</v>
      </c>
      <c r="O53" s="2" t="s">
        <v>103</v>
      </c>
    </row>
    <row r="54" spans="1:15" x14ac:dyDescent="0.35">
      <c r="A54" s="2">
        <v>188</v>
      </c>
      <c r="B54" s="1">
        <v>44749</v>
      </c>
      <c r="C54" s="2" t="s">
        <v>15</v>
      </c>
      <c r="D54" s="2" t="s">
        <v>39</v>
      </c>
      <c r="E54" s="2" t="s">
        <v>59</v>
      </c>
      <c r="F54" s="2" t="s">
        <v>51</v>
      </c>
      <c r="G54" s="2" t="s">
        <v>5</v>
      </c>
      <c r="H54" s="2" t="s">
        <v>54</v>
      </c>
      <c r="I54" s="3">
        <v>9.1956600000000002</v>
      </c>
      <c r="J54" s="3">
        <v>65.125</v>
      </c>
      <c r="K54" s="3">
        <v>10.666400000000001</v>
      </c>
      <c r="L54" s="2">
        <v>2</v>
      </c>
      <c r="M54" s="2">
        <v>30</v>
      </c>
      <c r="N54" s="2">
        <f t="shared" si="0"/>
        <v>32</v>
      </c>
      <c r="O54" s="2" t="s">
        <v>103</v>
      </c>
    </row>
    <row r="55" spans="1:15" x14ac:dyDescent="0.35">
      <c r="A55" s="2">
        <v>219</v>
      </c>
      <c r="B55" s="1">
        <v>44780</v>
      </c>
      <c r="C55" s="2" t="s">
        <v>15</v>
      </c>
      <c r="D55" s="2" t="s">
        <v>40</v>
      </c>
      <c r="E55" s="2" t="s">
        <v>59</v>
      </c>
      <c r="F55" s="2" t="s">
        <v>47</v>
      </c>
      <c r="G55" s="2" t="s">
        <v>60</v>
      </c>
      <c r="H55" s="2" t="s">
        <v>54</v>
      </c>
      <c r="I55" s="3">
        <v>12.862485</v>
      </c>
      <c r="J55" s="3">
        <v>75.291699999999992</v>
      </c>
      <c r="K55" s="3">
        <v>13.499629000000001</v>
      </c>
      <c r="L55" s="2">
        <v>7</v>
      </c>
      <c r="M55" s="2">
        <v>25</v>
      </c>
      <c r="N55" s="2">
        <f t="shared" si="0"/>
        <v>32</v>
      </c>
      <c r="O55" s="2" t="s">
        <v>103</v>
      </c>
    </row>
    <row r="56" spans="1:15" x14ac:dyDescent="0.35">
      <c r="A56" s="2">
        <v>222</v>
      </c>
      <c r="B56" s="1">
        <v>44783</v>
      </c>
      <c r="C56" s="2" t="s">
        <v>15</v>
      </c>
      <c r="D56" s="2" t="s">
        <v>40</v>
      </c>
      <c r="E56" s="2" t="s">
        <v>59</v>
      </c>
      <c r="F56" s="2" t="s">
        <v>50</v>
      </c>
      <c r="G56" s="2" t="s">
        <v>5</v>
      </c>
      <c r="H56" s="2" t="s">
        <v>54</v>
      </c>
      <c r="I56" s="3">
        <v>6.0652349999999995</v>
      </c>
      <c r="J56" s="3">
        <v>42.416699999999999</v>
      </c>
      <c r="K56" s="3">
        <v>13.417285999999999</v>
      </c>
      <c r="L56" s="2">
        <v>1</v>
      </c>
      <c r="M56" s="2">
        <v>31</v>
      </c>
      <c r="N56" s="2">
        <f t="shared" si="0"/>
        <v>32</v>
      </c>
      <c r="O56" s="2" t="s">
        <v>103</v>
      </c>
    </row>
    <row r="57" spans="1:15" x14ac:dyDescent="0.35">
      <c r="A57" s="2">
        <v>226</v>
      </c>
      <c r="B57" s="1">
        <v>44787</v>
      </c>
      <c r="C57" s="2" t="s">
        <v>15</v>
      </c>
      <c r="D57" s="2" t="s">
        <v>40</v>
      </c>
      <c r="E57" s="2" t="s">
        <v>59</v>
      </c>
      <c r="F57" s="2" t="s">
        <v>47</v>
      </c>
      <c r="G57" s="2" t="s">
        <v>60</v>
      </c>
      <c r="H57" s="2" t="s">
        <v>55</v>
      </c>
      <c r="I57" s="3">
        <v>14.243490000000001</v>
      </c>
      <c r="J57" s="3">
        <v>81.75</v>
      </c>
      <c r="K57" s="3">
        <v>14.916411</v>
      </c>
      <c r="L57" s="2">
        <v>8</v>
      </c>
      <c r="M57" s="2">
        <v>24</v>
      </c>
      <c r="N57" s="2">
        <f t="shared" si="0"/>
        <v>32</v>
      </c>
      <c r="O57" s="2" t="s">
        <v>103</v>
      </c>
    </row>
    <row r="58" spans="1:15" x14ac:dyDescent="0.35">
      <c r="A58" s="2">
        <v>201</v>
      </c>
      <c r="B58" s="1">
        <v>44762</v>
      </c>
      <c r="C58" s="2" t="s">
        <v>15</v>
      </c>
      <c r="D58" s="2" t="s">
        <v>39</v>
      </c>
      <c r="E58" s="2" t="s">
        <v>59</v>
      </c>
      <c r="F58" s="2" t="s">
        <v>50</v>
      </c>
      <c r="G58" s="2" t="s">
        <v>5</v>
      </c>
      <c r="H58" s="2" t="s">
        <v>54</v>
      </c>
      <c r="I58" s="3">
        <v>13.147829999999999</v>
      </c>
      <c r="J58" s="3">
        <v>70.708300000000008</v>
      </c>
      <c r="K58" s="3">
        <v>7.6257390000000003</v>
      </c>
      <c r="L58" s="2">
        <v>2</v>
      </c>
      <c r="M58" s="2">
        <v>31</v>
      </c>
      <c r="N58" s="2">
        <f t="shared" si="0"/>
        <v>33</v>
      </c>
      <c r="O58" s="2" t="s">
        <v>103</v>
      </c>
    </row>
    <row r="59" spans="1:15" x14ac:dyDescent="0.35">
      <c r="A59" s="2">
        <v>232</v>
      </c>
      <c r="B59" s="1">
        <v>44793</v>
      </c>
      <c r="C59" s="2" t="s">
        <v>15</v>
      </c>
      <c r="D59" s="2" t="s">
        <v>40</v>
      </c>
      <c r="E59" s="2" t="s">
        <v>59</v>
      </c>
      <c r="F59" s="2" t="s">
        <v>53</v>
      </c>
      <c r="G59" s="2" t="s">
        <v>60</v>
      </c>
      <c r="H59" s="2" t="s">
        <v>54</v>
      </c>
      <c r="I59" s="3">
        <v>17.962515</v>
      </c>
      <c r="J59" s="3">
        <v>67.416699999999992</v>
      </c>
      <c r="K59" s="3">
        <v>6.9992890000000001</v>
      </c>
      <c r="L59" s="2">
        <v>11</v>
      </c>
      <c r="M59" s="2">
        <v>22</v>
      </c>
      <c r="N59" s="2">
        <f t="shared" si="0"/>
        <v>33</v>
      </c>
      <c r="O59" s="2" t="s">
        <v>103</v>
      </c>
    </row>
    <row r="60" spans="1:15" x14ac:dyDescent="0.35">
      <c r="A60" s="2">
        <v>244</v>
      </c>
      <c r="B60" s="1">
        <v>44805</v>
      </c>
      <c r="C60" s="2" t="s">
        <v>16</v>
      </c>
      <c r="D60" s="2" t="s">
        <v>41</v>
      </c>
      <c r="E60" s="2" t="s">
        <v>59</v>
      </c>
      <c r="F60" s="2" t="s">
        <v>51</v>
      </c>
      <c r="G60" s="2" t="s">
        <v>5</v>
      </c>
      <c r="H60" s="2" t="s">
        <v>54</v>
      </c>
      <c r="I60" s="3">
        <v>8.9249850000000013</v>
      </c>
      <c r="J60" s="3">
        <v>63.916700000000006</v>
      </c>
      <c r="K60" s="3">
        <v>9.5003320000000002</v>
      </c>
      <c r="L60" s="2">
        <v>2</v>
      </c>
      <c r="M60" s="2">
        <v>31</v>
      </c>
      <c r="N60" s="2">
        <f t="shared" si="0"/>
        <v>33</v>
      </c>
      <c r="O60" s="2" t="s">
        <v>103</v>
      </c>
    </row>
    <row r="61" spans="1:15" x14ac:dyDescent="0.35">
      <c r="A61" s="2">
        <v>268</v>
      </c>
      <c r="B61" s="1">
        <v>44829</v>
      </c>
      <c r="C61" s="2" t="s">
        <v>16</v>
      </c>
      <c r="D61" s="2" t="s">
        <v>41</v>
      </c>
      <c r="E61" s="2" t="s">
        <v>59</v>
      </c>
      <c r="F61" s="2" t="s">
        <v>47</v>
      </c>
      <c r="G61" s="2" t="s">
        <v>60</v>
      </c>
      <c r="H61" s="2" t="s">
        <v>55</v>
      </c>
      <c r="I61" s="3">
        <v>11.386935000000001</v>
      </c>
      <c r="J61" s="3">
        <v>84.5</v>
      </c>
      <c r="K61" s="3">
        <v>3.3754064000000001</v>
      </c>
      <c r="L61" s="2">
        <v>9</v>
      </c>
      <c r="M61" s="2">
        <v>24</v>
      </c>
      <c r="N61" s="2">
        <f t="shared" si="0"/>
        <v>33</v>
      </c>
      <c r="O61" s="2" t="s">
        <v>103</v>
      </c>
    </row>
    <row r="62" spans="1:15" x14ac:dyDescent="0.35">
      <c r="A62" s="2">
        <v>217</v>
      </c>
      <c r="B62" s="1">
        <v>44778</v>
      </c>
      <c r="C62" s="2" t="s">
        <v>15</v>
      </c>
      <c r="D62" s="2" t="s">
        <v>40</v>
      </c>
      <c r="E62" s="2" t="s">
        <v>59</v>
      </c>
      <c r="F62" s="2" t="s">
        <v>52</v>
      </c>
      <c r="G62" s="2" t="s">
        <v>5</v>
      </c>
      <c r="H62" s="2" t="s">
        <v>54</v>
      </c>
      <c r="I62" s="3">
        <v>9.50868</v>
      </c>
      <c r="J62" s="3">
        <v>63.083299999999994</v>
      </c>
      <c r="K62" s="3">
        <v>12.374632</v>
      </c>
      <c r="L62" s="2">
        <v>2</v>
      </c>
      <c r="M62" s="2">
        <v>32</v>
      </c>
      <c r="N62" s="2">
        <f t="shared" si="0"/>
        <v>34</v>
      </c>
      <c r="O62" s="2" t="s">
        <v>103</v>
      </c>
    </row>
    <row r="63" spans="1:15" x14ac:dyDescent="0.35">
      <c r="A63" s="2">
        <v>220</v>
      </c>
      <c r="B63" s="1">
        <v>44781</v>
      </c>
      <c r="C63" s="2" t="s">
        <v>15</v>
      </c>
      <c r="D63" s="2" t="s">
        <v>40</v>
      </c>
      <c r="E63" s="2" t="s">
        <v>59</v>
      </c>
      <c r="F63" s="2" t="s">
        <v>48</v>
      </c>
      <c r="G63" s="2" t="s">
        <v>5</v>
      </c>
      <c r="H63" s="2" t="s">
        <v>54</v>
      </c>
      <c r="I63" s="3">
        <v>12.225014999999999</v>
      </c>
      <c r="J63" s="3">
        <v>59.208300000000001</v>
      </c>
      <c r="K63" s="3">
        <v>12.875725000000001</v>
      </c>
      <c r="L63" s="2">
        <v>2</v>
      </c>
      <c r="M63" s="2">
        <v>32</v>
      </c>
      <c r="N63" s="2">
        <f t="shared" si="0"/>
        <v>34</v>
      </c>
      <c r="O63" s="2" t="s">
        <v>103</v>
      </c>
    </row>
    <row r="64" spans="1:15" x14ac:dyDescent="0.35">
      <c r="A64" s="2">
        <v>272</v>
      </c>
      <c r="B64" s="1">
        <v>44833</v>
      </c>
      <c r="C64" s="2" t="s">
        <v>16</v>
      </c>
      <c r="D64" s="2" t="s">
        <v>41</v>
      </c>
      <c r="E64" s="2" t="s">
        <v>59</v>
      </c>
      <c r="F64" s="2" t="s">
        <v>51</v>
      </c>
      <c r="G64" s="2" t="s">
        <v>5</v>
      </c>
      <c r="H64" s="2" t="s">
        <v>54</v>
      </c>
      <c r="I64" s="3">
        <v>12.074985</v>
      </c>
      <c r="J64" s="3">
        <v>69.916699999999992</v>
      </c>
      <c r="K64" s="3">
        <v>11.583161</v>
      </c>
      <c r="L64" s="2">
        <v>4</v>
      </c>
      <c r="M64" s="2">
        <v>30</v>
      </c>
      <c r="N64" s="2">
        <f t="shared" si="0"/>
        <v>34</v>
      </c>
      <c r="O64" s="2" t="s">
        <v>103</v>
      </c>
    </row>
    <row r="65" spans="1:15" x14ac:dyDescent="0.35">
      <c r="A65" s="2">
        <v>294</v>
      </c>
      <c r="B65" s="1">
        <v>44855</v>
      </c>
      <c r="C65" s="2" t="s">
        <v>16</v>
      </c>
      <c r="D65" s="2" t="s">
        <v>42</v>
      </c>
      <c r="E65" s="2" t="s">
        <v>59</v>
      </c>
      <c r="F65" s="2" t="s">
        <v>52</v>
      </c>
      <c r="G65" s="2" t="s">
        <v>5</v>
      </c>
      <c r="H65" s="2" t="s">
        <v>54</v>
      </c>
      <c r="I65" s="3">
        <v>15.150015</v>
      </c>
      <c r="J65" s="3">
        <v>57.416699999999999</v>
      </c>
      <c r="K65" s="3">
        <v>14.833532</v>
      </c>
      <c r="L65" s="2">
        <v>4</v>
      </c>
      <c r="M65" s="2">
        <v>30</v>
      </c>
      <c r="N65" s="2">
        <f t="shared" si="0"/>
        <v>34</v>
      </c>
      <c r="O65" s="2" t="s">
        <v>103</v>
      </c>
    </row>
    <row r="66" spans="1:15" x14ac:dyDescent="0.35">
      <c r="A66" s="2">
        <v>224</v>
      </c>
      <c r="B66" s="1">
        <v>44785</v>
      </c>
      <c r="C66" s="2" t="s">
        <v>15</v>
      </c>
      <c r="D66" s="2" t="s">
        <v>40</v>
      </c>
      <c r="E66" s="2" t="s">
        <v>59</v>
      </c>
      <c r="F66" s="2" t="s">
        <v>52</v>
      </c>
      <c r="G66" s="2" t="s">
        <v>5</v>
      </c>
      <c r="H66" s="2" t="s">
        <v>54</v>
      </c>
      <c r="I66" s="3">
        <v>8.5090950000000003</v>
      </c>
      <c r="J66" s="3">
        <v>41.5</v>
      </c>
      <c r="K66" s="3">
        <v>8.4166070000000008</v>
      </c>
      <c r="L66" s="2">
        <v>3</v>
      </c>
      <c r="M66" s="2">
        <v>32</v>
      </c>
      <c r="N66" s="2">
        <f t="shared" ref="N66:N129" si="1">L66+M66</f>
        <v>35</v>
      </c>
      <c r="O66" s="2" t="s">
        <v>103</v>
      </c>
    </row>
    <row r="67" spans="1:15" x14ac:dyDescent="0.35">
      <c r="A67" s="2">
        <v>137</v>
      </c>
      <c r="B67" s="1">
        <v>44698</v>
      </c>
      <c r="C67" s="2" t="s">
        <v>14</v>
      </c>
      <c r="D67" s="2" t="s">
        <v>37</v>
      </c>
      <c r="E67" s="2" t="s">
        <v>59</v>
      </c>
      <c r="F67" s="2" t="s">
        <v>49</v>
      </c>
      <c r="G67" s="2" t="s">
        <v>5</v>
      </c>
      <c r="H67" s="2" t="s">
        <v>55</v>
      </c>
      <c r="I67" s="3">
        <v>20.550014999999998</v>
      </c>
      <c r="J67" s="3">
        <v>83.791700000000006</v>
      </c>
      <c r="K67" s="3">
        <v>18.582718</v>
      </c>
      <c r="L67" s="2">
        <v>3</v>
      </c>
      <c r="M67" s="2">
        <v>33</v>
      </c>
      <c r="N67" s="2">
        <f t="shared" si="1"/>
        <v>36</v>
      </c>
      <c r="O67" s="2" t="s">
        <v>103</v>
      </c>
    </row>
    <row r="68" spans="1:15" x14ac:dyDescent="0.35">
      <c r="A68" s="2">
        <v>233</v>
      </c>
      <c r="B68" s="1">
        <v>44794</v>
      </c>
      <c r="C68" s="2" t="s">
        <v>15</v>
      </c>
      <c r="D68" s="2" t="s">
        <v>40</v>
      </c>
      <c r="E68" s="2" t="s">
        <v>59</v>
      </c>
      <c r="F68" s="2" t="s">
        <v>47</v>
      </c>
      <c r="G68" s="2" t="s">
        <v>60</v>
      </c>
      <c r="H68" s="2" t="s">
        <v>54</v>
      </c>
      <c r="I68" s="3">
        <v>12.834764999999999</v>
      </c>
      <c r="J68" s="3">
        <v>77</v>
      </c>
      <c r="K68" s="3">
        <v>16.666518</v>
      </c>
      <c r="L68" s="2">
        <v>13</v>
      </c>
      <c r="M68" s="2">
        <v>23</v>
      </c>
      <c r="N68" s="2">
        <f t="shared" si="1"/>
        <v>36</v>
      </c>
      <c r="O68" s="2" t="s">
        <v>103</v>
      </c>
    </row>
    <row r="69" spans="1:15" x14ac:dyDescent="0.35">
      <c r="A69" s="2">
        <v>237</v>
      </c>
      <c r="B69" s="1">
        <v>44798</v>
      </c>
      <c r="C69" s="2" t="s">
        <v>15</v>
      </c>
      <c r="D69" s="2" t="s">
        <v>40</v>
      </c>
      <c r="E69" s="2" t="s">
        <v>59</v>
      </c>
      <c r="F69" s="2" t="s">
        <v>51</v>
      </c>
      <c r="G69" s="2" t="s">
        <v>5</v>
      </c>
      <c r="H69" s="2" t="s">
        <v>55</v>
      </c>
      <c r="I69" s="3">
        <v>13.304340000000002</v>
      </c>
      <c r="J69" s="3">
        <v>77.166700000000006</v>
      </c>
      <c r="K69" s="3">
        <v>14.125810999999999</v>
      </c>
      <c r="L69" s="2">
        <v>2</v>
      </c>
      <c r="M69" s="2">
        <v>34</v>
      </c>
      <c r="N69" s="2">
        <f t="shared" si="1"/>
        <v>36</v>
      </c>
      <c r="O69" s="2" t="s">
        <v>103</v>
      </c>
    </row>
    <row r="70" spans="1:15" x14ac:dyDescent="0.35">
      <c r="A70" s="2">
        <v>277</v>
      </c>
      <c r="B70" s="1">
        <v>44838</v>
      </c>
      <c r="C70" s="2" t="s">
        <v>16</v>
      </c>
      <c r="D70" s="2" t="s">
        <v>42</v>
      </c>
      <c r="E70" s="2" t="s">
        <v>59</v>
      </c>
      <c r="F70" s="2" t="s">
        <v>49</v>
      </c>
      <c r="G70" s="2" t="s">
        <v>5</v>
      </c>
      <c r="H70" s="2" t="s">
        <v>54</v>
      </c>
      <c r="I70" s="3">
        <v>18.637515</v>
      </c>
      <c r="J70" s="3">
        <v>71</v>
      </c>
      <c r="K70" s="3">
        <v>13.792218</v>
      </c>
      <c r="L70" s="2">
        <v>3</v>
      </c>
      <c r="M70" s="2">
        <v>33</v>
      </c>
      <c r="N70" s="2">
        <f t="shared" si="1"/>
        <v>36</v>
      </c>
      <c r="O70" s="2" t="s">
        <v>103</v>
      </c>
    </row>
    <row r="71" spans="1:15" x14ac:dyDescent="0.35">
      <c r="A71" s="2">
        <v>68</v>
      </c>
      <c r="B71" s="1">
        <v>44629</v>
      </c>
      <c r="C71" s="2" t="s">
        <v>14</v>
      </c>
      <c r="D71" s="2" t="s">
        <v>35</v>
      </c>
      <c r="E71" s="2" t="s">
        <v>59</v>
      </c>
      <c r="F71" s="2" t="s">
        <v>50</v>
      </c>
      <c r="G71" s="2" t="s">
        <v>5</v>
      </c>
      <c r="H71" s="2" t="s">
        <v>55</v>
      </c>
      <c r="I71" s="3">
        <v>28.526084999999998</v>
      </c>
      <c r="J71" s="3">
        <v>77.541700000000006</v>
      </c>
      <c r="K71" s="3">
        <v>14.750050000000002</v>
      </c>
      <c r="L71" s="2">
        <v>3</v>
      </c>
      <c r="M71" s="2">
        <v>34</v>
      </c>
      <c r="N71" s="2">
        <f t="shared" si="1"/>
        <v>37</v>
      </c>
      <c r="O71" s="2" t="s">
        <v>103</v>
      </c>
    </row>
    <row r="72" spans="1:15" x14ac:dyDescent="0.35">
      <c r="A72" s="2">
        <v>228</v>
      </c>
      <c r="B72" s="1">
        <v>44789</v>
      </c>
      <c r="C72" s="2" t="s">
        <v>15</v>
      </c>
      <c r="D72" s="2" t="s">
        <v>40</v>
      </c>
      <c r="E72" s="2" t="s">
        <v>59</v>
      </c>
      <c r="F72" s="2" t="s">
        <v>49</v>
      </c>
      <c r="G72" s="2" t="s">
        <v>5</v>
      </c>
      <c r="H72" s="2" t="s">
        <v>54</v>
      </c>
      <c r="I72" s="3">
        <v>11.973915000000002</v>
      </c>
      <c r="J72" s="3">
        <v>57.833300000000001</v>
      </c>
      <c r="K72" s="3">
        <v>15.834043000000001</v>
      </c>
      <c r="L72" s="2">
        <v>3</v>
      </c>
      <c r="M72" s="2">
        <v>34</v>
      </c>
      <c r="N72" s="2">
        <f t="shared" si="1"/>
        <v>37</v>
      </c>
      <c r="O72" s="2" t="s">
        <v>103</v>
      </c>
    </row>
    <row r="73" spans="1:15" x14ac:dyDescent="0.35">
      <c r="A73" s="2">
        <v>242</v>
      </c>
      <c r="B73" s="1">
        <v>44803</v>
      </c>
      <c r="C73" s="2" t="s">
        <v>15</v>
      </c>
      <c r="D73" s="2" t="s">
        <v>40</v>
      </c>
      <c r="E73" s="2" t="s">
        <v>59</v>
      </c>
      <c r="F73" s="2" t="s">
        <v>49</v>
      </c>
      <c r="G73" s="2" t="s">
        <v>5</v>
      </c>
      <c r="H73" s="2" t="s">
        <v>54</v>
      </c>
      <c r="I73" s="3">
        <v>12.000014999999999</v>
      </c>
      <c r="J73" s="3">
        <v>54.833299999999994</v>
      </c>
      <c r="K73" s="3">
        <v>8.3755360000000003</v>
      </c>
      <c r="L73" s="2">
        <v>3</v>
      </c>
      <c r="M73" s="2">
        <v>34</v>
      </c>
      <c r="N73" s="2">
        <f t="shared" si="1"/>
        <v>37</v>
      </c>
      <c r="O73" s="2" t="s">
        <v>103</v>
      </c>
    </row>
    <row r="74" spans="1:15" x14ac:dyDescent="0.35">
      <c r="A74" s="2">
        <v>265</v>
      </c>
      <c r="B74" s="1">
        <v>44826</v>
      </c>
      <c r="C74" s="2" t="s">
        <v>16</v>
      </c>
      <c r="D74" s="2" t="s">
        <v>41</v>
      </c>
      <c r="E74" s="2" t="s">
        <v>59</v>
      </c>
      <c r="F74" s="2" t="s">
        <v>51</v>
      </c>
      <c r="G74" s="2" t="s">
        <v>5</v>
      </c>
      <c r="H74" s="2" t="s">
        <v>55</v>
      </c>
      <c r="I74" s="3">
        <v>12.824999999999999</v>
      </c>
      <c r="J74" s="3">
        <v>90.208299999999994</v>
      </c>
      <c r="K74" s="3">
        <v>8.5843749999999996</v>
      </c>
      <c r="L74" s="2">
        <v>3</v>
      </c>
      <c r="M74" s="2">
        <v>34</v>
      </c>
      <c r="N74" s="2">
        <f t="shared" si="1"/>
        <v>37</v>
      </c>
      <c r="O74" s="2" t="s">
        <v>103</v>
      </c>
    </row>
    <row r="75" spans="1:15" x14ac:dyDescent="0.35">
      <c r="A75" s="2">
        <v>227</v>
      </c>
      <c r="B75" s="1">
        <v>44788</v>
      </c>
      <c r="C75" s="2" t="s">
        <v>15</v>
      </c>
      <c r="D75" s="2" t="s">
        <v>40</v>
      </c>
      <c r="E75" s="2" t="s">
        <v>59</v>
      </c>
      <c r="F75" s="2" t="s">
        <v>48</v>
      </c>
      <c r="G75" s="2" t="s">
        <v>5</v>
      </c>
      <c r="H75" s="2" t="s">
        <v>54</v>
      </c>
      <c r="I75" s="3">
        <v>18.675000000000001</v>
      </c>
      <c r="J75" s="3">
        <v>71.208300000000008</v>
      </c>
      <c r="K75" s="3">
        <v>13.999917999999999</v>
      </c>
      <c r="L75" s="2">
        <v>4</v>
      </c>
      <c r="M75" s="2">
        <v>34</v>
      </c>
      <c r="N75" s="2">
        <f t="shared" si="1"/>
        <v>38</v>
      </c>
      <c r="O75" s="2" t="s">
        <v>103</v>
      </c>
    </row>
    <row r="76" spans="1:15" x14ac:dyDescent="0.35">
      <c r="A76" s="2">
        <v>248</v>
      </c>
      <c r="B76" s="1">
        <v>44809</v>
      </c>
      <c r="C76" s="2" t="s">
        <v>16</v>
      </c>
      <c r="D76" s="2" t="s">
        <v>41</v>
      </c>
      <c r="E76" s="2" t="s">
        <v>3</v>
      </c>
      <c r="F76" s="2" t="s">
        <v>48</v>
      </c>
      <c r="G76" s="2" t="s">
        <v>60</v>
      </c>
      <c r="H76" s="2" t="s">
        <v>55</v>
      </c>
      <c r="I76" s="3">
        <v>11.778255</v>
      </c>
      <c r="J76" s="3">
        <v>79.041700000000006</v>
      </c>
      <c r="K76" s="3">
        <v>14.250632</v>
      </c>
      <c r="L76" s="2">
        <v>5</v>
      </c>
      <c r="M76" s="2">
        <v>33</v>
      </c>
      <c r="N76" s="2">
        <f t="shared" si="1"/>
        <v>38</v>
      </c>
      <c r="O76" s="2" t="s">
        <v>103</v>
      </c>
    </row>
    <row r="77" spans="1:15" x14ac:dyDescent="0.35">
      <c r="A77" s="2">
        <v>250</v>
      </c>
      <c r="B77" s="1">
        <v>44811</v>
      </c>
      <c r="C77" s="2" t="s">
        <v>16</v>
      </c>
      <c r="D77" s="2" t="s">
        <v>41</v>
      </c>
      <c r="E77" s="2" t="s">
        <v>59</v>
      </c>
      <c r="F77" s="2" t="s">
        <v>50</v>
      </c>
      <c r="G77" s="2" t="s">
        <v>5</v>
      </c>
      <c r="H77" s="2" t="s">
        <v>56</v>
      </c>
      <c r="I77" s="3">
        <v>13.312485000000001</v>
      </c>
      <c r="J77" s="3">
        <v>91.708299999999994</v>
      </c>
      <c r="K77" s="3">
        <v>6.5003936000000007</v>
      </c>
      <c r="L77" s="2">
        <v>4</v>
      </c>
      <c r="M77" s="2">
        <v>34</v>
      </c>
      <c r="N77" s="2">
        <f t="shared" si="1"/>
        <v>38</v>
      </c>
      <c r="O77" s="2" t="s">
        <v>103</v>
      </c>
    </row>
    <row r="78" spans="1:15" x14ac:dyDescent="0.35">
      <c r="A78" s="2">
        <v>202</v>
      </c>
      <c r="B78" s="1">
        <v>44763</v>
      </c>
      <c r="C78" s="2" t="s">
        <v>15</v>
      </c>
      <c r="D78" s="2" t="s">
        <v>39</v>
      </c>
      <c r="E78" s="2" t="s">
        <v>59</v>
      </c>
      <c r="F78" s="2" t="s">
        <v>51</v>
      </c>
      <c r="G78" s="2" t="s">
        <v>5</v>
      </c>
      <c r="H78" s="2" t="s">
        <v>55</v>
      </c>
      <c r="I78" s="3">
        <v>11.775015</v>
      </c>
      <c r="J78" s="3">
        <v>69.125</v>
      </c>
      <c r="K78" s="3">
        <v>14.875406999999999</v>
      </c>
      <c r="L78" s="2">
        <v>2</v>
      </c>
      <c r="M78" s="2">
        <v>37</v>
      </c>
      <c r="N78" s="2">
        <f t="shared" si="1"/>
        <v>39</v>
      </c>
      <c r="O78" s="2" t="s">
        <v>103</v>
      </c>
    </row>
    <row r="79" spans="1:15" x14ac:dyDescent="0.35">
      <c r="A79" s="2">
        <v>236</v>
      </c>
      <c r="B79" s="1">
        <v>44797</v>
      </c>
      <c r="C79" s="2" t="s">
        <v>15</v>
      </c>
      <c r="D79" s="2" t="s">
        <v>40</v>
      </c>
      <c r="E79" s="2" t="s">
        <v>59</v>
      </c>
      <c r="F79" s="2" t="s">
        <v>50</v>
      </c>
      <c r="G79" s="2" t="s">
        <v>5</v>
      </c>
      <c r="H79" s="2" t="s">
        <v>54</v>
      </c>
      <c r="I79" s="3">
        <v>9.978254999999999</v>
      </c>
      <c r="J79" s="3">
        <v>60.5</v>
      </c>
      <c r="K79" s="3">
        <v>16.958235999999999</v>
      </c>
      <c r="L79" s="2">
        <v>3</v>
      </c>
      <c r="M79" s="2">
        <v>36</v>
      </c>
      <c r="N79" s="2">
        <f t="shared" si="1"/>
        <v>39</v>
      </c>
      <c r="O79" s="2" t="s">
        <v>103</v>
      </c>
    </row>
    <row r="80" spans="1:15" x14ac:dyDescent="0.35">
      <c r="A80" s="2">
        <v>239</v>
      </c>
      <c r="B80" s="1">
        <v>44800</v>
      </c>
      <c r="C80" s="2" t="s">
        <v>15</v>
      </c>
      <c r="D80" s="2" t="s">
        <v>40</v>
      </c>
      <c r="E80" s="2" t="s">
        <v>59</v>
      </c>
      <c r="F80" s="2" t="s">
        <v>53</v>
      </c>
      <c r="G80" s="2" t="s">
        <v>60</v>
      </c>
      <c r="H80" s="2" t="s">
        <v>55</v>
      </c>
      <c r="I80" s="3">
        <v>12.712499999999999</v>
      </c>
      <c r="J80" s="3">
        <v>85</v>
      </c>
      <c r="K80" s="3">
        <v>25.166338999999997</v>
      </c>
      <c r="L80" s="2">
        <v>8</v>
      </c>
      <c r="M80" s="2">
        <v>31</v>
      </c>
      <c r="N80" s="2">
        <f t="shared" si="1"/>
        <v>39</v>
      </c>
      <c r="O80" s="2" t="s">
        <v>103</v>
      </c>
    </row>
    <row r="81" spans="1:15" x14ac:dyDescent="0.35">
      <c r="A81" s="2">
        <v>245</v>
      </c>
      <c r="B81" s="1">
        <v>44806</v>
      </c>
      <c r="C81" s="2" t="s">
        <v>16</v>
      </c>
      <c r="D81" s="2" t="s">
        <v>41</v>
      </c>
      <c r="E81" s="2" t="s">
        <v>59</v>
      </c>
      <c r="F81" s="2" t="s">
        <v>52</v>
      </c>
      <c r="G81" s="2" t="s">
        <v>5</v>
      </c>
      <c r="H81" s="2" t="s">
        <v>55</v>
      </c>
      <c r="I81" s="3">
        <v>11.775015</v>
      </c>
      <c r="J81" s="3">
        <v>72.708300000000008</v>
      </c>
      <c r="K81" s="3">
        <v>9.3752429999999993</v>
      </c>
      <c r="L81" s="2">
        <v>4</v>
      </c>
      <c r="M81" s="2">
        <v>35</v>
      </c>
      <c r="N81" s="2">
        <f t="shared" si="1"/>
        <v>39</v>
      </c>
      <c r="O81" s="2" t="s">
        <v>103</v>
      </c>
    </row>
    <row r="82" spans="1:15" x14ac:dyDescent="0.35">
      <c r="A82" s="2">
        <v>67</v>
      </c>
      <c r="B82" s="1">
        <v>44628</v>
      </c>
      <c r="C82" s="2" t="s">
        <v>14</v>
      </c>
      <c r="D82" s="2" t="s">
        <v>35</v>
      </c>
      <c r="E82" s="2" t="s">
        <v>59</v>
      </c>
      <c r="F82" s="2" t="s">
        <v>49</v>
      </c>
      <c r="G82" s="2" t="s">
        <v>5</v>
      </c>
      <c r="H82" s="2" t="s">
        <v>54</v>
      </c>
      <c r="I82" s="3">
        <v>26.962515</v>
      </c>
      <c r="J82" s="3">
        <v>42.083300000000001</v>
      </c>
      <c r="K82" s="3">
        <v>8.0835499999999989</v>
      </c>
      <c r="L82" s="2">
        <v>2</v>
      </c>
      <c r="M82" s="2">
        <v>38</v>
      </c>
      <c r="N82" s="2">
        <f t="shared" si="1"/>
        <v>40</v>
      </c>
      <c r="O82" s="2" t="s">
        <v>105</v>
      </c>
    </row>
    <row r="83" spans="1:15" x14ac:dyDescent="0.35">
      <c r="A83" s="2">
        <v>207</v>
      </c>
      <c r="B83" s="1">
        <v>44768</v>
      </c>
      <c r="C83" s="2" t="s">
        <v>15</v>
      </c>
      <c r="D83" s="2" t="s">
        <v>39</v>
      </c>
      <c r="E83" s="2" t="s">
        <v>59</v>
      </c>
      <c r="F83" s="2" t="s">
        <v>49</v>
      </c>
      <c r="G83" s="2" t="s">
        <v>5</v>
      </c>
      <c r="H83" s="2" t="s">
        <v>54</v>
      </c>
      <c r="I83" s="3">
        <v>10.056510000000001</v>
      </c>
      <c r="J83" s="3">
        <v>54.083300000000001</v>
      </c>
      <c r="K83" s="3">
        <v>13.417285999999999</v>
      </c>
      <c r="L83" s="2">
        <v>4</v>
      </c>
      <c r="M83" s="2">
        <v>36</v>
      </c>
      <c r="N83" s="2">
        <f t="shared" si="1"/>
        <v>40</v>
      </c>
      <c r="O83" s="2" t="s">
        <v>105</v>
      </c>
    </row>
    <row r="84" spans="1:15" x14ac:dyDescent="0.35">
      <c r="A84" s="2">
        <v>252</v>
      </c>
      <c r="B84" s="1">
        <v>44813</v>
      </c>
      <c r="C84" s="2" t="s">
        <v>16</v>
      </c>
      <c r="D84" s="2" t="s">
        <v>41</v>
      </c>
      <c r="E84" s="2" t="s">
        <v>59</v>
      </c>
      <c r="F84" s="2" t="s">
        <v>52</v>
      </c>
      <c r="G84" s="2" t="s">
        <v>5</v>
      </c>
      <c r="H84" s="2" t="s">
        <v>55</v>
      </c>
      <c r="I84" s="3">
        <v>14.243490000000001</v>
      </c>
      <c r="J84" s="3">
        <v>89.791699999999992</v>
      </c>
      <c r="K84" s="3">
        <v>8.3333930000000009</v>
      </c>
      <c r="L84" s="2">
        <v>5</v>
      </c>
      <c r="M84" s="2">
        <v>35</v>
      </c>
      <c r="N84" s="2">
        <f t="shared" si="1"/>
        <v>40</v>
      </c>
      <c r="O84" s="2" t="s">
        <v>105</v>
      </c>
    </row>
    <row r="85" spans="1:15" x14ac:dyDescent="0.35">
      <c r="A85" s="2">
        <v>269</v>
      </c>
      <c r="B85" s="1">
        <v>44830</v>
      </c>
      <c r="C85" s="2" t="s">
        <v>16</v>
      </c>
      <c r="D85" s="2" t="s">
        <v>41</v>
      </c>
      <c r="E85" s="2" t="s">
        <v>59</v>
      </c>
      <c r="F85" s="2" t="s">
        <v>48</v>
      </c>
      <c r="G85" s="2" t="s">
        <v>5</v>
      </c>
      <c r="H85" s="2" t="s">
        <v>55</v>
      </c>
      <c r="I85" s="3">
        <v>11.895660000000001</v>
      </c>
      <c r="J85" s="3">
        <v>84.833299999999994</v>
      </c>
      <c r="K85" s="3">
        <v>7.4169</v>
      </c>
      <c r="L85" s="2">
        <v>4</v>
      </c>
      <c r="M85" s="2">
        <v>36</v>
      </c>
      <c r="N85" s="2">
        <f t="shared" si="1"/>
        <v>40</v>
      </c>
      <c r="O85" s="2" t="s">
        <v>105</v>
      </c>
    </row>
    <row r="86" spans="1:15" x14ac:dyDescent="0.35">
      <c r="A86" s="2">
        <v>255</v>
      </c>
      <c r="B86" s="1">
        <v>44816</v>
      </c>
      <c r="C86" s="2" t="s">
        <v>16</v>
      </c>
      <c r="D86" s="2" t="s">
        <v>41</v>
      </c>
      <c r="E86" s="2" t="s">
        <v>59</v>
      </c>
      <c r="F86" s="2" t="s">
        <v>48</v>
      </c>
      <c r="G86" s="2" t="s">
        <v>5</v>
      </c>
      <c r="H86" s="2" t="s">
        <v>54</v>
      </c>
      <c r="I86" s="3">
        <v>14.634765</v>
      </c>
      <c r="J86" s="3">
        <v>69.217399999999998</v>
      </c>
      <c r="K86" s="3">
        <v>5.9571710000000007</v>
      </c>
      <c r="L86" s="2">
        <v>7</v>
      </c>
      <c r="M86" s="2">
        <v>34</v>
      </c>
      <c r="N86" s="2">
        <f t="shared" si="1"/>
        <v>41</v>
      </c>
      <c r="O86" s="2" t="s">
        <v>105</v>
      </c>
    </row>
    <row r="87" spans="1:15" x14ac:dyDescent="0.35">
      <c r="A87" s="2">
        <v>256</v>
      </c>
      <c r="B87" s="1">
        <v>44817</v>
      </c>
      <c r="C87" s="2" t="s">
        <v>16</v>
      </c>
      <c r="D87" s="2" t="s">
        <v>41</v>
      </c>
      <c r="E87" s="2" t="s">
        <v>59</v>
      </c>
      <c r="F87" s="2" t="s">
        <v>49</v>
      </c>
      <c r="G87" s="2" t="s">
        <v>5</v>
      </c>
      <c r="H87" s="2" t="s">
        <v>54</v>
      </c>
      <c r="I87" s="3">
        <v>14.282594999999999</v>
      </c>
      <c r="J87" s="3">
        <v>71.25</v>
      </c>
      <c r="K87" s="3">
        <v>9.5008680000000005</v>
      </c>
      <c r="L87" s="2">
        <v>6</v>
      </c>
      <c r="M87" s="2">
        <v>35</v>
      </c>
      <c r="N87" s="2">
        <f t="shared" si="1"/>
        <v>41</v>
      </c>
      <c r="O87" s="2" t="s">
        <v>105</v>
      </c>
    </row>
    <row r="88" spans="1:15" x14ac:dyDescent="0.35">
      <c r="A88" s="2">
        <v>284</v>
      </c>
      <c r="B88" s="1">
        <v>44845</v>
      </c>
      <c r="C88" s="2" t="s">
        <v>16</v>
      </c>
      <c r="D88" s="2" t="s">
        <v>42</v>
      </c>
      <c r="E88" s="2" t="s">
        <v>59</v>
      </c>
      <c r="F88" s="2" t="s">
        <v>49</v>
      </c>
      <c r="G88" s="2" t="s">
        <v>5</v>
      </c>
      <c r="H88" s="2" t="s">
        <v>55</v>
      </c>
      <c r="I88" s="3">
        <v>22.612499999999997</v>
      </c>
      <c r="J88" s="3">
        <v>80.875</v>
      </c>
      <c r="K88" s="3">
        <v>9.5838140000000003</v>
      </c>
      <c r="L88" s="2">
        <v>5</v>
      </c>
      <c r="M88" s="2">
        <v>36</v>
      </c>
      <c r="N88" s="2">
        <f t="shared" si="1"/>
        <v>41</v>
      </c>
      <c r="O88" s="2" t="s">
        <v>105</v>
      </c>
    </row>
    <row r="89" spans="1:15" x14ac:dyDescent="0.35">
      <c r="A89" s="2">
        <v>229</v>
      </c>
      <c r="B89" s="1">
        <v>44790</v>
      </c>
      <c r="C89" s="2" t="s">
        <v>15</v>
      </c>
      <c r="D89" s="2" t="s">
        <v>40</v>
      </c>
      <c r="E89" s="2" t="s">
        <v>59</v>
      </c>
      <c r="F89" s="2" t="s">
        <v>50</v>
      </c>
      <c r="G89" s="2" t="s">
        <v>5</v>
      </c>
      <c r="H89" s="2" t="s">
        <v>54</v>
      </c>
      <c r="I89" s="3">
        <v>14.321745</v>
      </c>
      <c r="J89" s="3">
        <v>57.541699999999999</v>
      </c>
      <c r="K89" s="3">
        <v>9.6256889999999995</v>
      </c>
      <c r="L89" s="2">
        <v>4</v>
      </c>
      <c r="M89" s="2">
        <v>38</v>
      </c>
      <c r="N89" s="2">
        <f t="shared" si="1"/>
        <v>42</v>
      </c>
      <c r="O89" s="2" t="s">
        <v>105</v>
      </c>
    </row>
    <row r="90" spans="1:15" x14ac:dyDescent="0.35">
      <c r="A90" s="2">
        <v>246</v>
      </c>
      <c r="B90" s="1">
        <v>44807</v>
      </c>
      <c r="C90" s="2" t="s">
        <v>16</v>
      </c>
      <c r="D90" s="2" t="s">
        <v>41</v>
      </c>
      <c r="E90" s="2" t="s">
        <v>59</v>
      </c>
      <c r="F90" s="2" t="s">
        <v>53</v>
      </c>
      <c r="G90" s="2" t="s">
        <v>60</v>
      </c>
      <c r="H90" s="2" t="s">
        <v>54</v>
      </c>
      <c r="I90" s="3">
        <v>17.287514999999999</v>
      </c>
      <c r="J90" s="3">
        <v>71.666700000000006</v>
      </c>
      <c r="K90" s="3">
        <v>12.416774999999999</v>
      </c>
      <c r="L90" s="2">
        <v>13</v>
      </c>
      <c r="M90" s="2">
        <v>29</v>
      </c>
      <c r="N90" s="2">
        <f t="shared" si="1"/>
        <v>42</v>
      </c>
      <c r="O90" s="2" t="s">
        <v>105</v>
      </c>
    </row>
    <row r="91" spans="1:15" x14ac:dyDescent="0.35">
      <c r="A91" s="2">
        <v>249</v>
      </c>
      <c r="B91" s="1">
        <v>44810</v>
      </c>
      <c r="C91" s="2" t="s">
        <v>16</v>
      </c>
      <c r="D91" s="2" t="s">
        <v>41</v>
      </c>
      <c r="E91" s="2" t="s">
        <v>59</v>
      </c>
      <c r="F91" s="2" t="s">
        <v>49</v>
      </c>
      <c r="G91" s="2" t="s">
        <v>5</v>
      </c>
      <c r="H91" s="2" t="s">
        <v>56</v>
      </c>
      <c r="I91" s="3">
        <v>13.1625</v>
      </c>
      <c r="J91" s="3">
        <v>88.695700000000002</v>
      </c>
      <c r="K91" s="3">
        <v>23.044180999999998</v>
      </c>
      <c r="L91" s="2">
        <v>6</v>
      </c>
      <c r="M91" s="2">
        <v>36</v>
      </c>
      <c r="N91" s="2">
        <f t="shared" si="1"/>
        <v>42</v>
      </c>
      <c r="O91" s="2" t="s">
        <v>105</v>
      </c>
    </row>
    <row r="92" spans="1:15" x14ac:dyDescent="0.35">
      <c r="A92" s="2">
        <v>253</v>
      </c>
      <c r="B92" s="1">
        <v>44814</v>
      </c>
      <c r="C92" s="2" t="s">
        <v>16</v>
      </c>
      <c r="D92" s="2" t="s">
        <v>41</v>
      </c>
      <c r="E92" s="2" t="s">
        <v>59</v>
      </c>
      <c r="F92" s="2" t="s">
        <v>53</v>
      </c>
      <c r="G92" s="2" t="s">
        <v>60</v>
      </c>
      <c r="H92" s="2" t="s">
        <v>54</v>
      </c>
      <c r="I92" s="3">
        <v>14.812514999999999</v>
      </c>
      <c r="J92" s="3">
        <v>75.375</v>
      </c>
      <c r="K92" s="3">
        <v>10.291736</v>
      </c>
      <c r="L92" s="2">
        <v>14</v>
      </c>
      <c r="M92" s="2">
        <v>28</v>
      </c>
      <c r="N92" s="2">
        <f t="shared" si="1"/>
        <v>42</v>
      </c>
      <c r="O92" s="2" t="s">
        <v>105</v>
      </c>
    </row>
    <row r="93" spans="1:15" x14ac:dyDescent="0.35">
      <c r="A93" s="2">
        <v>262</v>
      </c>
      <c r="B93" s="1">
        <v>44823</v>
      </c>
      <c r="C93" s="2" t="s">
        <v>16</v>
      </c>
      <c r="D93" s="2" t="s">
        <v>41</v>
      </c>
      <c r="E93" s="2" t="s">
        <v>59</v>
      </c>
      <c r="F93" s="2" t="s">
        <v>48</v>
      </c>
      <c r="G93" s="2" t="s">
        <v>5</v>
      </c>
      <c r="H93" s="2" t="s">
        <v>55</v>
      </c>
      <c r="I93" s="3">
        <v>19.369575000000001</v>
      </c>
      <c r="J93" s="3">
        <v>69</v>
      </c>
      <c r="K93" s="3">
        <v>10.166713999999999</v>
      </c>
      <c r="L93" s="2">
        <v>8</v>
      </c>
      <c r="M93" s="2">
        <v>34</v>
      </c>
      <c r="N93" s="2">
        <f t="shared" si="1"/>
        <v>42</v>
      </c>
      <c r="O93" s="2" t="s">
        <v>105</v>
      </c>
    </row>
    <row r="94" spans="1:15" x14ac:dyDescent="0.35">
      <c r="A94" s="2">
        <v>264</v>
      </c>
      <c r="B94" s="1">
        <v>44825</v>
      </c>
      <c r="C94" s="2" t="s">
        <v>16</v>
      </c>
      <c r="D94" s="2" t="s">
        <v>41</v>
      </c>
      <c r="E94" s="2" t="s">
        <v>59</v>
      </c>
      <c r="F94" s="2" t="s">
        <v>50</v>
      </c>
      <c r="G94" s="2" t="s">
        <v>5</v>
      </c>
      <c r="H94" s="2" t="s">
        <v>55</v>
      </c>
      <c r="I94" s="3">
        <v>15.613065000000001</v>
      </c>
      <c r="J94" s="3">
        <v>90</v>
      </c>
      <c r="K94" s="3">
        <v>6.4590813999999996</v>
      </c>
      <c r="L94" s="2">
        <v>4</v>
      </c>
      <c r="M94" s="2">
        <v>38</v>
      </c>
      <c r="N94" s="2">
        <f t="shared" si="1"/>
        <v>42</v>
      </c>
      <c r="O94" s="2" t="s">
        <v>105</v>
      </c>
    </row>
    <row r="95" spans="1:15" x14ac:dyDescent="0.35">
      <c r="A95" s="2">
        <v>243</v>
      </c>
      <c r="B95" s="1">
        <v>44804</v>
      </c>
      <c r="C95" s="2" t="s">
        <v>15</v>
      </c>
      <c r="D95" s="2" t="s">
        <v>40</v>
      </c>
      <c r="E95" s="2" t="s">
        <v>59</v>
      </c>
      <c r="F95" s="2" t="s">
        <v>50</v>
      </c>
      <c r="G95" s="2" t="s">
        <v>5</v>
      </c>
      <c r="H95" s="2" t="s">
        <v>54</v>
      </c>
      <c r="I95" s="3">
        <v>15.075000000000001</v>
      </c>
      <c r="J95" s="3">
        <v>59.791700000000006</v>
      </c>
      <c r="K95" s="3">
        <v>5.5833310999999997</v>
      </c>
      <c r="L95" s="2">
        <v>5</v>
      </c>
      <c r="M95" s="2">
        <v>38</v>
      </c>
      <c r="N95" s="2">
        <f t="shared" si="1"/>
        <v>43</v>
      </c>
      <c r="O95" s="2" t="s">
        <v>105</v>
      </c>
    </row>
    <row r="96" spans="1:15" x14ac:dyDescent="0.35">
      <c r="A96" s="2">
        <v>257</v>
      </c>
      <c r="B96" s="1">
        <v>44818</v>
      </c>
      <c r="C96" s="2" t="s">
        <v>16</v>
      </c>
      <c r="D96" s="2" t="s">
        <v>41</v>
      </c>
      <c r="E96" s="2" t="s">
        <v>59</v>
      </c>
      <c r="F96" s="2" t="s">
        <v>50</v>
      </c>
      <c r="G96" s="2" t="s">
        <v>5</v>
      </c>
      <c r="H96" s="2" t="s">
        <v>54</v>
      </c>
      <c r="I96" s="3">
        <v>16.434765000000002</v>
      </c>
      <c r="J96" s="3">
        <v>69.708299999999994</v>
      </c>
      <c r="K96" s="3">
        <v>11.209099999999999</v>
      </c>
      <c r="L96" s="2">
        <v>6</v>
      </c>
      <c r="M96" s="2">
        <v>37</v>
      </c>
      <c r="N96" s="2">
        <f t="shared" si="1"/>
        <v>43</v>
      </c>
      <c r="O96" s="2" t="s">
        <v>105</v>
      </c>
    </row>
    <row r="97" spans="1:15" x14ac:dyDescent="0.35">
      <c r="A97" s="2">
        <v>285</v>
      </c>
      <c r="B97" s="1">
        <v>44846</v>
      </c>
      <c r="C97" s="2" t="s">
        <v>16</v>
      </c>
      <c r="D97" s="2" t="s">
        <v>42</v>
      </c>
      <c r="E97" s="2" t="s">
        <v>59</v>
      </c>
      <c r="F97" s="2" t="s">
        <v>50</v>
      </c>
      <c r="G97" s="2" t="s">
        <v>5</v>
      </c>
      <c r="H97" s="2" t="s">
        <v>56</v>
      </c>
      <c r="I97" s="3">
        <v>18.5625</v>
      </c>
      <c r="J97" s="3">
        <v>90.625</v>
      </c>
      <c r="K97" s="3">
        <v>16.626049999999999</v>
      </c>
      <c r="L97" s="2">
        <v>4</v>
      </c>
      <c r="M97" s="2">
        <v>39</v>
      </c>
      <c r="N97" s="2">
        <f t="shared" si="1"/>
        <v>43</v>
      </c>
      <c r="O97" s="2" t="s">
        <v>105</v>
      </c>
    </row>
    <row r="98" spans="1:15" x14ac:dyDescent="0.35">
      <c r="A98" s="2">
        <v>174</v>
      </c>
      <c r="B98" s="1">
        <v>44735</v>
      </c>
      <c r="C98" s="2" t="s">
        <v>15</v>
      </c>
      <c r="D98" s="2" t="s">
        <v>38</v>
      </c>
      <c r="E98" s="2" t="s">
        <v>59</v>
      </c>
      <c r="F98" s="2" t="s">
        <v>51</v>
      </c>
      <c r="G98" s="2" t="s">
        <v>5</v>
      </c>
      <c r="H98" s="2" t="s">
        <v>55</v>
      </c>
      <c r="I98" s="3">
        <v>16.799985</v>
      </c>
      <c r="J98" s="3">
        <v>70.333299999999994</v>
      </c>
      <c r="K98" s="3">
        <v>15.999867999999999</v>
      </c>
      <c r="L98" s="2">
        <v>3</v>
      </c>
      <c r="M98" s="2">
        <v>41</v>
      </c>
      <c r="N98" s="2">
        <f t="shared" si="1"/>
        <v>44</v>
      </c>
      <c r="O98" s="2" t="s">
        <v>105</v>
      </c>
    </row>
    <row r="99" spans="1:15" x14ac:dyDescent="0.35">
      <c r="A99" s="2">
        <v>266</v>
      </c>
      <c r="B99" s="1">
        <v>44827</v>
      </c>
      <c r="C99" s="2" t="s">
        <v>16</v>
      </c>
      <c r="D99" s="2" t="s">
        <v>41</v>
      </c>
      <c r="E99" s="2" t="s">
        <v>59</v>
      </c>
      <c r="F99" s="2" t="s">
        <v>52</v>
      </c>
      <c r="G99" s="2" t="s">
        <v>5</v>
      </c>
      <c r="H99" s="2" t="s">
        <v>55</v>
      </c>
      <c r="I99" s="3">
        <v>11.887514999999999</v>
      </c>
      <c r="J99" s="3">
        <v>97.25</v>
      </c>
      <c r="K99" s="3">
        <v>5.2505689000000002</v>
      </c>
      <c r="L99" s="2">
        <v>6</v>
      </c>
      <c r="M99" s="2">
        <v>38</v>
      </c>
      <c r="N99" s="2">
        <f t="shared" si="1"/>
        <v>44</v>
      </c>
      <c r="O99" s="2" t="s">
        <v>105</v>
      </c>
    </row>
    <row r="100" spans="1:15" x14ac:dyDescent="0.35">
      <c r="A100" s="2">
        <v>273</v>
      </c>
      <c r="B100" s="1">
        <v>44834</v>
      </c>
      <c r="C100" s="2" t="s">
        <v>16</v>
      </c>
      <c r="D100" s="2" t="s">
        <v>41</v>
      </c>
      <c r="E100" s="2" t="s">
        <v>59</v>
      </c>
      <c r="F100" s="2" t="s">
        <v>52</v>
      </c>
      <c r="G100" s="2" t="s">
        <v>5</v>
      </c>
      <c r="H100" s="2" t="s">
        <v>54</v>
      </c>
      <c r="I100" s="3">
        <v>13.5</v>
      </c>
      <c r="J100" s="3">
        <v>64.75</v>
      </c>
      <c r="K100" s="3">
        <v>13.833824999999999</v>
      </c>
      <c r="L100" s="2">
        <v>6</v>
      </c>
      <c r="M100" s="2">
        <v>38</v>
      </c>
      <c r="N100" s="2">
        <f t="shared" si="1"/>
        <v>44</v>
      </c>
      <c r="O100" s="2" t="s">
        <v>105</v>
      </c>
    </row>
    <row r="101" spans="1:15" x14ac:dyDescent="0.35">
      <c r="A101" s="2">
        <v>274</v>
      </c>
      <c r="B101" s="1">
        <v>44835</v>
      </c>
      <c r="C101" s="2" t="s">
        <v>16</v>
      </c>
      <c r="D101" s="2" t="s">
        <v>42</v>
      </c>
      <c r="E101" s="2" t="s">
        <v>59</v>
      </c>
      <c r="F101" s="2" t="s">
        <v>53</v>
      </c>
      <c r="G101" s="2" t="s">
        <v>60</v>
      </c>
      <c r="H101" s="2" t="s">
        <v>55</v>
      </c>
      <c r="I101" s="3">
        <v>14.175000000000001</v>
      </c>
      <c r="J101" s="3">
        <v>75.375</v>
      </c>
      <c r="K101" s="3">
        <v>19.583832000000001</v>
      </c>
      <c r="L101" s="2">
        <v>18</v>
      </c>
      <c r="M101" s="2">
        <v>27</v>
      </c>
      <c r="N101" s="2">
        <f t="shared" si="1"/>
        <v>45</v>
      </c>
      <c r="O101" s="2" t="s">
        <v>105</v>
      </c>
    </row>
    <row r="102" spans="1:15" x14ac:dyDescent="0.35">
      <c r="A102" s="2">
        <v>179</v>
      </c>
      <c r="B102" s="1">
        <v>44740</v>
      </c>
      <c r="C102" s="2" t="s">
        <v>15</v>
      </c>
      <c r="D102" s="2" t="s">
        <v>38</v>
      </c>
      <c r="E102" s="2" t="s">
        <v>59</v>
      </c>
      <c r="F102" s="2" t="s">
        <v>49</v>
      </c>
      <c r="G102" s="2" t="s">
        <v>5</v>
      </c>
      <c r="H102" s="2" t="s">
        <v>54</v>
      </c>
      <c r="I102" s="3">
        <v>13.460850000000001</v>
      </c>
      <c r="J102" s="3">
        <v>63.416700000000006</v>
      </c>
      <c r="K102" s="3">
        <v>9.6669609999999988</v>
      </c>
      <c r="L102" s="2">
        <v>5</v>
      </c>
      <c r="M102" s="2">
        <v>41</v>
      </c>
      <c r="N102" s="2">
        <f t="shared" si="1"/>
        <v>46</v>
      </c>
      <c r="O102" s="2" t="s">
        <v>105</v>
      </c>
    </row>
    <row r="103" spans="1:15" x14ac:dyDescent="0.35">
      <c r="A103" s="2">
        <v>83</v>
      </c>
      <c r="B103" s="1">
        <v>44644</v>
      </c>
      <c r="C103" s="2" t="s">
        <v>14</v>
      </c>
      <c r="D103" s="2" t="s">
        <v>35</v>
      </c>
      <c r="E103" s="2" t="s">
        <v>59</v>
      </c>
      <c r="F103" s="2" t="s">
        <v>51</v>
      </c>
      <c r="G103" s="2" t="s">
        <v>5</v>
      </c>
      <c r="H103" s="2" t="s">
        <v>55</v>
      </c>
      <c r="I103" s="3">
        <v>27.412514999999999</v>
      </c>
      <c r="J103" s="3">
        <v>80.583300000000008</v>
      </c>
      <c r="K103" s="3">
        <v>16.333729000000002</v>
      </c>
      <c r="L103" s="2">
        <v>5</v>
      </c>
      <c r="M103" s="2">
        <v>43</v>
      </c>
      <c r="N103" s="2">
        <f t="shared" si="1"/>
        <v>48</v>
      </c>
      <c r="O103" s="2" t="s">
        <v>105</v>
      </c>
    </row>
    <row r="104" spans="1:15" x14ac:dyDescent="0.35">
      <c r="A104" s="2">
        <v>102</v>
      </c>
      <c r="B104" s="1">
        <v>44663</v>
      </c>
      <c r="C104" s="2" t="s">
        <v>14</v>
      </c>
      <c r="D104" s="2" t="s">
        <v>36</v>
      </c>
      <c r="E104" s="2" t="s">
        <v>59</v>
      </c>
      <c r="F104" s="2" t="s">
        <v>49</v>
      </c>
      <c r="G104" s="2" t="s">
        <v>5</v>
      </c>
      <c r="H104" s="2" t="s">
        <v>55</v>
      </c>
      <c r="I104" s="3">
        <v>24.449984999999998</v>
      </c>
      <c r="J104" s="3">
        <v>73.916700000000006</v>
      </c>
      <c r="K104" s="3">
        <v>18.416892999999998</v>
      </c>
      <c r="L104" s="2">
        <v>4</v>
      </c>
      <c r="M104" s="2">
        <v>44</v>
      </c>
      <c r="N104" s="2">
        <f t="shared" si="1"/>
        <v>48</v>
      </c>
      <c r="O104" s="2" t="s">
        <v>105</v>
      </c>
    </row>
    <row r="105" spans="1:15" x14ac:dyDescent="0.35">
      <c r="A105" s="2">
        <v>109</v>
      </c>
      <c r="B105" s="1">
        <v>44670</v>
      </c>
      <c r="C105" s="2" t="s">
        <v>14</v>
      </c>
      <c r="D105" s="2" t="s">
        <v>36</v>
      </c>
      <c r="E105" s="2" t="s">
        <v>59</v>
      </c>
      <c r="F105" s="2" t="s">
        <v>49</v>
      </c>
      <c r="G105" s="2" t="s">
        <v>5</v>
      </c>
      <c r="H105" s="2" t="s">
        <v>55</v>
      </c>
      <c r="I105" s="3">
        <v>24.378254999999999</v>
      </c>
      <c r="J105" s="3">
        <v>66.583299999999994</v>
      </c>
      <c r="K105" s="3">
        <v>10.584057</v>
      </c>
      <c r="L105" s="2">
        <v>5</v>
      </c>
      <c r="M105" s="2">
        <v>43</v>
      </c>
      <c r="N105" s="2">
        <f t="shared" si="1"/>
        <v>48</v>
      </c>
      <c r="O105" s="2" t="s">
        <v>105</v>
      </c>
    </row>
    <row r="106" spans="1:15" x14ac:dyDescent="0.35">
      <c r="A106" s="2">
        <v>169</v>
      </c>
      <c r="B106" s="1">
        <v>44730</v>
      </c>
      <c r="C106" s="2" t="s">
        <v>15</v>
      </c>
      <c r="D106" s="2" t="s">
        <v>38</v>
      </c>
      <c r="E106" s="2" t="s">
        <v>59</v>
      </c>
      <c r="F106" s="2" t="s">
        <v>53</v>
      </c>
      <c r="G106" s="2" t="s">
        <v>60</v>
      </c>
      <c r="H106" s="2" t="s">
        <v>54</v>
      </c>
      <c r="I106" s="3">
        <v>10.724985</v>
      </c>
      <c r="J106" s="3">
        <v>67.041700000000006</v>
      </c>
      <c r="K106" s="3">
        <v>8.0003360000000008</v>
      </c>
      <c r="L106" s="2">
        <v>4</v>
      </c>
      <c r="M106" s="2">
        <v>44</v>
      </c>
      <c r="N106" s="2">
        <f t="shared" si="1"/>
        <v>48</v>
      </c>
      <c r="O106" s="2" t="s">
        <v>105</v>
      </c>
    </row>
    <row r="107" spans="1:15" x14ac:dyDescent="0.35">
      <c r="A107" s="2">
        <v>180</v>
      </c>
      <c r="B107" s="1">
        <v>44741</v>
      </c>
      <c r="C107" s="2" t="s">
        <v>15</v>
      </c>
      <c r="D107" s="2" t="s">
        <v>38</v>
      </c>
      <c r="E107" s="2" t="s">
        <v>59</v>
      </c>
      <c r="F107" s="2" t="s">
        <v>50</v>
      </c>
      <c r="G107" s="2" t="s">
        <v>5</v>
      </c>
      <c r="H107" s="2" t="s">
        <v>54</v>
      </c>
      <c r="I107" s="3">
        <v>11.174985</v>
      </c>
      <c r="J107" s="3">
        <v>49.791699999999999</v>
      </c>
      <c r="K107" s="3">
        <v>17.542007000000002</v>
      </c>
      <c r="L107" s="2">
        <v>5</v>
      </c>
      <c r="M107" s="2">
        <v>43</v>
      </c>
      <c r="N107" s="2">
        <f t="shared" si="1"/>
        <v>48</v>
      </c>
      <c r="O107" s="2" t="s">
        <v>105</v>
      </c>
    </row>
    <row r="108" spans="1:15" x14ac:dyDescent="0.35">
      <c r="A108" s="2">
        <v>240</v>
      </c>
      <c r="B108" s="1">
        <v>44801</v>
      </c>
      <c r="C108" s="2" t="s">
        <v>15</v>
      </c>
      <c r="D108" s="2" t="s">
        <v>40</v>
      </c>
      <c r="E108" s="2" t="s">
        <v>59</v>
      </c>
      <c r="F108" s="2" t="s">
        <v>47</v>
      </c>
      <c r="G108" s="2" t="s">
        <v>60</v>
      </c>
      <c r="H108" s="2" t="s">
        <v>54</v>
      </c>
      <c r="I108" s="3">
        <v>15.45651</v>
      </c>
      <c r="J108" s="3">
        <v>56.176499999999997</v>
      </c>
      <c r="K108" s="3">
        <v>20.412153</v>
      </c>
      <c r="L108" s="2">
        <v>14</v>
      </c>
      <c r="M108" s="2">
        <v>34</v>
      </c>
      <c r="N108" s="2">
        <f t="shared" si="1"/>
        <v>48</v>
      </c>
      <c r="O108" s="2" t="s">
        <v>105</v>
      </c>
    </row>
    <row r="109" spans="1:15" x14ac:dyDescent="0.35">
      <c r="A109" s="2">
        <v>270</v>
      </c>
      <c r="B109" s="1">
        <v>44831</v>
      </c>
      <c r="C109" s="2" t="s">
        <v>16</v>
      </c>
      <c r="D109" s="2" t="s">
        <v>41</v>
      </c>
      <c r="E109" s="2" t="s">
        <v>59</v>
      </c>
      <c r="F109" s="2" t="s">
        <v>49</v>
      </c>
      <c r="G109" s="2" t="s">
        <v>5</v>
      </c>
      <c r="H109" s="2" t="s">
        <v>55</v>
      </c>
      <c r="I109" s="3">
        <v>13.612499999999999</v>
      </c>
      <c r="J109" s="3">
        <v>88.541700000000006</v>
      </c>
      <c r="K109" s="3">
        <v>7.9174569999999997</v>
      </c>
      <c r="L109" s="2">
        <v>6</v>
      </c>
      <c r="M109" s="2">
        <v>42</v>
      </c>
      <c r="N109" s="2">
        <f t="shared" si="1"/>
        <v>48</v>
      </c>
      <c r="O109" s="2" t="s">
        <v>105</v>
      </c>
    </row>
    <row r="110" spans="1:15" x14ac:dyDescent="0.35">
      <c r="A110" s="2">
        <v>91</v>
      </c>
      <c r="B110" s="1">
        <v>44652</v>
      </c>
      <c r="C110" s="2" t="s">
        <v>14</v>
      </c>
      <c r="D110" s="2" t="s">
        <v>36</v>
      </c>
      <c r="E110" s="2" t="s">
        <v>59</v>
      </c>
      <c r="F110" s="2" t="s">
        <v>52</v>
      </c>
      <c r="G110" s="2" t="s">
        <v>5</v>
      </c>
      <c r="H110" s="2" t="s">
        <v>55</v>
      </c>
      <c r="I110" s="3">
        <v>18.45</v>
      </c>
      <c r="J110" s="3">
        <v>68.625</v>
      </c>
      <c r="K110" s="3">
        <v>17.333435999999999</v>
      </c>
      <c r="L110" s="2">
        <v>10</v>
      </c>
      <c r="M110" s="2">
        <v>39</v>
      </c>
      <c r="N110" s="2">
        <f t="shared" si="1"/>
        <v>49</v>
      </c>
      <c r="O110" s="2" t="s">
        <v>105</v>
      </c>
    </row>
    <row r="111" spans="1:15" x14ac:dyDescent="0.35">
      <c r="A111" s="2">
        <v>182</v>
      </c>
      <c r="B111" s="1">
        <v>44743</v>
      </c>
      <c r="C111" s="2" t="s">
        <v>15</v>
      </c>
      <c r="D111" s="2" t="s">
        <v>39</v>
      </c>
      <c r="E111" s="2" t="s">
        <v>59</v>
      </c>
      <c r="F111" s="2" t="s">
        <v>52</v>
      </c>
      <c r="G111" s="2" t="s">
        <v>5</v>
      </c>
      <c r="H111" s="2" t="s">
        <v>54</v>
      </c>
      <c r="I111" s="3">
        <v>18.45</v>
      </c>
      <c r="J111" s="3">
        <v>39.625</v>
      </c>
      <c r="K111" s="3">
        <v>6.8747360000000004</v>
      </c>
      <c r="L111" s="2">
        <v>13</v>
      </c>
      <c r="M111" s="2">
        <v>36</v>
      </c>
      <c r="N111" s="2">
        <f t="shared" si="1"/>
        <v>49</v>
      </c>
      <c r="O111" s="2" t="s">
        <v>105</v>
      </c>
    </row>
    <row r="112" spans="1:15" x14ac:dyDescent="0.35">
      <c r="A112" s="2">
        <v>230</v>
      </c>
      <c r="B112" s="1">
        <v>44791</v>
      </c>
      <c r="C112" s="2" t="s">
        <v>15</v>
      </c>
      <c r="D112" s="2" t="s">
        <v>40</v>
      </c>
      <c r="E112" s="2" t="s">
        <v>59</v>
      </c>
      <c r="F112" s="2" t="s">
        <v>51</v>
      </c>
      <c r="G112" s="2" t="s">
        <v>5</v>
      </c>
      <c r="H112" s="2" t="s">
        <v>54</v>
      </c>
      <c r="I112" s="3">
        <v>19.612485</v>
      </c>
      <c r="J112" s="3">
        <v>65.458300000000008</v>
      </c>
      <c r="K112" s="3">
        <v>15.624936</v>
      </c>
      <c r="L112" s="2">
        <v>5</v>
      </c>
      <c r="M112" s="2">
        <v>44</v>
      </c>
      <c r="N112" s="2">
        <f t="shared" si="1"/>
        <v>49</v>
      </c>
      <c r="O112" s="2" t="s">
        <v>105</v>
      </c>
    </row>
    <row r="113" spans="1:15" x14ac:dyDescent="0.35">
      <c r="A113" s="2">
        <v>254</v>
      </c>
      <c r="B113" s="1">
        <v>44815</v>
      </c>
      <c r="C113" s="2" t="s">
        <v>16</v>
      </c>
      <c r="D113" s="2" t="s">
        <v>41</v>
      </c>
      <c r="E113" s="2" t="s">
        <v>59</v>
      </c>
      <c r="F113" s="2" t="s">
        <v>47</v>
      </c>
      <c r="G113" s="2" t="s">
        <v>60</v>
      </c>
      <c r="H113" s="2" t="s">
        <v>54</v>
      </c>
      <c r="I113" s="3">
        <v>17.295660000000002</v>
      </c>
      <c r="J113" s="3">
        <v>71.375</v>
      </c>
      <c r="K113" s="3">
        <v>7.7086180000000004</v>
      </c>
      <c r="L113" s="2">
        <v>20</v>
      </c>
      <c r="M113" s="2">
        <v>29</v>
      </c>
      <c r="N113" s="2">
        <f t="shared" si="1"/>
        <v>49</v>
      </c>
      <c r="O113" s="2" t="s">
        <v>105</v>
      </c>
    </row>
    <row r="114" spans="1:15" x14ac:dyDescent="0.35">
      <c r="A114" s="2">
        <v>261</v>
      </c>
      <c r="B114" s="1">
        <v>44822</v>
      </c>
      <c r="C114" s="2" t="s">
        <v>16</v>
      </c>
      <c r="D114" s="2" t="s">
        <v>41</v>
      </c>
      <c r="E114" s="2" t="s">
        <v>59</v>
      </c>
      <c r="F114" s="2" t="s">
        <v>47</v>
      </c>
      <c r="G114" s="2" t="s">
        <v>60</v>
      </c>
      <c r="H114" s="2" t="s">
        <v>54</v>
      </c>
      <c r="I114" s="3">
        <v>14.9625</v>
      </c>
      <c r="J114" s="3">
        <v>69.5</v>
      </c>
      <c r="K114" s="3">
        <v>11.958361</v>
      </c>
      <c r="L114" s="2">
        <v>21</v>
      </c>
      <c r="M114" s="2">
        <v>28</v>
      </c>
      <c r="N114" s="2">
        <f t="shared" si="1"/>
        <v>49</v>
      </c>
      <c r="O114" s="2" t="s">
        <v>105</v>
      </c>
    </row>
    <row r="115" spans="1:15" x14ac:dyDescent="0.35">
      <c r="A115" s="2">
        <v>267</v>
      </c>
      <c r="B115" s="1">
        <v>44828</v>
      </c>
      <c r="C115" s="2" t="s">
        <v>16</v>
      </c>
      <c r="D115" s="2" t="s">
        <v>41</v>
      </c>
      <c r="E115" s="2" t="s">
        <v>59</v>
      </c>
      <c r="F115" s="2" t="s">
        <v>53</v>
      </c>
      <c r="G115" s="2" t="s">
        <v>60</v>
      </c>
      <c r="H115" s="2" t="s">
        <v>55</v>
      </c>
      <c r="I115" s="3">
        <v>11.962484999999999</v>
      </c>
      <c r="J115" s="3">
        <v>86.25</v>
      </c>
      <c r="K115" s="3">
        <v>5.2516810999999999</v>
      </c>
      <c r="L115" s="2">
        <v>20</v>
      </c>
      <c r="M115" s="2">
        <v>30</v>
      </c>
      <c r="N115" s="2">
        <f t="shared" si="1"/>
        <v>50</v>
      </c>
      <c r="O115" s="2" t="s">
        <v>105</v>
      </c>
    </row>
    <row r="116" spans="1:15" x14ac:dyDescent="0.35">
      <c r="A116" s="2">
        <v>281</v>
      </c>
      <c r="B116" s="1">
        <v>44842</v>
      </c>
      <c r="C116" s="2" t="s">
        <v>16</v>
      </c>
      <c r="D116" s="2" t="s">
        <v>42</v>
      </c>
      <c r="E116" s="2" t="s">
        <v>59</v>
      </c>
      <c r="F116" s="2" t="s">
        <v>53</v>
      </c>
      <c r="G116" s="2" t="s">
        <v>60</v>
      </c>
      <c r="H116" s="2" t="s">
        <v>54</v>
      </c>
      <c r="I116" s="3">
        <v>15.412500000000001</v>
      </c>
      <c r="J116" s="3">
        <v>70.125</v>
      </c>
      <c r="K116" s="3">
        <v>3.0420813999999998</v>
      </c>
      <c r="L116" s="2">
        <v>18</v>
      </c>
      <c r="M116" s="2">
        <v>32</v>
      </c>
      <c r="N116" s="2">
        <f t="shared" si="1"/>
        <v>50</v>
      </c>
      <c r="O116" s="2" t="s">
        <v>105</v>
      </c>
    </row>
    <row r="117" spans="1:15" x14ac:dyDescent="0.35">
      <c r="A117" s="2">
        <v>144</v>
      </c>
      <c r="B117" s="1">
        <v>44705</v>
      </c>
      <c r="C117" s="2" t="s">
        <v>14</v>
      </c>
      <c r="D117" s="2" t="s">
        <v>37</v>
      </c>
      <c r="E117" s="2" t="s">
        <v>59</v>
      </c>
      <c r="F117" s="2" t="s">
        <v>49</v>
      </c>
      <c r="G117" s="2" t="s">
        <v>5</v>
      </c>
      <c r="H117" s="2" t="s">
        <v>55</v>
      </c>
      <c r="I117" s="3">
        <v>19.837484999999997</v>
      </c>
      <c r="J117" s="3">
        <v>74.083299999999994</v>
      </c>
      <c r="K117" s="3">
        <v>13.875164</v>
      </c>
      <c r="L117" s="2">
        <v>2</v>
      </c>
      <c r="M117" s="2">
        <v>49</v>
      </c>
      <c r="N117" s="2">
        <f t="shared" si="1"/>
        <v>51</v>
      </c>
      <c r="O117" s="2" t="s">
        <v>105</v>
      </c>
    </row>
    <row r="118" spans="1:15" x14ac:dyDescent="0.35">
      <c r="A118" s="2">
        <v>157</v>
      </c>
      <c r="B118" s="1">
        <v>44718</v>
      </c>
      <c r="C118" s="2" t="s">
        <v>15</v>
      </c>
      <c r="D118" s="2" t="s">
        <v>38</v>
      </c>
      <c r="E118" s="2" t="s">
        <v>59</v>
      </c>
      <c r="F118" s="2" t="s">
        <v>48</v>
      </c>
      <c r="G118" s="2" t="s">
        <v>5</v>
      </c>
      <c r="H118" s="2" t="s">
        <v>54</v>
      </c>
      <c r="I118" s="3">
        <v>20.8125</v>
      </c>
      <c r="J118" s="3">
        <v>60</v>
      </c>
      <c r="K118" s="3">
        <v>8.1670320000000007</v>
      </c>
      <c r="L118" s="2">
        <v>3</v>
      </c>
      <c r="M118" s="2">
        <v>49</v>
      </c>
      <c r="N118" s="2">
        <f t="shared" si="1"/>
        <v>52</v>
      </c>
      <c r="O118" s="2" t="s">
        <v>105</v>
      </c>
    </row>
    <row r="119" spans="1:15" x14ac:dyDescent="0.35">
      <c r="A119" s="2">
        <v>117</v>
      </c>
      <c r="B119" s="1">
        <v>44678</v>
      </c>
      <c r="C119" s="2" t="s">
        <v>14</v>
      </c>
      <c r="D119" s="2" t="s">
        <v>36</v>
      </c>
      <c r="E119" s="2" t="s">
        <v>59</v>
      </c>
      <c r="F119" s="2" t="s">
        <v>50</v>
      </c>
      <c r="G119" s="2" t="s">
        <v>5</v>
      </c>
      <c r="H119" s="2" t="s">
        <v>55</v>
      </c>
      <c r="I119" s="3">
        <v>21.15</v>
      </c>
      <c r="J119" s="3">
        <v>83.541699999999992</v>
      </c>
      <c r="K119" s="3">
        <v>20.917399999999997</v>
      </c>
      <c r="L119" s="2">
        <v>5</v>
      </c>
      <c r="M119" s="2">
        <v>48</v>
      </c>
      <c r="N119" s="2">
        <f t="shared" si="1"/>
        <v>53</v>
      </c>
      <c r="O119" s="2" t="s">
        <v>105</v>
      </c>
    </row>
    <row r="120" spans="1:15" x14ac:dyDescent="0.35">
      <c r="A120" s="2">
        <v>172</v>
      </c>
      <c r="B120" s="1">
        <v>44733</v>
      </c>
      <c r="C120" s="2" t="s">
        <v>15</v>
      </c>
      <c r="D120" s="2" t="s">
        <v>38</v>
      </c>
      <c r="E120" s="2" t="s">
        <v>59</v>
      </c>
      <c r="F120" s="2" t="s">
        <v>49</v>
      </c>
      <c r="G120" s="2" t="s">
        <v>5</v>
      </c>
      <c r="H120" s="2" t="s">
        <v>55</v>
      </c>
      <c r="I120" s="3">
        <v>19.274985000000001</v>
      </c>
      <c r="J120" s="3">
        <v>77.041700000000006</v>
      </c>
      <c r="K120" s="3">
        <v>11.458675000000001</v>
      </c>
      <c r="L120" s="2">
        <v>2</v>
      </c>
      <c r="M120" s="2">
        <v>51</v>
      </c>
      <c r="N120" s="2">
        <f t="shared" si="1"/>
        <v>53</v>
      </c>
      <c r="O120" s="2" t="s">
        <v>105</v>
      </c>
    </row>
    <row r="121" spans="1:15" x14ac:dyDescent="0.35">
      <c r="A121" s="2">
        <v>306</v>
      </c>
      <c r="B121" s="1">
        <v>44867</v>
      </c>
      <c r="C121" s="2" t="s">
        <v>16</v>
      </c>
      <c r="D121" s="2" t="s">
        <v>43</v>
      </c>
      <c r="E121" s="2" t="s">
        <v>59</v>
      </c>
      <c r="F121" s="2" t="s">
        <v>50</v>
      </c>
      <c r="G121" s="2" t="s">
        <v>5</v>
      </c>
      <c r="H121" s="2" t="s">
        <v>54</v>
      </c>
      <c r="I121" s="3">
        <v>18.637515</v>
      </c>
      <c r="J121" s="3">
        <v>71.875</v>
      </c>
      <c r="K121" s="3">
        <v>5.5001439000000003</v>
      </c>
      <c r="L121" s="2">
        <v>5</v>
      </c>
      <c r="M121" s="2">
        <v>48</v>
      </c>
      <c r="N121" s="2">
        <f t="shared" si="1"/>
        <v>53</v>
      </c>
      <c r="O121" s="2" t="s">
        <v>105</v>
      </c>
    </row>
    <row r="122" spans="1:15" x14ac:dyDescent="0.35">
      <c r="A122" s="2">
        <v>66</v>
      </c>
      <c r="B122" s="1">
        <v>44627</v>
      </c>
      <c r="C122" s="2" t="s">
        <v>14</v>
      </c>
      <c r="D122" s="2" t="s">
        <v>35</v>
      </c>
      <c r="E122" s="2" t="s">
        <v>59</v>
      </c>
      <c r="F122" s="2" t="s">
        <v>48</v>
      </c>
      <c r="G122" s="2" t="s">
        <v>5</v>
      </c>
      <c r="H122" s="2" t="s">
        <v>54</v>
      </c>
      <c r="I122" s="3">
        <v>24.3</v>
      </c>
      <c r="J122" s="3">
        <v>55.130400000000002</v>
      </c>
      <c r="K122" s="3">
        <v>22.870584000000001</v>
      </c>
      <c r="L122" s="2">
        <v>4</v>
      </c>
      <c r="M122" s="2">
        <v>50</v>
      </c>
      <c r="N122" s="2">
        <f t="shared" si="1"/>
        <v>54</v>
      </c>
      <c r="O122" s="2" t="s">
        <v>105</v>
      </c>
    </row>
    <row r="123" spans="1:15" x14ac:dyDescent="0.35">
      <c r="A123" s="2">
        <v>258</v>
      </c>
      <c r="B123" s="1">
        <v>44819</v>
      </c>
      <c r="C123" s="2" t="s">
        <v>16</v>
      </c>
      <c r="D123" s="2" t="s">
        <v>41</v>
      </c>
      <c r="E123" s="2" t="s">
        <v>59</v>
      </c>
      <c r="F123" s="2" t="s">
        <v>51</v>
      </c>
      <c r="G123" s="2" t="s">
        <v>5</v>
      </c>
      <c r="H123" s="2" t="s">
        <v>55</v>
      </c>
      <c r="I123" s="3">
        <v>18.675000000000001</v>
      </c>
      <c r="J123" s="3">
        <v>70.916700000000006</v>
      </c>
      <c r="K123" s="3">
        <v>18.166782000000001</v>
      </c>
      <c r="L123" s="2">
        <v>8</v>
      </c>
      <c r="M123" s="2">
        <v>46</v>
      </c>
      <c r="N123" s="2">
        <f t="shared" si="1"/>
        <v>54</v>
      </c>
      <c r="O123" s="2" t="s">
        <v>105</v>
      </c>
    </row>
    <row r="124" spans="1:15" x14ac:dyDescent="0.35">
      <c r="A124" s="2">
        <v>263</v>
      </c>
      <c r="B124" s="1">
        <v>44824</v>
      </c>
      <c r="C124" s="2" t="s">
        <v>16</v>
      </c>
      <c r="D124" s="2" t="s">
        <v>41</v>
      </c>
      <c r="E124" s="2" t="s">
        <v>59</v>
      </c>
      <c r="F124" s="2" t="s">
        <v>49</v>
      </c>
      <c r="G124" s="2" t="s">
        <v>5</v>
      </c>
      <c r="H124" s="2" t="s">
        <v>55</v>
      </c>
      <c r="I124" s="3">
        <v>19.875014999999998</v>
      </c>
      <c r="J124" s="3">
        <v>88.125</v>
      </c>
      <c r="K124" s="3">
        <v>9.041917999999999</v>
      </c>
      <c r="L124" s="2">
        <v>9</v>
      </c>
      <c r="M124" s="2">
        <v>45</v>
      </c>
      <c r="N124" s="2">
        <f t="shared" si="1"/>
        <v>54</v>
      </c>
      <c r="O124" s="2" t="s">
        <v>105</v>
      </c>
    </row>
    <row r="125" spans="1:15" x14ac:dyDescent="0.35">
      <c r="A125" s="2">
        <v>142</v>
      </c>
      <c r="B125" s="1">
        <v>44703</v>
      </c>
      <c r="C125" s="2" t="s">
        <v>14</v>
      </c>
      <c r="D125" s="2" t="s">
        <v>37</v>
      </c>
      <c r="E125" s="2" t="s">
        <v>59</v>
      </c>
      <c r="F125" s="2" t="s">
        <v>47</v>
      </c>
      <c r="G125" s="2" t="s">
        <v>60</v>
      </c>
      <c r="H125" s="2" t="s">
        <v>54</v>
      </c>
      <c r="I125" s="3">
        <v>20.137499999999999</v>
      </c>
      <c r="J125" s="3">
        <v>74.958299999999994</v>
      </c>
      <c r="K125" s="3">
        <v>9.9165360000000007</v>
      </c>
      <c r="L125" s="2">
        <v>4</v>
      </c>
      <c r="M125" s="2">
        <v>51</v>
      </c>
      <c r="N125" s="2">
        <f t="shared" si="1"/>
        <v>55</v>
      </c>
      <c r="O125" s="2" t="s">
        <v>105</v>
      </c>
    </row>
    <row r="126" spans="1:15" x14ac:dyDescent="0.35">
      <c r="A126" s="2">
        <v>162</v>
      </c>
      <c r="B126" s="1">
        <v>44723</v>
      </c>
      <c r="C126" s="2" t="s">
        <v>15</v>
      </c>
      <c r="D126" s="2" t="s">
        <v>38</v>
      </c>
      <c r="E126" s="2" t="s">
        <v>59</v>
      </c>
      <c r="F126" s="2" t="s">
        <v>53</v>
      </c>
      <c r="G126" s="2" t="s">
        <v>60</v>
      </c>
      <c r="H126" s="2" t="s">
        <v>54</v>
      </c>
      <c r="I126" s="3">
        <v>9.9374850000000006</v>
      </c>
      <c r="J126" s="3">
        <v>65.458300000000008</v>
      </c>
      <c r="K126" s="3">
        <v>10.374949999999998</v>
      </c>
      <c r="L126" s="2">
        <v>8</v>
      </c>
      <c r="M126" s="2">
        <v>47</v>
      </c>
      <c r="N126" s="2">
        <f t="shared" si="1"/>
        <v>55</v>
      </c>
      <c r="O126" s="2" t="s">
        <v>105</v>
      </c>
    </row>
    <row r="127" spans="1:15" x14ac:dyDescent="0.35">
      <c r="A127" s="2">
        <v>168</v>
      </c>
      <c r="B127" s="1">
        <v>44729</v>
      </c>
      <c r="C127" s="2" t="s">
        <v>15</v>
      </c>
      <c r="D127" s="2" t="s">
        <v>38</v>
      </c>
      <c r="E127" s="2" t="s">
        <v>59</v>
      </c>
      <c r="F127" s="2" t="s">
        <v>52</v>
      </c>
      <c r="G127" s="2" t="s">
        <v>5</v>
      </c>
      <c r="H127" s="2" t="s">
        <v>54</v>
      </c>
      <c r="I127" s="3">
        <v>11.624984999999999</v>
      </c>
      <c r="J127" s="3">
        <v>73.583299999999994</v>
      </c>
      <c r="K127" s="3">
        <v>9.5829429999999984</v>
      </c>
      <c r="L127" s="2">
        <v>6</v>
      </c>
      <c r="M127" s="2">
        <v>49</v>
      </c>
      <c r="N127" s="2">
        <f t="shared" si="1"/>
        <v>55</v>
      </c>
      <c r="O127" s="2" t="s">
        <v>105</v>
      </c>
    </row>
    <row r="128" spans="1:15" x14ac:dyDescent="0.35">
      <c r="A128" s="2">
        <v>146</v>
      </c>
      <c r="B128" s="1">
        <v>44707</v>
      </c>
      <c r="C128" s="2" t="s">
        <v>14</v>
      </c>
      <c r="D128" s="2" t="s">
        <v>37</v>
      </c>
      <c r="E128" s="2" t="s">
        <v>59</v>
      </c>
      <c r="F128" s="2" t="s">
        <v>51</v>
      </c>
      <c r="G128" s="2" t="s">
        <v>5</v>
      </c>
      <c r="H128" s="2" t="s">
        <v>54</v>
      </c>
      <c r="I128" s="3">
        <v>16.875</v>
      </c>
      <c r="J128" s="3">
        <v>67.75</v>
      </c>
      <c r="K128" s="3">
        <v>13.376014</v>
      </c>
      <c r="L128" s="2">
        <v>22</v>
      </c>
      <c r="M128" s="2">
        <v>34</v>
      </c>
      <c r="N128" s="2">
        <f t="shared" si="1"/>
        <v>56</v>
      </c>
      <c r="O128" s="2" t="s">
        <v>105</v>
      </c>
    </row>
    <row r="129" spans="1:15" x14ac:dyDescent="0.35">
      <c r="A129" s="2">
        <v>278</v>
      </c>
      <c r="B129" s="1">
        <v>44839</v>
      </c>
      <c r="C129" s="2" t="s">
        <v>16</v>
      </c>
      <c r="D129" s="2" t="s">
        <v>42</v>
      </c>
      <c r="E129" s="2" t="s">
        <v>59</v>
      </c>
      <c r="F129" s="2" t="s">
        <v>50</v>
      </c>
      <c r="G129" s="2" t="s">
        <v>5</v>
      </c>
      <c r="H129" s="2" t="s">
        <v>54</v>
      </c>
      <c r="I129" s="3">
        <v>17.587485000000001</v>
      </c>
      <c r="J129" s="3">
        <v>64.791699999999992</v>
      </c>
      <c r="K129" s="3">
        <v>11.87575</v>
      </c>
      <c r="L129" s="2">
        <v>8</v>
      </c>
      <c r="M129" s="2">
        <v>48</v>
      </c>
      <c r="N129" s="2">
        <f t="shared" si="1"/>
        <v>56</v>
      </c>
      <c r="O129" s="2" t="s">
        <v>105</v>
      </c>
    </row>
    <row r="130" spans="1:15" x14ac:dyDescent="0.35">
      <c r="A130" s="2">
        <v>92</v>
      </c>
      <c r="B130" s="1">
        <v>44653</v>
      </c>
      <c r="C130" s="2" t="s">
        <v>14</v>
      </c>
      <c r="D130" s="2" t="s">
        <v>36</v>
      </c>
      <c r="E130" s="2" t="s">
        <v>59</v>
      </c>
      <c r="F130" s="2" t="s">
        <v>53</v>
      </c>
      <c r="G130" s="2" t="s">
        <v>60</v>
      </c>
      <c r="H130" s="2" t="s">
        <v>55</v>
      </c>
      <c r="I130" s="3">
        <v>16.050015000000002</v>
      </c>
      <c r="J130" s="3">
        <v>65.375</v>
      </c>
      <c r="K130" s="3">
        <v>13.208781999999999</v>
      </c>
      <c r="L130" s="2">
        <v>12</v>
      </c>
      <c r="M130" s="2">
        <v>46</v>
      </c>
      <c r="N130" s="2">
        <f t="shared" ref="N130:N193" si="2">L130+M130</f>
        <v>58</v>
      </c>
      <c r="O130" s="2" t="s">
        <v>105</v>
      </c>
    </row>
    <row r="131" spans="1:15" x14ac:dyDescent="0.35">
      <c r="A131" s="2">
        <v>103</v>
      </c>
      <c r="B131" s="1">
        <v>44664</v>
      </c>
      <c r="C131" s="2" t="s">
        <v>14</v>
      </c>
      <c r="D131" s="2" t="s">
        <v>36</v>
      </c>
      <c r="E131" s="2" t="s">
        <v>59</v>
      </c>
      <c r="F131" s="2" t="s">
        <v>50</v>
      </c>
      <c r="G131" s="2" t="s">
        <v>5</v>
      </c>
      <c r="H131" s="2" t="s">
        <v>55</v>
      </c>
      <c r="I131" s="3">
        <v>26.512515</v>
      </c>
      <c r="J131" s="3">
        <v>81.916699999999992</v>
      </c>
      <c r="K131" s="3">
        <v>16.791338999999997</v>
      </c>
      <c r="L131" s="2">
        <v>6</v>
      </c>
      <c r="M131" s="2">
        <v>52</v>
      </c>
      <c r="N131" s="2">
        <f t="shared" si="2"/>
        <v>58</v>
      </c>
      <c r="O131" s="2" t="s">
        <v>105</v>
      </c>
    </row>
    <row r="132" spans="1:15" x14ac:dyDescent="0.35">
      <c r="A132" s="2">
        <v>150</v>
      </c>
      <c r="B132" s="1">
        <v>44711</v>
      </c>
      <c r="C132" s="2" t="s">
        <v>14</v>
      </c>
      <c r="D132" s="2" t="s">
        <v>37</v>
      </c>
      <c r="E132" s="2" t="s">
        <v>3</v>
      </c>
      <c r="F132" s="2" t="s">
        <v>48</v>
      </c>
      <c r="G132" s="2" t="s">
        <v>60</v>
      </c>
      <c r="H132" s="2" t="s">
        <v>54</v>
      </c>
      <c r="I132" s="3">
        <v>20.624984999999999</v>
      </c>
      <c r="J132" s="3">
        <v>68.5</v>
      </c>
      <c r="K132" s="3">
        <v>8.7920750000000005</v>
      </c>
      <c r="L132" s="2">
        <v>2</v>
      </c>
      <c r="M132" s="2">
        <v>56</v>
      </c>
      <c r="N132" s="2">
        <f t="shared" si="2"/>
        <v>58</v>
      </c>
      <c r="O132" s="2" t="s">
        <v>105</v>
      </c>
    </row>
    <row r="133" spans="1:15" x14ac:dyDescent="0.35">
      <c r="A133" s="2">
        <v>282</v>
      </c>
      <c r="B133" s="1">
        <v>44843</v>
      </c>
      <c r="C133" s="2" t="s">
        <v>16</v>
      </c>
      <c r="D133" s="2" t="s">
        <v>42</v>
      </c>
      <c r="E133" s="2" t="s">
        <v>59</v>
      </c>
      <c r="F133" s="2" t="s">
        <v>47</v>
      </c>
      <c r="G133" s="2" t="s">
        <v>60</v>
      </c>
      <c r="H133" s="2" t="s">
        <v>54</v>
      </c>
      <c r="I133" s="3">
        <v>19.200015</v>
      </c>
      <c r="J133" s="3">
        <v>72.75</v>
      </c>
      <c r="K133" s="3">
        <v>4.2511500000000009</v>
      </c>
      <c r="L133" s="2">
        <v>24</v>
      </c>
      <c r="M133" s="2">
        <v>34</v>
      </c>
      <c r="N133" s="2">
        <f t="shared" si="2"/>
        <v>58</v>
      </c>
      <c r="O133" s="2" t="s">
        <v>105</v>
      </c>
    </row>
    <row r="134" spans="1:15" x14ac:dyDescent="0.35">
      <c r="A134" s="2">
        <v>131</v>
      </c>
      <c r="B134" s="1">
        <v>44692</v>
      </c>
      <c r="C134" s="2" t="s">
        <v>14</v>
      </c>
      <c r="D134" s="2" t="s">
        <v>37</v>
      </c>
      <c r="E134" s="2" t="s">
        <v>59</v>
      </c>
      <c r="F134" s="2" t="s">
        <v>50</v>
      </c>
      <c r="G134" s="2" t="s">
        <v>5</v>
      </c>
      <c r="H134" s="2" t="s">
        <v>54</v>
      </c>
      <c r="I134" s="3">
        <v>17.100000000000001</v>
      </c>
      <c r="J134" s="3">
        <v>63.291699999999992</v>
      </c>
      <c r="K134" s="3">
        <v>8.0830140000000004</v>
      </c>
      <c r="L134" s="2">
        <v>4</v>
      </c>
      <c r="M134" s="2">
        <v>55</v>
      </c>
      <c r="N134" s="2">
        <f t="shared" si="2"/>
        <v>59</v>
      </c>
      <c r="O134" s="2" t="s">
        <v>105</v>
      </c>
    </row>
    <row r="135" spans="1:15" x14ac:dyDescent="0.35">
      <c r="A135" s="2">
        <v>231</v>
      </c>
      <c r="B135" s="1">
        <v>44792</v>
      </c>
      <c r="C135" s="2" t="s">
        <v>15</v>
      </c>
      <c r="D135" s="2" t="s">
        <v>40</v>
      </c>
      <c r="E135" s="2" t="s">
        <v>59</v>
      </c>
      <c r="F135" s="2" t="s">
        <v>52</v>
      </c>
      <c r="G135" s="2" t="s">
        <v>5</v>
      </c>
      <c r="H135" s="2" t="s">
        <v>55</v>
      </c>
      <c r="I135" s="3">
        <v>23.475014999999999</v>
      </c>
      <c r="J135" s="3">
        <v>72.291700000000006</v>
      </c>
      <c r="K135" s="3">
        <v>9.3336359999999985</v>
      </c>
      <c r="L135" s="2">
        <v>12</v>
      </c>
      <c r="M135" s="2">
        <v>47</v>
      </c>
      <c r="N135" s="2">
        <f t="shared" si="2"/>
        <v>59</v>
      </c>
      <c r="O135" s="2" t="s">
        <v>105</v>
      </c>
    </row>
    <row r="136" spans="1:15" x14ac:dyDescent="0.35">
      <c r="A136" s="2">
        <v>181</v>
      </c>
      <c r="B136" s="1">
        <v>44742</v>
      </c>
      <c r="C136" s="2" t="s">
        <v>15</v>
      </c>
      <c r="D136" s="2" t="s">
        <v>38</v>
      </c>
      <c r="E136" s="2" t="s">
        <v>59</v>
      </c>
      <c r="F136" s="2" t="s">
        <v>51</v>
      </c>
      <c r="G136" s="2" t="s">
        <v>5</v>
      </c>
      <c r="H136" s="2" t="s">
        <v>54</v>
      </c>
      <c r="I136" s="3">
        <v>14.025015000000002</v>
      </c>
      <c r="J136" s="3">
        <v>43.416700000000006</v>
      </c>
      <c r="K136" s="3">
        <v>12.415904000000001</v>
      </c>
      <c r="L136" s="2">
        <v>10</v>
      </c>
      <c r="M136" s="2">
        <v>50</v>
      </c>
      <c r="N136" s="2">
        <f t="shared" si="2"/>
        <v>60</v>
      </c>
      <c r="O136" s="2" t="s">
        <v>105</v>
      </c>
    </row>
    <row r="137" spans="1:15" x14ac:dyDescent="0.35">
      <c r="A137" s="2">
        <v>138</v>
      </c>
      <c r="B137" s="1">
        <v>44699</v>
      </c>
      <c r="C137" s="2" t="s">
        <v>14</v>
      </c>
      <c r="D137" s="2" t="s">
        <v>37</v>
      </c>
      <c r="E137" s="2" t="s">
        <v>59</v>
      </c>
      <c r="F137" s="2" t="s">
        <v>50</v>
      </c>
      <c r="G137" s="2" t="s">
        <v>5</v>
      </c>
      <c r="H137" s="2" t="s">
        <v>55</v>
      </c>
      <c r="I137" s="3">
        <v>15.375014999999999</v>
      </c>
      <c r="J137" s="3">
        <v>87</v>
      </c>
      <c r="K137" s="3">
        <v>13.499964</v>
      </c>
      <c r="L137" s="2">
        <v>3</v>
      </c>
      <c r="M137" s="2">
        <v>58</v>
      </c>
      <c r="N137" s="2">
        <f t="shared" si="2"/>
        <v>61</v>
      </c>
      <c r="O137" s="2" t="s">
        <v>105</v>
      </c>
    </row>
    <row r="138" spans="1:15" x14ac:dyDescent="0.35">
      <c r="A138" s="2">
        <v>147</v>
      </c>
      <c r="B138" s="1">
        <v>44708</v>
      </c>
      <c r="C138" s="2" t="s">
        <v>14</v>
      </c>
      <c r="D138" s="2" t="s">
        <v>37</v>
      </c>
      <c r="E138" s="2" t="s">
        <v>59</v>
      </c>
      <c r="F138" s="2" t="s">
        <v>52</v>
      </c>
      <c r="G138" s="2" t="s">
        <v>5</v>
      </c>
      <c r="H138" s="2" t="s">
        <v>54</v>
      </c>
      <c r="I138" s="3">
        <v>16.912485</v>
      </c>
      <c r="J138" s="3">
        <v>65.375</v>
      </c>
      <c r="K138" s="3">
        <v>16.125492999999999</v>
      </c>
      <c r="L138" s="2">
        <v>25</v>
      </c>
      <c r="M138" s="2">
        <v>36</v>
      </c>
      <c r="N138" s="2">
        <f t="shared" si="2"/>
        <v>61</v>
      </c>
      <c r="O138" s="2" t="s">
        <v>105</v>
      </c>
    </row>
    <row r="139" spans="1:15" x14ac:dyDescent="0.35">
      <c r="A139" s="2">
        <v>148</v>
      </c>
      <c r="B139" s="1">
        <v>44709</v>
      </c>
      <c r="C139" s="2" t="s">
        <v>14</v>
      </c>
      <c r="D139" s="2" t="s">
        <v>37</v>
      </c>
      <c r="E139" s="2" t="s">
        <v>59</v>
      </c>
      <c r="F139" s="2" t="s">
        <v>53</v>
      </c>
      <c r="G139" s="2" t="s">
        <v>60</v>
      </c>
      <c r="H139" s="2" t="s">
        <v>54</v>
      </c>
      <c r="I139" s="3">
        <v>20.662514999999999</v>
      </c>
      <c r="J139" s="3">
        <v>72.958299999999994</v>
      </c>
      <c r="K139" s="3">
        <v>15.416164</v>
      </c>
      <c r="L139" s="2">
        <v>16</v>
      </c>
      <c r="M139" s="2">
        <v>45</v>
      </c>
      <c r="N139" s="2">
        <f t="shared" si="2"/>
        <v>61</v>
      </c>
      <c r="O139" s="2" t="s">
        <v>105</v>
      </c>
    </row>
    <row r="140" spans="1:15" x14ac:dyDescent="0.35">
      <c r="A140" s="2">
        <v>173</v>
      </c>
      <c r="B140" s="1">
        <v>44734</v>
      </c>
      <c r="C140" s="2" t="s">
        <v>15</v>
      </c>
      <c r="D140" s="2" t="s">
        <v>38</v>
      </c>
      <c r="E140" s="2" t="s">
        <v>59</v>
      </c>
      <c r="F140" s="2" t="s">
        <v>50</v>
      </c>
      <c r="G140" s="2" t="s">
        <v>5</v>
      </c>
      <c r="H140" s="2" t="s">
        <v>54</v>
      </c>
      <c r="I140" s="3">
        <v>19.049985</v>
      </c>
      <c r="J140" s="3">
        <v>70.75</v>
      </c>
      <c r="K140" s="3">
        <v>11.541554</v>
      </c>
      <c r="L140" s="2">
        <v>5</v>
      </c>
      <c r="M140" s="2">
        <v>57</v>
      </c>
      <c r="N140" s="2">
        <f t="shared" si="2"/>
        <v>62</v>
      </c>
      <c r="O140" s="2" t="s">
        <v>105</v>
      </c>
    </row>
    <row r="141" spans="1:15" x14ac:dyDescent="0.35">
      <c r="A141" s="2">
        <v>260</v>
      </c>
      <c r="B141" s="1">
        <v>44821</v>
      </c>
      <c r="C141" s="2" t="s">
        <v>16</v>
      </c>
      <c r="D141" s="2" t="s">
        <v>41</v>
      </c>
      <c r="E141" s="2" t="s">
        <v>59</v>
      </c>
      <c r="F141" s="2" t="s">
        <v>53</v>
      </c>
      <c r="G141" s="2" t="s">
        <v>60</v>
      </c>
      <c r="H141" s="2" t="s">
        <v>55</v>
      </c>
      <c r="I141" s="3">
        <v>21.262499999999999</v>
      </c>
      <c r="J141" s="3">
        <v>71.833299999999994</v>
      </c>
      <c r="K141" s="3">
        <v>12.708225000000001</v>
      </c>
      <c r="L141" s="2">
        <v>28</v>
      </c>
      <c r="M141" s="2">
        <v>34</v>
      </c>
      <c r="N141" s="2">
        <f t="shared" si="2"/>
        <v>62</v>
      </c>
      <c r="O141" s="2" t="s">
        <v>105</v>
      </c>
    </row>
    <row r="142" spans="1:15" x14ac:dyDescent="0.35">
      <c r="A142" s="2">
        <v>279</v>
      </c>
      <c r="B142" s="1">
        <v>44840</v>
      </c>
      <c r="C142" s="2" t="s">
        <v>16</v>
      </c>
      <c r="D142" s="2" t="s">
        <v>42</v>
      </c>
      <c r="E142" s="2" t="s">
        <v>59</v>
      </c>
      <c r="F142" s="2" t="s">
        <v>51</v>
      </c>
      <c r="G142" s="2" t="s">
        <v>5</v>
      </c>
      <c r="H142" s="2" t="s">
        <v>54</v>
      </c>
      <c r="I142" s="3">
        <v>19.6875</v>
      </c>
      <c r="J142" s="3">
        <v>62.083299999999994</v>
      </c>
      <c r="K142" s="3">
        <v>9.041917999999999</v>
      </c>
      <c r="L142" s="2">
        <v>11</v>
      </c>
      <c r="M142" s="2">
        <v>51</v>
      </c>
      <c r="N142" s="2">
        <f t="shared" si="2"/>
        <v>62</v>
      </c>
      <c r="O142" s="2" t="s">
        <v>105</v>
      </c>
    </row>
    <row r="143" spans="1:15" x14ac:dyDescent="0.35">
      <c r="A143" s="2">
        <v>276</v>
      </c>
      <c r="B143" s="1">
        <v>44837</v>
      </c>
      <c r="C143" s="2" t="s">
        <v>16</v>
      </c>
      <c r="D143" s="2" t="s">
        <v>42</v>
      </c>
      <c r="E143" s="2" t="s">
        <v>59</v>
      </c>
      <c r="F143" s="2" t="s">
        <v>48</v>
      </c>
      <c r="G143" s="2" t="s">
        <v>5</v>
      </c>
      <c r="H143" s="2" t="s">
        <v>55</v>
      </c>
      <c r="I143" s="3">
        <v>25.799985</v>
      </c>
      <c r="J143" s="3">
        <v>76.083299999999994</v>
      </c>
      <c r="K143" s="3">
        <v>5.5841685999999999</v>
      </c>
      <c r="L143" s="2">
        <v>15</v>
      </c>
      <c r="M143" s="2">
        <v>48</v>
      </c>
      <c r="N143" s="2">
        <f t="shared" si="2"/>
        <v>63</v>
      </c>
      <c r="O143" s="2" t="s">
        <v>105</v>
      </c>
    </row>
    <row r="144" spans="1:15" x14ac:dyDescent="0.35">
      <c r="A144" s="2">
        <v>287</v>
      </c>
      <c r="B144" s="1">
        <v>44848</v>
      </c>
      <c r="C144" s="2" t="s">
        <v>16</v>
      </c>
      <c r="D144" s="2" t="s">
        <v>42</v>
      </c>
      <c r="E144" s="2" t="s">
        <v>59</v>
      </c>
      <c r="F144" s="2" t="s">
        <v>52</v>
      </c>
      <c r="G144" s="2" t="s">
        <v>5</v>
      </c>
      <c r="H144" s="2" t="s">
        <v>55</v>
      </c>
      <c r="I144" s="3">
        <v>20.100014999999999</v>
      </c>
      <c r="J144" s="3">
        <v>71.625</v>
      </c>
      <c r="K144" s="3">
        <v>15.000161</v>
      </c>
      <c r="L144" s="2">
        <v>13</v>
      </c>
      <c r="M144" s="2">
        <v>50</v>
      </c>
      <c r="N144" s="2">
        <f t="shared" si="2"/>
        <v>63</v>
      </c>
      <c r="O144" s="2" t="s">
        <v>105</v>
      </c>
    </row>
    <row r="145" spans="1:15" x14ac:dyDescent="0.35">
      <c r="A145" s="2">
        <v>161</v>
      </c>
      <c r="B145" s="1">
        <v>44722</v>
      </c>
      <c r="C145" s="2" t="s">
        <v>15</v>
      </c>
      <c r="D145" s="2" t="s">
        <v>38</v>
      </c>
      <c r="E145" s="2" t="s">
        <v>59</v>
      </c>
      <c r="F145" s="2" t="s">
        <v>52</v>
      </c>
      <c r="G145" s="2" t="s">
        <v>5</v>
      </c>
      <c r="H145" s="2" t="s">
        <v>54</v>
      </c>
      <c r="I145" s="3">
        <v>12.375000000000002</v>
      </c>
      <c r="J145" s="3">
        <v>60.5</v>
      </c>
      <c r="K145" s="3">
        <v>9.4171180000000003</v>
      </c>
      <c r="L145" s="2">
        <v>10</v>
      </c>
      <c r="M145" s="2">
        <v>54</v>
      </c>
      <c r="N145" s="2">
        <f t="shared" si="2"/>
        <v>64</v>
      </c>
      <c r="O145" s="2" t="s">
        <v>105</v>
      </c>
    </row>
    <row r="146" spans="1:15" x14ac:dyDescent="0.35">
      <c r="A146" s="2">
        <v>291</v>
      </c>
      <c r="B146" s="1">
        <v>44852</v>
      </c>
      <c r="C146" s="2" t="s">
        <v>16</v>
      </c>
      <c r="D146" s="2" t="s">
        <v>42</v>
      </c>
      <c r="E146" s="2" t="s">
        <v>59</v>
      </c>
      <c r="F146" s="2" t="s">
        <v>49</v>
      </c>
      <c r="G146" s="2" t="s">
        <v>5</v>
      </c>
      <c r="H146" s="2" t="s">
        <v>55</v>
      </c>
      <c r="I146" s="3">
        <v>22.762484999999998</v>
      </c>
      <c r="J146" s="3">
        <v>70.166700000000006</v>
      </c>
      <c r="K146" s="3">
        <v>7.3758290000000004</v>
      </c>
      <c r="L146" s="2">
        <v>8</v>
      </c>
      <c r="M146" s="2">
        <v>56</v>
      </c>
      <c r="N146" s="2">
        <f t="shared" si="2"/>
        <v>64</v>
      </c>
      <c r="O146" s="2" t="s">
        <v>105</v>
      </c>
    </row>
    <row r="147" spans="1:15" x14ac:dyDescent="0.35">
      <c r="A147" s="2">
        <v>259</v>
      </c>
      <c r="B147" s="1">
        <v>44820</v>
      </c>
      <c r="C147" s="2" t="s">
        <v>16</v>
      </c>
      <c r="D147" s="2" t="s">
        <v>41</v>
      </c>
      <c r="E147" s="2" t="s">
        <v>59</v>
      </c>
      <c r="F147" s="2" t="s">
        <v>52</v>
      </c>
      <c r="G147" s="2" t="s">
        <v>5</v>
      </c>
      <c r="H147" s="2" t="s">
        <v>55</v>
      </c>
      <c r="I147" s="3">
        <v>24.3</v>
      </c>
      <c r="J147" s="3">
        <v>59.041699999999999</v>
      </c>
      <c r="K147" s="3">
        <v>11.000261</v>
      </c>
      <c r="L147" s="2">
        <v>18</v>
      </c>
      <c r="M147" s="2">
        <v>47</v>
      </c>
      <c r="N147" s="2">
        <f t="shared" si="2"/>
        <v>65</v>
      </c>
      <c r="O147" s="2" t="s">
        <v>105</v>
      </c>
    </row>
    <row r="148" spans="1:15" x14ac:dyDescent="0.35">
      <c r="A148" s="2">
        <v>275</v>
      </c>
      <c r="B148" s="1">
        <v>44836</v>
      </c>
      <c r="C148" s="2" t="s">
        <v>16</v>
      </c>
      <c r="D148" s="2" t="s">
        <v>42</v>
      </c>
      <c r="E148" s="2" t="s">
        <v>59</v>
      </c>
      <c r="F148" s="2" t="s">
        <v>47</v>
      </c>
      <c r="G148" s="2" t="s">
        <v>60</v>
      </c>
      <c r="H148" s="2" t="s">
        <v>55</v>
      </c>
      <c r="I148" s="3">
        <v>17.024984999999997</v>
      </c>
      <c r="J148" s="3">
        <v>79.166700000000006</v>
      </c>
      <c r="K148" s="3">
        <v>14.874870999999999</v>
      </c>
      <c r="L148" s="2">
        <v>33</v>
      </c>
      <c r="M148" s="2">
        <v>32</v>
      </c>
      <c r="N148" s="2">
        <f t="shared" si="2"/>
        <v>65</v>
      </c>
      <c r="O148" s="2" t="s">
        <v>105</v>
      </c>
    </row>
    <row r="149" spans="1:15" x14ac:dyDescent="0.35">
      <c r="A149" s="2">
        <v>21</v>
      </c>
      <c r="B149" s="1">
        <v>44582</v>
      </c>
      <c r="C149" s="2" t="s">
        <v>13</v>
      </c>
      <c r="D149" s="2" t="s">
        <v>33</v>
      </c>
      <c r="E149" s="2" t="s">
        <v>59</v>
      </c>
      <c r="F149" s="2" t="s">
        <v>52</v>
      </c>
      <c r="G149" s="2" t="s">
        <v>5</v>
      </c>
      <c r="H149" s="2" t="s">
        <v>54</v>
      </c>
      <c r="I149" s="3">
        <v>38.212515000000003</v>
      </c>
      <c r="J149" s="3">
        <v>45.708300000000001</v>
      </c>
      <c r="K149" s="3">
        <v>23.667214000000001</v>
      </c>
      <c r="L149" s="2">
        <v>20</v>
      </c>
      <c r="M149" s="2">
        <v>46</v>
      </c>
      <c r="N149" s="2">
        <f t="shared" si="2"/>
        <v>66</v>
      </c>
      <c r="O149" s="2" t="s">
        <v>105</v>
      </c>
    </row>
    <row r="150" spans="1:15" x14ac:dyDescent="0.35">
      <c r="A150" s="2">
        <v>159</v>
      </c>
      <c r="B150" s="1">
        <v>44720</v>
      </c>
      <c r="C150" s="2" t="s">
        <v>15</v>
      </c>
      <c r="D150" s="2" t="s">
        <v>38</v>
      </c>
      <c r="E150" s="2" t="s">
        <v>59</v>
      </c>
      <c r="F150" s="2" t="s">
        <v>50</v>
      </c>
      <c r="G150" s="2" t="s">
        <v>5</v>
      </c>
      <c r="H150" s="2" t="s">
        <v>54</v>
      </c>
      <c r="I150" s="3">
        <v>11.962484999999999</v>
      </c>
      <c r="J150" s="3">
        <v>62.208300000000008</v>
      </c>
      <c r="K150" s="3">
        <v>9.1667389999999997</v>
      </c>
      <c r="L150" s="2">
        <v>3</v>
      </c>
      <c r="M150" s="2">
        <v>63</v>
      </c>
      <c r="N150" s="2">
        <f t="shared" si="2"/>
        <v>66</v>
      </c>
      <c r="O150" s="2" t="s">
        <v>105</v>
      </c>
    </row>
    <row r="151" spans="1:15" x14ac:dyDescent="0.35">
      <c r="A151" s="2">
        <v>163</v>
      </c>
      <c r="B151" s="1">
        <v>44724</v>
      </c>
      <c r="C151" s="2" t="s">
        <v>15</v>
      </c>
      <c r="D151" s="2" t="s">
        <v>38</v>
      </c>
      <c r="E151" s="2" t="s">
        <v>59</v>
      </c>
      <c r="F151" s="2" t="s">
        <v>47</v>
      </c>
      <c r="G151" s="2" t="s">
        <v>60</v>
      </c>
      <c r="H151" s="2" t="s">
        <v>54</v>
      </c>
      <c r="I151" s="3">
        <v>10.724985</v>
      </c>
      <c r="J151" s="3">
        <v>74.791700000000006</v>
      </c>
      <c r="K151" s="3">
        <v>10.958988999999999</v>
      </c>
      <c r="L151" s="2">
        <v>3</v>
      </c>
      <c r="M151" s="2">
        <v>63</v>
      </c>
      <c r="N151" s="2">
        <f t="shared" si="2"/>
        <v>66</v>
      </c>
      <c r="O151" s="2" t="s">
        <v>105</v>
      </c>
    </row>
    <row r="152" spans="1:15" x14ac:dyDescent="0.35">
      <c r="A152" s="2">
        <v>286</v>
      </c>
      <c r="B152" s="1">
        <v>44847</v>
      </c>
      <c r="C152" s="2" t="s">
        <v>16</v>
      </c>
      <c r="D152" s="2" t="s">
        <v>42</v>
      </c>
      <c r="E152" s="2" t="s">
        <v>59</v>
      </c>
      <c r="F152" s="2" t="s">
        <v>51</v>
      </c>
      <c r="G152" s="2" t="s">
        <v>5</v>
      </c>
      <c r="H152" s="2" t="s">
        <v>55</v>
      </c>
      <c r="I152" s="3">
        <v>21.037500000000001</v>
      </c>
      <c r="J152" s="3">
        <v>89.666700000000006</v>
      </c>
      <c r="K152" s="3">
        <v>9.4997290000000003</v>
      </c>
      <c r="L152" s="2">
        <v>11</v>
      </c>
      <c r="M152" s="2">
        <v>55</v>
      </c>
      <c r="N152" s="2">
        <f t="shared" si="2"/>
        <v>66</v>
      </c>
      <c r="O152" s="2" t="s">
        <v>105</v>
      </c>
    </row>
    <row r="153" spans="1:15" x14ac:dyDescent="0.35">
      <c r="A153" s="2">
        <v>65</v>
      </c>
      <c r="B153" s="1">
        <v>44626</v>
      </c>
      <c r="C153" s="2" t="s">
        <v>14</v>
      </c>
      <c r="D153" s="2" t="s">
        <v>35</v>
      </c>
      <c r="E153" s="2" t="s">
        <v>59</v>
      </c>
      <c r="F153" s="2" t="s">
        <v>47</v>
      </c>
      <c r="G153" s="2" t="s">
        <v>60</v>
      </c>
      <c r="H153" s="2" t="s">
        <v>55</v>
      </c>
      <c r="I153" s="3">
        <v>30.299985</v>
      </c>
      <c r="J153" s="3">
        <v>94.826099999999997</v>
      </c>
      <c r="K153" s="3">
        <v>23.000229000000001</v>
      </c>
      <c r="L153" s="2">
        <v>25</v>
      </c>
      <c r="M153" s="2">
        <v>42</v>
      </c>
      <c r="N153" s="2">
        <f t="shared" si="2"/>
        <v>67</v>
      </c>
      <c r="O153" s="2" t="s">
        <v>105</v>
      </c>
    </row>
    <row r="154" spans="1:15" x14ac:dyDescent="0.35">
      <c r="A154" s="2">
        <v>120</v>
      </c>
      <c r="B154" s="1">
        <v>44681</v>
      </c>
      <c r="C154" s="2" t="s">
        <v>14</v>
      </c>
      <c r="D154" s="2" t="s">
        <v>36</v>
      </c>
      <c r="E154" s="2" t="s">
        <v>59</v>
      </c>
      <c r="F154" s="2" t="s">
        <v>53</v>
      </c>
      <c r="G154" s="2" t="s">
        <v>60</v>
      </c>
      <c r="H154" s="2" t="s">
        <v>54</v>
      </c>
      <c r="I154" s="3">
        <v>14.362514999999998</v>
      </c>
      <c r="J154" s="3">
        <v>50.333300000000001</v>
      </c>
      <c r="K154" s="3">
        <v>15.750025000000001</v>
      </c>
      <c r="L154" s="2">
        <v>18</v>
      </c>
      <c r="M154" s="2">
        <v>49</v>
      </c>
      <c r="N154" s="2">
        <f t="shared" si="2"/>
        <v>67</v>
      </c>
      <c r="O154" s="2" t="s">
        <v>105</v>
      </c>
    </row>
    <row r="155" spans="1:15" x14ac:dyDescent="0.35">
      <c r="A155" s="2">
        <v>283</v>
      </c>
      <c r="B155" s="1">
        <v>44844</v>
      </c>
      <c r="C155" s="2" t="s">
        <v>16</v>
      </c>
      <c r="D155" s="2" t="s">
        <v>42</v>
      </c>
      <c r="E155" s="2" t="s">
        <v>3</v>
      </c>
      <c r="F155" s="2" t="s">
        <v>48</v>
      </c>
      <c r="G155" s="2" t="s">
        <v>60</v>
      </c>
      <c r="H155" s="2" t="s">
        <v>54</v>
      </c>
      <c r="I155" s="3">
        <v>26.80434</v>
      </c>
      <c r="J155" s="3">
        <v>73.375</v>
      </c>
      <c r="K155" s="3">
        <v>2.8343813999999998</v>
      </c>
      <c r="L155" s="2">
        <v>17</v>
      </c>
      <c r="M155" s="2">
        <v>50</v>
      </c>
      <c r="N155" s="2">
        <f t="shared" si="2"/>
        <v>67</v>
      </c>
      <c r="O155" s="2" t="s">
        <v>105</v>
      </c>
    </row>
    <row r="156" spans="1:15" x14ac:dyDescent="0.35">
      <c r="A156" s="2">
        <v>303</v>
      </c>
      <c r="B156" s="1">
        <v>44864</v>
      </c>
      <c r="C156" s="2" t="s">
        <v>16</v>
      </c>
      <c r="D156" s="2" t="s">
        <v>42</v>
      </c>
      <c r="E156" s="2" t="s">
        <v>59</v>
      </c>
      <c r="F156" s="2" t="s">
        <v>47</v>
      </c>
      <c r="G156" s="2" t="s">
        <v>60</v>
      </c>
      <c r="H156" s="2" t="s">
        <v>54</v>
      </c>
      <c r="I156" s="3">
        <v>20.325015</v>
      </c>
      <c r="J156" s="3">
        <v>62.375</v>
      </c>
      <c r="K156" s="3">
        <v>11.833339</v>
      </c>
      <c r="L156" s="2">
        <v>23</v>
      </c>
      <c r="M156" s="2">
        <v>44</v>
      </c>
      <c r="N156" s="2">
        <f t="shared" si="2"/>
        <v>67</v>
      </c>
      <c r="O156" s="2" t="s">
        <v>105</v>
      </c>
    </row>
    <row r="157" spans="1:15" x14ac:dyDescent="0.35">
      <c r="A157" s="2">
        <v>20</v>
      </c>
      <c r="B157" s="1">
        <v>44581</v>
      </c>
      <c r="C157" s="2" t="s">
        <v>13</v>
      </c>
      <c r="D157" s="2" t="s">
        <v>33</v>
      </c>
      <c r="E157" s="2" t="s">
        <v>59</v>
      </c>
      <c r="F157" s="2" t="s">
        <v>51</v>
      </c>
      <c r="G157" s="2" t="s">
        <v>5</v>
      </c>
      <c r="H157" s="2" t="s">
        <v>55</v>
      </c>
      <c r="I157" s="3">
        <v>38.174985</v>
      </c>
      <c r="J157" s="3">
        <v>53.833299999999994</v>
      </c>
      <c r="K157" s="3">
        <v>13.125567999999999</v>
      </c>
      <c r="L157" s="2">
        <v>11</v>
      </c>
      <c r="M157" s="2">
        <v>57</v>
      </c>
      <c r="N157" s="2">
        <f t="shared" si="2"/>
        <v>68</v>
      </c>
      <c r="O157" s="2" t="s">
        <v>105</v>
      </c>
    </row>
    <row r="158" spans="1:15" x14ac:dyDescent="0.35">
      <c r="A158" s="2">
        <v>132</v>
      </c>
      <c r="B158" s="1">
        <v>44693</v>
      </c>
      <c r="C158" s="2" t="s">
        <v>14</v>
      </c>
      <c r="D158" s="2" t="s">
        <v>37</v>
      </c>
      <c r="E158" s="2" t="s">
        <v>59</v>
      </c>
      <c r="F158" s="2" t="s">
        <v>51</v>
      </c>
      <c r="G158" s="2" t="s">
        <v>5</v>
      </c>
      <c r="H158" s="2" t="s">
        <v>54</v>
      </c>
      <c r="I158" s="3">
        <v>14.587515</v>
      </c>
      <c r="J158" s="3">
        <v>74.75</v>
      </c>
      <c r="K158" s="3">
        <v>12.707689</v>
      </c>
      <c r="L158" s="2">
        <v>9</v>
      </c>
      <c r="M158" s="2">
        <v>59</v>
      </c>
      <c r="N158" s="2">
        <f t="shared" si="2"/>
        <v>68</v>
      </c>
      <c r="O158" s="2" t="s">
        <v>105</v>
      </c>
    </row>
    <row r="159" spans="1:15" x14ac:dyDescent="0.35">
      <c r="A159" s="2">
        <v>139</v>
      </c>
      <c r="B159" s="1">
        <v>44700</v>
      </c>
      <c r="C159" s="2" t="s">
        <v>14</v>
      </c>
      <c r="D159" s="2" t="s">
        <v>37</v>
      </c>
      <c r="E159" s="2" t="s">
        <v>59</v>
      </c>
      <c r="F159" s="2" t="s">
        <v>51</v>
      </c>
      <c r="G159" s="2" t="s">
        <v>5</v>
      </c>
      <c r="H159" s="2" t="s">
        <v>55</v>
      </c>
      <c r="I159" s="3">
        <v>12.337515</v>
      </c>
      <c r="J159" s="3">
        <v>82.958299999999994</v>
      </c>
      <c r="K159" s="3">
        <v>7.2502710000000006</v>
      </c>
      <c r="L159" s="2">
        <v>5</v>
      </c>
      <c r="M159" s="2">
        <v>63</v>
      </c>
      <c r="N159" s="2">
        <f t="shared" si="2"/>
        <v>68</v>
      </c>
      <c r="O159" s="2" t="s">
        <v>105</v>
      </c>
    </row>
    <row r="160" spans="1:15" x14ac:dyDescent="0.35">
      <c r="A160" s="2">
        <v>170</v>
      </c>
      <c r="B160" s="1">
        <v>44731</v>
      </c>
      <c r="C160" s="2" t="s">
        <v>15</v>
      </c>
      <c r="D160" s="2" t="s">
        <v>38</v>
      </c>
      <c r="E160" s="2" t="s">
        <v>59</v>
      </c>
      <c r="F160" s="2" t="s">
        <v>47</v>
      </c>
      <c r="G160" s="2" t="s">
        <v>60</v>
      </c>
      <c r="H160" s="2" t="s">
        <v>55</v>
      </c>
      <c r="I160" s="3">
        <v>12.450015</v>
      </c>
      <c r="J160" s="3">
        <v>66.666700000000006</v>
      </c>
      <c r="K160" s="3">
        <v>6.8339999999999996</v>
      </c>
      <c r="L160" s="2">
        <v>5</v>
      </c>
      <c r="M160" s="2">
        <v>63</v>
      </c>
      <c r="N160" s="2">
        <f t="shared" si="2"/>
        <v>68</v>
      </c>
      <c r="O160" s="2" t="s">
        <v>105</v>
      </c>
    </row>
    <row r="161" spans="1:15" x14ac:dyDescent="0.35">
      <c r="A161" s="2">
        <v>290</v>
      </c>
      <c r="B161" s="1">
        <v>44851</v>
      </c>
      <c r="C161" s="2" t="s">
        <v>16</v>
      </c>
      <c r="D161" s="2" t="s">
        <v>42</v>
      </c>
      <c r="E161" s="2" t="s">
        <v>59</v>
      </c>
      <c r="F161" s="2" t="s">
        <v>48</v>
      </c>
      <c r="G161" s="2" t="s">
        <v>5</v>
      </c>
      <c r="H161" s="2" t="s">
        <v>54</v>
      </c>
      <c r="I161" s="3">
        <v>23.062499999999996</v>
      </c>
      <c r="J161" s="3">
        <v>57.958299999999994</v>
      </c>
      <c r="K161" s="3">
        <v>11.750393000000001</v>
      </c>
      <c r="L161" s="2">
        <v>13</v>
      </c>
      <c r="M161" s="2">
        <v>55</v>
      </c>
      <c r="N161" s="2">
        <f t="shared" si="2"/>
        <v>68</v>
      </c>
      <c r="O161" s="2" t="s">
        <v>105</v>
      </c>
    </row>
    <row r="162" spans="1:15" x14ac:dyDescent="0.35">
      <c r="A162" s="2">
        <v>316</v>
      </c>
      <c r="B162" s="1">
        <v>44877</v>
      </c>
      <c r="C162" s="2" t="s">
        <v>16</v>
      </c>
      <c r="D162" s="2" t="s">
        <v>43</v>
      </c>
      <c r="E162" s="2" t="s">
        <v>59</v>
      </c>
      <c r="F162" s="2" t="s">
        <v>53</v>
      </c>
      <c r="G162" s="2" t="s">
        <v>60</v>
      </c>
      <c r="H162" s="2" t="s">
        <v>54</v>
      </c>
      <c r="I162" s="3">
        <v>23.437484999999999</v>
      </c>
      <c r="J162" s="3">
        <v>55.291699999999999</v>
      </c>
      <c r="K162" s="3">
        <v>14.208154</v>
      </c>
      <c r="L162" s="2">
        <v>18</v>
      </c>
      <c r="M162" s="2">
        <v>50</v>
      </c>
      <c r="N162" s="2">
        <f t="shared" si="2"/>
        <v>68</v>
      </c>
      <c r="O162" s="2" t="s">
        <v>105</v>
      </c>
    </row>
    <row r="163" spans="1:15" x14ac:dyDescent="0.35">
      <c r="A163" s="2">
        <v>155</v>
      </c>
      <c r="B163" s="1">
        <v>44716</v>
      </c>
      <c r="C163" s="2" t="s">
        <v>15</v>
      </c>
      <c r="D163" s="2" t="s">
        <v>38</v>
      </c>
      <c r="E163" s="2" t="s">
        <v>59</v>
      </c>
      <c r="F163" s="2" t="s">
        <v>53</v>
      </c>
      <c r="G163" s="2" t="s">
        <v>60</v>
      </c>
      <c r="H163" s="2" t="s">
        <v>54</v>
      </c>
      <c r="I163" s="3">
        <v>14.887485</v>
      </c>
      <c r="J163" s="3">
        <v>45.625</v>
      </c>
      <c r="K163" s="3">
        <v>8.2505140000000008</v>
      </c>
      <c r="L163" s="2">
        <v>13</v>
      </c>
      <c r="M163" s="2">
        <v>57</v>
      </c>
      <c r="N163" s="2">
        <f t="shared" si="2"/>
        <v>70</v>
      </c>
      <c r="O163" s="2" t="s">
        <v>106</v>
      </c>
    </row>
    <row r="164" spans="1:15" x14ac:dyDescent="0.35">
      <c r="A164" s="2">
        <v>164</v>
      </c>
      <c r="B164" s="1">
        <v>44725</v>
      </c>
      <c r="C164" s="2" t="s">
        <v>15</v>
      </c>
      <c r="D164" s="2" t="s">
        <v>38</v>
      </c>
      <c r="E164" s="2" t="s">
        <v>59</v>
      </c>
      <c r="F164" s="2" t="s">
        <v>48</v>
      </c>
      <c r="G164" s="2" t="s">
        <v>5</v>
      </c>
      <c r="H164" s="2" t="s">
        <v>54</v>
      </c>
      <c r="I164" s="3">
        <v>12.712499999999999</v>
      </c>
      <c r="J164" s="3">
        <v>49.458300000000001</v>
      </c>
      <c r="K164" s="3">
        <v>20.458449999999999</v>
      </c>
      <c r="L164" s="2">
        <v>3</v>
      </c>
      <c r="M164" s="2">
        <v>67</v>
      </c>
      <c r="N164" s="2">
        <f t="shared" si="2"/>
        <v>70</v>
      </c>
      <c r="O164" s="2" t="s">
        <v>106</v>
      </c>
    </row>
    <row r="165" spans="1:15" x14ac:dyDescent="0.35">
      <c r="A165" s="2">
        <v>32</v>
      </c>
      <c r="B165" s="1">
        <v>44593</v>
      </c>
      <c r="C165" s="2" t="s">
        <v>13</v>
      </c>
      <c r="D165" s="2" t="s">
        <v>34</v>
      </c>
      <c r="E165" s="2" t="s">
        <v>59</v>
      </c>
      <c r="F165" s="2" t="s">
        <v>49</v>
      </c>
      <c r="G165" s="2" t="s">
        <v>5</v>
      </c>
      <c r="H165" s="2" t="s">
        <v>55</v>
      </c>
      <c r="I165" s="3">
        <v>32.925014999999995</v>
      </c>
      <c r="J165" s="3">
        <v>82.956500000000005</v>
      </c>
      <c r="K165" s="3">
        <v>3.5652710000000001</v>
      </c>
      <c r="L165" s="2">
        <v>9</v>
      </c>
      <c r="M165" s="2">
        <v>62</v>
      </c>
      <c r="N165" s="2">
        <f t="shared" si="2"/>
        <v>71</v>
      </c>
      <c r="O165" s="2" t="s">
        <v>106</v>
      </c>
    </row>
    <row r="166" spans="1:15" x14ac:dyDescent="0.35">
      <c r="A166" s="2">
        <v>54</v>
      </c>
      <c r="B166" s="1">
        <v>44615</v>
      </c>
      <c r="C166" s="2" t="s">
        <v>13</v>
      </c>
      <c r="D166" s="2" t="s">
        <v>34</v>
      </c>
      <c r="E166" s="2" t="s">
        <v>59</v>
      </c>
      <c r="F166" s="2" t="s">
        <v>50</v>
      </c>
      <c r="G166" s="2" t="s">
        <v>5</v>
      </c>
      <c r="H166" s="2" t="s">
        <v>54</v>
      </c>
      <c r="I166" s="3">
        <v>30.787514999999999</v>
      </c>
      <c r="J166" s="3">
        <v>42.304299999999998</v>
      </c>
      <c r="K166" s="3">
        <v>6.3055710000000005</v>
      </c>
      <c r="L166" s="2">
        <v>9</v>
      </c>
      <c r="M166" s="2">
        <v>62</v>
      </c>
      <c r="N166" s="2">
        <f t="shared" si="2"/>
        <v>71</v>
      </c>
      <c r="O166" s="2" t="s">
        <v>106</v>
      </c>
    </row>
    <row r="167" spans="1:15" x14ac:dyDescent="0.35">
      <c r="A167" s="2">
        <v>69</v>
      </c>
      <c r="B167" s="1">
        <v>44630</v>
      </c>
      <c r="C167" s="2" t="s">
        <v>14</v>
      </c>
      <c r="D167" s="2" t="s">
        <v>35</v>
      </c>
      <c r="E167" s="2" t="s">
        <v>59</v>
      </c>
      <c r="F167" s="2" t="s">
        <v>51</v>
      </c>
      <c r="G167" s="2" t="s">
        <v>5</v>
      </c>
      <c r="H167" s="2" t="s">
        <v>56</v>
      </c>
      <c r="I167" s="3">
        <v>29.25</v>
      </c>
      <c r="J167" s="3">
        <v>0</v>
      </c>
      <c r="K167" s="3">
        <v>17.545759</v>
      </c>
      <c r="L167" s="2">
        <v>8</v>
      </c>
      <c r="M167" s="2">
        <v>63</v>
      </c>
      <c r="N167" s="2">
        <f t="shared" si="2"/>
        <v>71</v>
      </c>
      <c r="O167" s="2" t="s">
        <v>106</v>
      </c>
    </row>
    <row r="168" spans="1:15" x14ac:dyDescent="0.35">
      <c r="A168" s="2">
        <v>141</v>
      </c>
      <c r="B168" s="1">
        <v>44702</v>
      </c>
      <c r="C168" s="2" t="s">
        <v>14</v>
      </c>
      <c r="D168" s="2" t="s">
        <v>37</v>
      </c>
      <c r="E168" s="2" t="s">
        <v>59</v>
      </c>
      <c r="F168" s="2" t="s">
        <v>53</v>
      </c>
      <c r="G168" s="2" t="s">
        <v>60</v>
      </c>
      <c r="H168" s="2" t="s">
        <v>54</v>
      </c>
      <c r="I168" s="3">
        <v>20.849985</v>
      </c>
      <c r="J168" s="3">
        <v>62.666699999999999</v>
      </c>
      <c r="K168" s="3">
        <v>8.0835499999999989</v>
      </c>
      <c r="L168" s="2">
        <v>16</v>
      </c>
      <c r="M168" s="2">
        <v>55</v>
      </c>
      <c r="N168" s="2">
        <f t="shared" si="2"/>
        <v>71</v>
      </c>
      <c r="O168" s="2" t="s">
        <v>106</v>
      </c>
    </row>
    <row r="169" spans="1:15" x14ac:dyDescent="0.35">
      <c r="A169" s="2">
        <v>22</v>
      </c>
      <c r="B169" s="1">
        <v>44583</v>
      </c>
      <c r="C169" s="2" t="s">
        <v>13</v>
      </c>
      <c r="D169" s="2" t="s">
        <v>33</v>
      </c>
      <c r="E169" s="2" t="s">
        <v>59</v>
      </c>
      <c r="F169" s="2" t="s">
        <v>53</v>
      </c>
      <c r="G169" s="2" t="s">
        <v>60</v>
      </c>
      <c r="H169" s="2" t="s">
        <v>54</v>
      </c>
      <c r="I169" s="3">
        <v>37.35</v>
      </c>
      <c r="J169" s="3">
        <v>40</v>
      </c>
      <c r="K169" s="3">
        <v>11.521990000000001</v>
      </c>
      <c r="L169" s="2">
        <v>21</v>
      </c>
      <c r="M169" s="2">
        <v>51</v>
      </c>
      <c r="N169" s="2">
        <f t="shared" si="2"/>
        <v>72</v>
      </c>
      <c r="O169" s="2" t="s">
        <v>106</v>
      </c>
    </row>
    <row r="170" spans="1:15" x14ac:dyDescent="0.35">
      <c r="A170" s="2">
        <v>93</v>
      </c>
      <c r="B170" s="1">
        <v>44654</v>
      </c>
      <c r="C170" s="2" t="s">
        <v>14</v>
      </c>
      <c r="D170" s="2" t="s">
        <v>36</v>
      </c>
      <c r="E170" s="2" t="s">
        <v>59</v>
      </c>
      <c r="F170" s="2" t="s">
        <v>47</v>
      </c>
      <c r="G170" s="2" t="s">
        <v>60</v>
      </c>
      <c r="H170" s="2" t="s">
        <v>54</v>
      </c>
      <c r="I170" s="3">
        <v>17.287514999999999</v>
      </c>
      <c r="J170" s="3">
        <v>48</v>
      </c>
      <c r="K170" s="3">
        <v>12.208271000000002</v>
      </c>
      <c r="L170" s="2">
        <v>7</v>
      </c>
      <c r="M170" s="2">
        <v>65</v>
      </c>
      <c r="N170" s="2">
        <f t="shared" si="2"/>
        <v>72</v>
      </c>
      <c r="O170" s="2" t="s">
        <v>106</v>
      </c>
    </row>
    <row r="171" spans="1:15" x14ac:dyDescent="0.35">
      <c r="A171" s="2">
        <v>154</v>
      </c>
      <c r="B171" s="1">
        <v>44715</v>
      </c>
      <c r="C171" s="2" t="s">
        <v>15</v>
      </c>
      <c r="D171" s="2" t="s">
        <v>38</v>
      </c>
      <c r="E171" s="2" t="s">
        <v>59</v>
      </c>
      <c r="F171" s="2" t="s">
        <v>52</v>
      </c>
      <c r="G171" s="2" t="s">
        <v>5</v>
      </c>
      <c r="H171" s="2" t="s">
        <v>54</v>
      </c>
      <c r="I171" s="3">
        <v>13.462515000000002</v>
      </c>
      <c r="J171" s="3">
        <v>35.416699999999999</v>
      </c>
      <c r="K171" s="3">
        <v>16.959106999999999</v>
      </c>
      <c r="L171" s="2">
        <v>14</v>
      </c>
      <c r="M171" s="2">
        <v>58</v>
      </c>
      <c r="N171" s="2">
        <f t="shared" si="2"/>
        <v>72</v>
      </c>
      <c r="O171" s="2" t="s">
        <v>106</v>
      </c>
    </row>
    <row r="172" spans="1:15" x14ac:dyDescent="0.35">
      <c r="A172" s="2">
        <v>160</v>
      </c>
      <c r="B172" s="1">
        <v>44721</v>
      </c>
      <c r="C172" s="2" t="s">
        <v>15</v>
      </c>
      <c r="D172" s="2" t="s">
        <v>38</v>
      </c>
      <c r="E172" s="2" t="s">
        <v>59</v>
      </c>
      <c r="F172" s="2" t="s">
        <v>51</v>
      </c>
      <c r="G172" s="2" t="s">
        <v>5</v>
      </c>
      <c r="H172" s="2" t="s">
        <v>55</v>
      </c>
      <c r="I172" s="3">
        <v>13.087485000000001</v>
      </c>
      <c r="J172" s="3">
        <v>56.833299999999994</v>
      </c>
      <c r="K172" s="3">
        <v>10.042161</v>
      </c>
      <c r="L172" s="2">
        <v>5</v>
      </c>
      <c r="M172" s="2">
        <v>67</v>
      </c>
      <c r="N172" s="2">
        <f t="shared" si="2"/>
        <v>72</v>
      </c>
      <c r="O172" s="2" t="s">
        <v>106</v>
      </c>
    </row>
    <row r="173" spans="1:15" x14ac:dyDescent="0.35">
      <c r="A173" s="2">
        <v>167</v>
      </c>
      <c r="B173" s="1">
        <v>44728</v>
      </c>
      <c r="C173" s="2" t="s">
        <v>15</v>
      </c>
      <c r="D173" s="2" t="s">
        <v>38</v>
      </c>
      <c r="E173" s="2" t="s">
        <v>59</v>
      </c>
      <c r="F173" s="2" t="s">
        <v>51</v>
      </c>
      <c r="G173" s="2" t="s">
        <v>5</v>
      </c>
      <c r="H173" s="2" t="s">
        <v>55</v>
      </c>
      <c r="I173" s="3">
        <v>16.875</v>
      </c>
      <c r="J173" s="3">
        <v>68.833299999999994</v>
      </c>
      <c r="K173" s="3">
        <v>13.833556999999999</v>
      </c>
      <c r="L173" s="2">
        <v>4</v>
      </c>
      <c r="M173" s="2">
        <v>68</v>
      </c>
      <c r="N173" s="2">
        <f t="shared" si="2"/>
        <v>72</v>
      </c>
      <c r="O173" s="2" t="s">
        <v>106</v>
      </c>
    </row>
    <row r="174" spans="1:15" x14ac:dyDescent="0.35">
      <c r="A174" s="2">
        <v>80</v>
      </c>
      <c r="B174" s="1">
        <v>44641</v>
      </c>
      <c r="C174" s="2" t="s">
        <v>14</v>
      </c>
      <c r="D174" s="2" t="s">
        <v>35</v>
      </c>
      <c r="E174" s="2" t="s">
        <v>59</v>
      </c>
      <c r="F174" s="2" t="s">
        <v>48</v>
      </c>
      <c r="G174" s="2" t="s">
        <v>5</v>
      </c>
      <c r="H174" s="2" t="s">
        <v>55</v>
      </c>
      <c r="I174" s="3">
        <v>25.275015</v>
      </c>
      <c r="J174" s="3">
        <v>73.739100000000008</v>
      </c>
      <c r="K174" s="3">
        <v>19.348461</v>
      </c>
      <c r="L174" s="2">
        <v>9</v>
      </c>
      <c r="M174" s="2">
        <v>64</v>
      </c>
      <c r="N174" s="2">
        <f t="shared" si="2"/>
        <v>73</v>
      </c>
      <c r="O174" s="2" t="s">
        <v>106</v>
      </c>
    </row>
    <row r="175" spans="1:15" x14ac:dyDescent="0.35">
      <c r="A175" s="2">
        <v>104</v>
      </c>
      <c r="B175" s="1">
        <v>44665</v>
      </c>
      <c r="C175" s="2" t="s">
        <v>14</v>
      </c>
      <c r="D175" s="2" t="s">
        <v>36</v>
      </c>
      <c r="E175" s="2" t="s">
        <v>59</v>
      </c>
      <c r="F175" s="2" t="s">
        <v>51</v>
      </c>
      <c r="G175" s="2" t="s">
        <v>5</v>
      </c>
      <c r="H175" s="2" t="s">
        <v>54</v>
      </c>
      <c r="I175" s="3">
        <v>24.787485</v>
      </c>
      <c r="J175" s="3">
        <v>54.041700000000006</v>
      </c>
      <c r="K175" s="3">
        <v>7.4169</v>
      </c>
      <c r="L175" s="2">
        <v>11</v>
      </c>
      <c r="M175" s="2">
        <v>62</v>
      </c>
      <c r="N175" s="2">
        <f t="shared" si="2"/>
        <v>73</v>
      </c>
      <c r="O175" s="2" t="s">
        <v>106</v>
      </c>
    </row>
    <row r="176" spans="1:15" x14ac:dyDescent="0.35">
      <c r="A176" s="2">
        <v>121</v>
      </c>
      <c r="B176" s="1">
        <v>44682</v>
      </c>
      <c r="C176" s="2" t="s">
        <v>14</v>
      </c>
      <c r="D176" s="2" t="s">
        <v>37</v>
      </c>
      <c r="E176" s="2" t="s">
        <v>59</v>
      </c>
      <c r="F176" s="2" t="s">
        <v>47</v>
      </c>
      <c r="G176" s="2" t="s">
        <v>60</v>
      </c>
      <c r="H176" s="2" t="s">
        <v>55</v>
      </c>
      <c r="I176" s="3">
        <v>15.3</v>
      </c>
      <c r="J176" s="3">
        <v>76.208299999999994</v>
      </c>
      <c r="K176" s="3">
        <v>7.125718</v>
      </c>
      <c r="L176" s="2">
        <v>7</v>
      </c>
      <c r="M176" s="2">
        <v>66</v>
      </c>
      <c r="N176" s="2">
        <f t="shared" si="2"/>
        <v>73</v>
      </c>
      <c r="O176" s="2" t="s">
        <v>106</v>
      </c>
    </row>
    <row r="177" spans="1:15" x14ac:dyDescent="0.35">
      <c r="A177" s="2">
        <v>127</v>
      </c>
      <c r="B177" s="1">
        <v>44688</v>
      </c>
      <c r="C177" s="2" t="s">
        <v>14</v>
      </c>
      <c r="D177" s="2" t="s">
        <v>37</v>
      </c>
      <c r="E177" s="2" t="s">
        <v>59</v>
      </c>
      <c r="F177" s="2" t="s">
        <v>53</v>
      </c>
      <c r="G177" s="2" t="s">
        <v>60</v>
      </c>
      <c r="H177" s="2" t="s">
        <v>54</v>
      </c>
      <c r="I177" s="3">
        <v>15.674985</v>
      </c>
      <c r="J177" s="3">
        <v>54.125</v>
      </c>
      <c r="K177" s="3">
        <v>10.750150000000001</v>
      </c>
      <c r="L177" s="2">
        <v>19</v>
      </c>
      <c r="M177" s="2">
        <v>54</v>
      </c>
      <c r="N177" s="2">
        <f t="shared" si="2"/>
        <v>73</v>
      </c>
      <c r="O177" s="2" t="s">
        <v>106</v>
      </c>
    </row>
    <row r="178" spans="1:15" x14ac:dyDescent="0.35">
      <c r="A178" s="2">
        <v>140</v>
      </c>
      <c r="B178" s="1">
        <v>44701</v>
      </c>
      <c r="C178" s="2" t="s">
        <v>14</v>
      </c>
      <c r="D178" s="2" t="s">
        <v>37</v>
      </c>
      <c r="E178" s="2" t="s">
        <v>59</v>
      </c>
      <c r="F178" s="2" t="s">
        <v>52</v>
      </c>
      <c r="G178" s="2" t="s">
        <v>5</v>
      </c>
      <c r="H178" s="2" t="s">
        <v>54</v>
      </c>
      <c r="I178" s="3">
        <v>14.812514999999999</v>
      </c>
      <c r="J178" s="3">
        <v>71.958299999999994</v>
      </c>
      <c r="K178" s="3">
        <v>8.3758710000000001</v>
      </c>
      <c r="L178" s="2">
        <v>19</v>
      </c>
      <c r="M178" s="2">
        <v>54</v>
      </c>
      <c r="N178" s="2">
        <f t="shared" si="2"/>
        <v>73</v>
      </c>
      <c r="O178" s="2" t="s">
        <v>106</v>
      </c>
    </row>
    <row r="179" spans="1:15" x14ac:dyDescent="0.35">
      <c r="A179" s="2">
        <v>151</v>
      </c>
      <c r="B179" s="1">
        <v>44712</v>
      </c>
      <c r="C179" s="2" t="s">
        <v>14</v>
      </c>
      <c r="D179" s="2" t="s">
        <v>37</v>
      </c>
      <c r="E179" s="2" t="s">
        <v>59</v>
      </c>
      <c r="F179" s="2" t="s">
        <v>49</v>
      </c>
      <c r="G179" s="2" t="s">
        <v>5</v>
      </c>
      <c r="H179" s="2" t="s">
        <v>54</v>
      </c>
      <c r="I179" s="3">
        <v>14.625</v>
      </c>
      <c r="J179" s="3">
        <v>63.666699999999999</v>
      </c>
      <c r="K179" s="3">
        <v>7.4590429999999994</v>
      </c>
      <c r="L179" s="2">
        <v>4</v>
      </c>
      <c r="M179" s="2">
        <v>69</v>
      </c>
      <c r="N179" s="2">
        <f t="shared" si="2"/>
        <v>73</v>
      </c>
      <c r="O179" s="2" t="s">
        <v>106</v>
      </c>
    </row>
    <row r="180" spans="1:15" x14ac:dyDescent="0.35">
      <c r="A180" s="2">
        <v>75</v>
      </c>
      <c r="B180" s="1">
        <v>44636</v>
      </c>
      <c r="C180" s="2" t="s">
        <v>14</v>
      </c>
      <c r="D180" s="2" t="s">
        <v>35</v>
      </c>
      <c r="E180" s="2" t="s">
        <v>59</v>
      </c>
      <c r="F180" s="2" t="s">
        <v>50</v>
      </c>
      <c r="G180" s="2" t="s">
        <v>5</v>
      </c>
      <c r="H180" s="2" t="s">
        <v>55</v>
      </c>
      <c r="I180" s="3">
        <v>25.987500000000001</v>
      </c>
      <c r="J180" s="3">
        <v>77.652200000000008</v>
      </c>
      <c r="K180" s="3">
        <v>13.608839</v>
      </c>
      <c r="L180" s="2">
        <v>9</v>
      </c>
      <c r="M180" s="2">
        <v>65</v>
      </c>
      <c r="N180" s="2">
        <f t="shared" si="2"/>
        <v>74</v>
      </c>
      <c r="O180" s="2" t="s">
        <v>106</v>
      </c>
    </row>
    <row r="181" spans="1:15" x14ac:dyDescent="0.35">
      <c r="A181" s="2">
        <v>134</v>
      </c>
      <c r="B181" s="1">
        <v>44695</v>
      </c>
      <c r="C181" s="2" t="s">
        <v>14</v>
      </c>
      <c r="D181" s="2" t="s">
        <v>37</v>
      </c>
      <c r="E181" s="2" t="s">
        <v>59</v>
      </c>
      <c r="F181" s="2" t="s">
        <v>53</v>
      </c>
      <c r="G181" s="2" t="s">
        <v>60</v>
      </c>
      <c r="H181" s="2" t="s">
        <v>55</v>
      </c>
      <c r="I181" s="3">
        <v>19.837484999999997</v>
      </c>
      <c r="J181" s="3">
        <v>92.25</v>
      </c>
      <c r="K181" s="3">
        <v>9.0416499999999989</v>
      </c>
      <c r="L181" s="2">
        <v>20</v>
      </c>
      <c r="M181" s="2">
        <v>54</v>
      </c>
      <c r="N181" s="2">
        <f t="shared" si="2"/>
        <v>74</v>
      </c>
      <c r="O181" s="2" t="s">
        <v>106</v>
      </c>
    </row>
    <row r="182" spans="1:15" x14ac:dyDescent="0.35">
      <c r="A182" s="2">
        <v>118</v>
      </c>
      <c r="B182" s="1">
        <v>44679</v>
      </c>
      <c r="C182" s="2" t="s">
        <v>14</v>
      </c>
      <c r="D182" s="2" t="s">
        <v>36</v>
      </c>
      <c r="E182" s="2" t="s">
        <v>59</v>
      </c>
      <c r="F182" s="2" t="s">
        <v>51</v>
      </c>
      <c r="G182" s="2" t="s">
        <v>5</v>
      </c>
      <c r="H182" s="2" t="s">
        <v>55</v>
      </c>
      <c r="I182" s="3">
        <v>14.887485</v>
      </c>
      <c r="J182" s="3">
        <v>70.083300000000008</v>
      </c>
      <c r="K182" s="3">
        <v>21.500836000000003</v>
      </c>
      <c r="L182" s="2">
        <v>9</v>
      </c>
      <c r="M182" s="2">
        <v>66</v>
      </c>
      <c r="N182" s="2">
        <f t="shared" si="2"/>
        <v>75</v>
      </c>
      <c r="O182" s="2" t="s">
        <v>106</v>
      </c>
    </row>
    <row r="183" spans="1:15" x14ac:dyDescent="0.35">
      <c r="A183" s="2">
        <v>152</v>
      </c>
      <c r="B183" s="1">
        <v>44713</v>
      </c>
      <c r="C183" s="2" t="s">
        <v>15</v>
      </c>
      <c r="D183" s="2" t="s">
        <v>38</v>
      </c>
      <c r="E183" s="2" t="s">
        <v>59</v>
      </c>
      <c r="F183" s="2" t="s">
        <v>50</v>
      </c>
      <c r="G183" s="2" t="s">
        <v>5</v>
      </c>
      <c r="H183" s="2" t="s">
        <v>55</v>
      </c>
      <c r="I183" s="3">
        <v>14.0625</v>
      </c>
      <c r="J183" s="3">
        <v>67.708299999999994</v>
      </c>
      <c r="K183" s="3">
        <v>13.875164</v>
      </c>
      <c r="L183" s="2">
        <v>4</v>
      </c>
      <c r="M183" s="2">
        <v>71</v>
      </c>
      <c r="N183" s="2">
        <f t="shared" si="2"/>
        <v>75</v>
      </c>
      <c r="O183" s="2" t="s">
        <v>106</v>
      </c>
    </row>
    <row r="184" spans="1:15" x14ac:dyDescent="0.35">
      <c r="A184" s="2">
        <v>165</v>
      </c>
      <c r="B184" s="1">
        <v>44726</v>
      </c>
      <c r="C184" s="2" t="s">
        <v>15</v>
      </c>
      <c r="D184" s="2" t="s">
        <v>38</v>
      </c>
      <c r="E184" s="2" t="s">
        <v>59</v>
      </c>
      <c r="F184" s="2" t="s">
        <v>49</v>
      </c>
      <c r="G184" s="2" t="s">
        <v>5</v>
      </c>
      <c r="H184" s="2" t="s">
        <v>54</v>
      </c>
      <c r="I184" s="3">
        <v>14.2875</v>
      </c>
      <c r="J184" s="3">
        <v>50.708299999999994</v>
      </c>
      <c r="K184" s="3">
        <v>18.041961000000001</v>
      </c>
      <c r="L184" s="2">
        <v>4</v>
      </c>
      <c r="M184" s="2">
        <v>71</v>
      </c>
      <c r="N184" s="2">
        <f t="shared" si="2"/>
        <v>75</v>
      </c>
      <c r="O184" s="2" t="s">
        <v>106</v>
      </c>
    </row>
    <row r="185" spans="1:15" x14ac:dyDescent="0.35">
      <c r="A185" s="2">
        <v>166</v>
      </c>
      <c r="B185" s="1">
        <v>44727</v>
      </c>
      <c r="C185" s="2" t="s">
        <v>15</v>
      </c>
      <c r="D185" s="2" t="s">
        <v>38</v>
      </c>
      <c r="E185" s="2" t="s">
        <v>59</v>
      </c>
      <c r="F185" s="2" t="s">
        <v>50</v>
      </c>
      <c r="G185" s="2" t="s">
        <v>5</v>
      </c>
      <c r="H185" s="2" t="s">
        <v>54</v>
      </c>
      <c r="I185" s="3">
        <v>19.012499999999999</v>
      </c>
      <c r="J185" s="3">
        <v>47.166699999999999</v>
      </c>
      <c r="K185" s="3">
        <v>11.250104</v>
      </c>
      <c r="L185" s="2">
        <v>4</v>
      </c>
      <c r="M185" s="2">
        <v>71</v>
      </c>
      <c r="N185" s="2">
        <f t="shared" si="2"/>
        <v>75</v>
      </c>
      <c r="O185" s="2" t="s">
        <v>106</v>
      </c>
    </row>
    <row r="186" spans="1:15" x14ac:dyDescent="0.35">
      <c r="A186" s="2">
        <v>171</v>
      </c>
      <c r="B186" s="1">
        <v>44732</v>
      </c>
      <c r="C186" s="2" t="s">
        <v>15</v>
      </c>
      <c r="D186" s="2" t="s">
        <v>38</v>
      </c>
      <c r="E186" s="2" t="s">
        <v>59</v>
      </c>
      <c r="F186" s="2" t="s">
        <v>48</v>
      </c>
      <c r="G186" s="2" t="s">
        <v>5</v>
      </c>
      <c r="H186" s="2" t="s">
        <v>55</v>
      </c>
      <c r="I186" s="3">
        <v>17.362485</v>
      </c>
      <c r="J186" s="3">
        <v>74.625</v>
      </c>
      <c r="K186" s="3">
        <v>10.416824999999999</v>
      </c>
      <c r="L186" s="2">
        <v>4</v>
      </c>
      <c r="M186" s="2">
        <v>71</v>
      </c>
      <c r="N186" s="2">
        <f t="shared" si="2"/>
        <v>75</v>
      </c>
      <c r="O186" s="2" t="s">
        <v>106</v>
      </c>
    </row>
    <row r="187" spans="1:15" x14ac:dyDescent="0.35">
      <c r="A187" s="2">
        <v>289</v>
      </c>
      <c r="B187" s="1">
        <v>44850</v>
      </c>
      <c r="C187" s="2" t="s">
        <v>16</v>
      </c>
      <c r="D187" s="2" t="s">
        <v>42</v>
      </c>
      <c r="E187" s="2" t="s">
        <v>59</v>
      </c>
      <c r="F187" s="2" t="s">
        <v>47</v>
      </c>
      <c r="G187" s="2" t="s">
        <v>60</v>
      </c>
      <c r="H187" s="2" t="s">
        <v>54</v>
      </c>
      <c r="I187" s="3">
        <v>20.550014999999998</v>
      </c>
      <c r="J187" s="3">
        <v>48.666699999999999</v>
      </c>
      <c r="K187" s="3">
        <v>18.875039000000001</v>
      </c>
      <c r="L187" s="2">
        <v>31</v>
      </c>
      <c r="M187" s="2">
        <v>44</v>
      </c>
      <c r="N187" s="2">
        <f t="shared" si="2"/>
        <v>75</v>
      </c>
      <c r="O187" s="2" t="s">
        <v>106</v>
      </c>
    </row>
    <row r="188" spans="1:15" x14ac:dyDescent="0.35">
      <c r="A188" s="2">
        <v>349</v>
      </c>
      <c r="B188" s="1">
        <v>44910</v>
      </c>
      <c r="C188" s="2" t="s">
        <v>13</v>
      </c>
      <c r="D188" s="2" t="s">
        <v>44</v>
      </c>
      <c r="E188" s="2" t="s">
        <v>59</v>
      </c>
      <c r="F188" s="2" t="s">
        <v>51</v>
      </c>
      <c r="G188" s="2" t="s">
        <v>5</v>
      </c>
      <c r="H188" s="2" t="s">
        <v>55</v>
      </c>
      <c r="I188" s="3">
        <v>28.274985000000001</v>
      </c>
      <c r="J188" s="3">
        <v>63.416700000000006</v>
      </c>
      <c r="K188" s="3">
        <v>17.958814</v>
      </c>
      <c r="L188" s="2">
        <v>11</v>
      </c>
      <c r="M188" s="2">
        <v>64</v>
      </c>
      <c r="N188" s="2">
        <f t="shared" si="2"/>
        <v>75</v>
      </c>
      <c r="O188" s="2" t="s">
        <v>106</v>
      </c>
    </row>
    <row r="189" spans="1:15" x14ac:dyDescent="0.35">
      <c r="A189" s="2">
        <v>19</v>
      </c>
      <c r="B189" s="1">
        <v>44580</v>
      </c>
      <c r="C189" s="2" t="s">
        <v>13</v>
      </c>
      <c r="D189" s="2" t="s">
        <v>33</v>
      </c>
      <c r="E189" s="2" t="s">
        <v>59</v>
      </c>
      <c r="F189" s="2" t="s">
        <v>50</v>
      </c>
      <c r="G189" s="2" t="s">
        <v>5</v>
      </c>
      <c r="H189" s="2" t="s">
        <v>55</v>
      </c>
      <c r="I189" s="3">
        <v>36.674999999999997</v>
      </c>
      <c r="J189" s="3">
        <v>74.173900000000003</v>
      </c>
      <c r="K189" s="3">
        <v>13.957239</v>
      </c>
      <c r="L189" s="2">
        <v>13</v>
      </c>
      <c r="M189" s="2">
        <v>63</v>
      </c>
      <c r="N189" s="2">
        <f t="shared" si="2"/>
        <v>76</v>
      </c>
      <c r="O189" s="2" t="s">
        <v>106</v>
      </c>
    </row>
    <row r="190" spans="1:15" x14ac:dyDescent="0.35">
      <c r="A190" s="2">
        <v>23</v>
      </c>
      <c r="B190" s="1">
        <v>44584</v>
      </c>
      <c r="C190" s="2" t="s">
        <v>13</v>
      </c>
      <c r="D190" s="2" t="s">
        <v>33</v>
      </c>
      <c r="E190" s="2" t="s">
        <v>59</v>
      </c>
      <c r="F190" s="2" t="s">
        <v>47</v>
      </c>
      <c r="G190" s="2" t="s">
        <v>60</v>
      </c>
      <c r="H190" s="2" t="s">
        <v>54</v>
      </c>
      <c r="I190" s="3">
        <v>33.449984999999998</v>
      </c>
      <c r="J190" s="3">
        <v>43.652200000000001</v>
      </c>
      <c r="K190" s="3">
        <v>16.522200000000002</v>
      </c>
      <c r="L190" s="2">
        <v>11</v>
      </c>
      <c r="M190" s="2">
        <v>65</v>
      </c>
      <c r="N190" s="2">
        <f t="shared" si="2"/>
        <v>76</v>
      </c>
      <c r="O190" s="2" t="s">
        <v>106</v>
      </c>
    </row>
    <row r="191" spans="1:15" x14ac:dyDescent="0.35">
      <c r="A191" s="2">
        <v>36</v>
      </c>
      <c r="B191" s="1">
        <v>44597</v>
      </c>
      <c r="C191" s="2" t="s">
        <v>13</v>
      </c>
      <c r="D191" s="2" t="s">
        <v>34</v>
      </c>
      <c r="E191" s="2" t="s">
        <v>59</v>
      </c>
      <c r="F191" s="2" t="s">
        <v>53</v>
      </c>
      <c r="G191" s="2" t="s">
        <v>60</v>
      </c>
      <c r="H191" s="2" t="s">
        <v>55</v>
      </c>
      <c r="I191" s="3">
        <v>33.412500000000001</v>
      </c>
      <c r="J191" s="3">
        <v>92.916699999999992</v>
      </c>
      <c r="K191" s="3">
        <v>10.792293000000001</v>
      </c>
      <c r="L191" s="2">
        <v>26</v>
      </c>
      <c r="M191" s="2">
        <v>50</v>
      </c>
      <c r="N191" s="2">
        <f t="shared" si="2"/>
        <v>76</v>
      </c>
      <c r="O191" s="2" t="s">
        <v>106</v>
      </c>
    </row>
    <row r="192" spans="1:15" x14ac:dyDescent="0.35">
      <c r="A192" s="2">
        <v>47</v>
      </c>
      <c r="B192" s="1">
        <v>44608</v>
      </c>
      <c r="C192" s="2" t="s">
        <v>13</v>
      </c>
      <c r="D192" s="2" t="s">
        <v>34</v>
      </c>
      <c r="E192" s="2" t="s">
        <v>59</v>
      </c>
      <c r="F192" s="2" t="s">
        <v>50</v>
      </c>
      <c r="G192" s="2" t="s">
        <v>5</v>
      </c>
      <c r="H192" s="2" t="s">
        <v>54</v>
      </c>
      <c r="I192" s="3">
        <v>32.025015000000003</v>
      </c>
      <c r="J192" s="3">
        <v>42.347799999999999</v>
      </c>
      <c r="K192" s="3">
        <v>16.869996999999998</v>
      </c>
      <c r="L192" s="2">
        <v>13</v>
      </c>
      <c r="M192" s="2">
        <v>63</v>
      </c>
      <c r="N192" s="2">
        <f t="shared" si="2"/>
        <v>76</v>
      </c>
      <c r="O192" s="2" t="s">
        <v>106</v>
      </c>
    </row>
    <row r="193" spans="1:15" x14ac:dyDescent="0.35">
      <c r="A193" s="2">
        <v>27</v>
      </c>
      <c r="B193" s="1">
        <v>44588</v>
      </c>
      <c r="C193" s="2" t="s">
        <v>13</v>
      </c>
      <c r="D193" s="2" t="s">
        <v>33</v>
      </c>
      <c r="E193" s="2" t="s">
        <v>59</v>
      </c>
      <c r="F193" s="2" t="s">
        <v>51</v>
      </c>
      <c r="G193" s="2" t="s">
        <v>5</v>
      </c>
      <c r="H193" s="2" t="s">
        <v>54</v>
      </c>
      <c r="I193" s="3">
        <v>37.724984999999997</v>
      </c>
      <c r="J193" s="3">
        <v>68.75</v>
      </c>
      <c r="K193" s="3">
        <v>7.6270789999999993</v>
      </c>
      <c r="L193" s="2">
        <v>13</v>
      </c>
      <c r="M193" s="2">
        <v>64</v>
      </c>
      <c r="N193" s="2">
        <f t="shared" si="2"/>
        <v>77</v>
      </c>
      <c r="O193" s="2" t="s">
        <v>106</v>
      </c>
    </row>
    <row r="194" spans="1:15" x14ac:dyDescent="0.35">
      <c r="A194" s="2">
        <v>43</v>
      </c>
      <c r="B194" s="1">
        <v>44604</v>
      </c>
      <c r="C194" s="2" t="s">
        <v>13</v>
      </c>
      <c r="D194" s="2" t="s">
        <v>34</v>
      </c>
      <c r="E194" s="2" t="s">
        <v>59</v>
      </c>
      <c r="F194" s="2" t="s">
        <v>53</v>
      </c>
      <c r="G194" s="2" t="s">
        <v>60</v>
      </c>
      <c r="H194" s="2" t="s">
        <v>54</v>
      </c>
      <c r="I194" s="3">
        <v>30.450015</v>
      </c>
      <c r="J194" s="3">
        <v>54.416699999999999</v>
      </c>
      <c r="K194" s="3">
        <v>13.625589</v>
      </c>
      <c r="L194" s="2">
        <v>27</v>
      </c>
      <c r="M194" s="2">
        <v>50</v>
      </c>
      <c r="N194" s="2">
        <f t="shared" ref="N194:N257" si="3">L194+M194</f>
        <v>77</v>
      </c>
      <c r="O194" s="2" t="s">
        <v>106</v>
      </c>
    </row>
    <row r="195" spans="1:15" x14ac:dyDescent="0.35">
      <c r="A195" s="2">
        <v>50</v>
      </c>
      <c r="B195" s="1">
        <v>44611</v>
      </c>
      <c r="C195" s="2" t="s">
        <v>13</v>
      </c>
      <c r="D195" s="2" t="s">
        <v>34</v>
      </c>
      <c r="E195" s="2" t="s">
        <v>59</v>
      </c>
      <c r="F195" s="2" t="s">
        <v>53</v>
      </c>
      <c r="G195" s="2" t="s">
        <v>60</v>
      </c>
      <c r="H195" s="2" t="s">
        <v>54</v>
      </c>
      <c r="I195" s="3">
        <v>31.987485000000003</v>
      </c>
      <c r="J195" s="3">
        <v>18.791699999999999</v>
      </c>
      <c r="K195" s="3">
        <v>34.000020999999997</v>
      </c>
      <c r="L195" s="2">
        <v>25</v>
      </c>
      <c r="M195" s="2">
        <v>52</v>
      </c>
      <c r="N195" s="2">
        <f t="shared" si="3"/>
        <v>77</v>
      </c>
      <c r="O195" s="2" t="s">
        <v>106</v>
      </c>
    </row>
    <row r="196" spans="1:15" x14ac:dyDescent="0.35">
      <c r="A196" s="2">
        <v>149</v>
      </c>
      <c r="B196" s="1">
        <v>44710</v>
      </c>
      <c r="C196" s="2" t="s">
        <v>14</v>
      </c>
      <c r="D196" s="2" t="s">
        <v>37</v>
      </c>
      <c r="E196" s="2" t="s">
        <v>59</v>
      </c>
      <c r="F196" s="2" t="s">
        <v>47</v>
      </c>
      <c r="G196" s="2" t="s">
        <v>60</v>
      </c>
      <c r="H196" s="2" t="s">
        <v>54</v>
      </c>
      <c r="I196" s="3">
        <v>22.656510000000001</v>
      </c>
      <c r="J196" s="3">
        <v>81.875</v>
      </c>
      <c r="K196" s="3">
        <v>14.333845999999999</v>
      </c>
      <c r="L196" s="2">
        <v>5</v>
      </c>
      <c r="M196" s="2">
        <v>72</v>
      </c>
      <c r="N196" s="2">
        <f t="shared" si="3"/>
        <v>77</v>
      </c>
      <c r="O196" s="2" t="s">
        <v>106</v>
      </c>
    </row>
    <row r="197" spans="1:15" x14ac:dyDescent="0.35">
      <c r="A197" s="2">
        <v>156</v>
      </c>
      <c r="B197" s="1">
        <v>44717</v>
      </c>
      <c r="C197" s="2" t="s">
        <v>15</v>
      </c>
      <c r="D197" s="2" t="s">
        <v>38</v>
      </c>
      <c r="E197" s="2" t="s">
        <v>59</v>
      </c>
      <c r="F197" s="2" t="s">
        <v>47</v>
      </c>
      <c r="G197" s="2" t="s">
        <v>60</v>
      </c>
      <c r="H197" s="2" t="s">
        <v>55</v>
      </c>
      <c r="I197" s="3">
        <v>17.362485</v>
      </c>
      <c r="J197" s="3">
        <v>65.25</v>
      </c>
      <c r="K197" s="3">
        <v>9.292364000000001</v>
      </c>
      <c r="L197" s="2">
        <v>5</v>
      </c>
      <c r="M197" s="2">
        <v>72</v>
      </c>
      <c r="N197" s="2">
        <f t="shared" si="3"/>
        <v>77</v>
      </c>
      <c r="O197" s="2" t="s">
        <v>106</v>
      </c>
    </row>
    <row r="198" spans="1:15" x14ac:dyDescent="0.35">
      <c r="A198" s="2">
        <v>320</v>
      </c>
      <c r="B198" s="1">
        <v>44881</v>
      </c>
      <c r="C198" s="2" t="s">
        <v>16</v>
      </c>
      <c r="D198" s="2" t="s">
        <v>43</v>
      </c>
      <c r="E198" s="2" t="s">
        <v>59</v>
      </c>
      <c r="F198" s="2" t="s">
        <v>50</v>
      </c>
      <c r="G198" s="2" t="s">
        <v>5</v>
      </c>
      <c r="H198" s="2" t="s">
        <v>56</v>
      </c>
      <c r="I198" s="3">
        <v>24.750000000000004</v>
      </c>
      <c r="J198" s="3">
        <v>93</v>
      </c>
      <c r="K198" s="3">
        <v>9.1675430000000002</v>
      </c>
      <c r="L198" s="2">
        <v>11</v>
      </c>
      <c r="M198" s="2">
        <v>66</v>
      </c>
      <c r="N198" s="2">
        <f t="shared" si="3"/>
        <v>77</v>
      </c>
      <c r="O198" s="2" t="s">
        <v>106</v>
      </c>
    </row>
    <row r="199" spans="1:15" x14ac:dyDescent="0.35">
      <c r="A199" s="2">
        <v>116</v>
      </c>
      <c r="B199" s="1">
        <v>44677</v>
      </c>
      <c r="C199" s="2" t="s">
        <v>14</v>
      </c>
      <c r="D199" s="2" t="s">
        <v>36</v>
      </c>
      <c r="E199" s="2" t="s">
        <v>59</v>
      </c>
      <c r="F199" s="2" t="s">
        <v>49</v>
      </c>
      <c r="G199" s="2" t="s">
        <v>5</v>
      </c>
      <c r="H199" s="2" t="s">
        <v>54</v>
      </c>
      <c r="I199" s="3">
        <v>21.787514999999999</v>
      </c>
      <c r="J199" s="3">
        <v>72.916700000000006</v>
      </c>
      <c r="K199" s="3">
        <v>21.875500000000002</v>
      </c>
      <c r="L199" s="2">
        <v>8</v>
      </c>
      <c r="M199" s="2">
        <v>70</v>
      </c>
      <c r="N199" s="2">
        <f t="shared" si="3"/>
        <v>78</v>
      </c>
      <c r="O199" s="2" t="s">
        <v>106</v>
      </c>
    </row>
    <row r="200" spans="1:15" x14ac:dyDescent="0.35">
      <c r="A200" s="2">
        <v>126</v>
      </c>
      <c r="B200" s="1">
        <v>44687</v>
      </c>
      <c r="C200" s="2" t="s">
        <v>14</v>
      </c>
      <c r="D200" s="2" t="s">
        <v>37</v>
      </c>
      <c r="E200" s="2" t="s">
        <v>59</v>
      </c>
      <c r="F200" s="2" t="s">
        <v>52</v>
      </c>
      <c r="G200" s="2" t="s">
        <v>5</v>
      </c>
      <c r="H200" s="2" t="s">
        <v>54</v>
      </c>
      <c r="I200" s="3">
        <v>14.700014999999999</v>
      </c>
      <c r="J200" s="3">
        <v>59</v>
      </c>
      <c r="K200" s="3">
        <v>15.292482</v>
      </c>
      <c r="L200" s="2">
        <v>23</v>
      </c>
      <c r="M200" s="2">
        <v>55</v>
      </c>
      <c r="N200" s="2">
        <f t="shared" si="3"/>
        <v>78</v>
      </c>
      <c r="O200" s="2" t="s">
        <v>106</v>
      </c>
    </row>
    <row r="201" spans="1:15" x14ac:dyDescent="0.35">
      <c r="A201" s="2">
        <v>153</v>
      </c>
      <c r="B201" s="1">
        <v>44714</v>
      </c>
      <c r="C201" s="2" t="s">
        <v>15</v>
      </c>
      <c r="D201" s="2" t="s">
        <v>38</v>
      </c>
      <c r="E201" s="2" t="s">
        <v>59</v>
      </c>
      <c r="F201" s="2" t="s">
        <v>51</v>
      </c>
      <c r="G201" s="2" t="s">
        <v>5</v>
      </c>
      <c r="H201" s="2" t="s">
        <v>54</v>
      </c>
      <c r="I201" s="3">
        <v>14.137514999999999</v>
      </c>
      <c r="J201" s="3">
        <v>30.5</v>
      </c>
      <c r="K201" s="3">
        <v>19.583229000000003</v>
      </c>
      <c r="L201" s="2">
        <v>5</v>
      </c>
      <c r="M201" s="2">
        <v>73</v>
      </c>
      <c r="N201" s="2">
        <f t="shared" si="3"/>
        <v>78</v>
      </c>
      <c r="O201" s="2" t="s">
        <v>106</v>
      </c>
    </row>
    <row r="202" spans="1:15" x14ac:dyDescent="0.35">
      <c r="A202" s="2">
        <v>299</v>
      </c>
      <c r="B202" s="1">
        <v>44860</v>
      </c>
      <c r="C202" s="2" t="s">
        <v>16</v>
      </c>
      <c r="D202" s="2" t="s">
        <v>42</v>
      </c>
      <c r="E202" s="2" t="s">
        <v>59</v>
      </c>
      <c r="F202" s="2" t="s">
        <v>50</v>
      </c>
      <c r="G202" s="2" t="s">
        <v>5</v>
      </c>
      <c r="H202" s="2" t="s">
        <v>55</v>
      </c>
      <c r="I202" s="3">
        <v>27.9</v>
      </c>
      <c r="J202" s="3">
        <v>72.041699999999992</v>
      </c>
      <c r="K202" s="3">
        <v>9.9590139999999998</v>
      </c>
      <c r="L202" s="2">
        <v>11</v>
      </c>
      <c r="M202" s="2">
        <v>67</v>
      </c>
      <c r="N202" s="2">
        <f t="shared" si="3"/>
        <v>78</v>
      </c>
      <c r="O202" s="2" t="s">
        <v>106</v>
      </c>
    </row>
    <row r="203" spans="1:15" x14ac:dyDescent="0.35">
      <c r="A203" s="2">
        <v>342</v>
      </c>
      <c r="B203" s="1">
        <v>44903</v>
      </c>
      <c r="C203" s="2" t="s">
        <v>13</v>
      </c>
      <c r="D203" s="2" t="s">
        <v>44</v>
      </c>
      <c r="E203" s="2" t="s">
        <v>59</v>
      </c>
      <c r="F203" s="2" t="s">
        <v>51</v>
      </c>
      <c r="G203" s="2" t="s">
        <v>5</v>
      </c>
      <c r="H203" s="2" t="s">
        <v>54</v>
      </c>
      <c r="I203" s="3">
        <v>36.374984999999995</v>
      </c>
      <c r="J203" s="3">
        <v>57.999999999999993</v>
      </c>
      <c r="K203" s="3">
        <v>16.083886</v>
      </c>
      <c r="L203" s="2">
        <v>11</v>
      </c>
      <c r="M203" s="2">
        <v>67</v>
      </c>
      <c r="N203" s="2">
        <f t="shared" si="3"/>
        <v>78</v>
      </c>
      <c r="O203" s="2" t="s">
        <v>106</v>
      </c>
    </row>
    <row r="204" spans="1:15" x14ac:dyDescent="0.35">
      <c r="A204" s="2">
        <v>88</v>
      </c>
      <c r="B204" s="1">
        <v>44649</v>
      </c>
      <c r="C204" s="2" t="s">
        <v>14</v>
      </c>
      <c r="D204" s="2" t="s">
        <v>35</v>
      </c>
      <c r="E204" s="2" t="s">
        <v>59</v>
      </c>
      <c r="F204" s="2" t="s">
        <v>49</v>
      </c>
      <c r="G204" s="2" t="s">
        <v>5</v>
      </c>
      <c r="H204" s="2" t="s">
        <v>54</v>
      </c>
      <c r="I204" s="3">
        <v>28.574999999999999</v>
      </c>
      <c r="J204" s="3">
        <v>31.416699999999999</v>
      </c>
      <c r="K204" s="3">
        <v>15.208731999999999</v>
      </c>
      <c r="L204" s="2">
        <v>10</v>
      </c>
      <c r="M204" s="2">
        <v>69</v>
      </c>
      <c r="N204" s="2">
        <f t="shared" si="3"/>
        <v>79</v>
      </c>
      <c r="O204" s="2" t="s">
        <v>106</v>
      </c>
    </row>
    <row r="205" spans="1:15" x14ac:dyDescent="0.35">
      <c r="A205" s="2">
        <v>124</v>
      </c>
      <c r="B205" s="1">
        <v>44685</v>
      </c>
      <c r="C205" s="2" t="s">
        <v>14</v>
      </c>
      <c r="D205" s="2" t="s">
        <v>37</v>
      </c>
      <c r="E205" s="2" t="s">
        <v>59</v>
      </c>
      <c r="F205" s="2" t="s">
        <v>50</v>
      </c>
      <c r="G205" s="2" t="s">
        <v>5</v>
      </c>
      <c r="H205" s="2" t="s">
        <v>55</v>
      </c>
      <c r="I205" s="3">
        <v>18.374984999999999</v>
      </c>
      <c r="J205" s="3">
        <v>73.708300000000008</v>
      </c>
      <c r="K205" s="3">
        <v>22.042732000000001</v>
      </c>
      <c r="L205" s="2">
        <v>6</v>
      </c>
      <c r="M205" s="2">
        <v>73</v>
      </c>
      <c r="N205" s="2">
        <f t="shared" si="3"/>
        <v>79</v>
      </c>
      <c r="O205" s="2" t="s">
        <v>106</v>
      </c>
    </row>
    <row r="206" spans="1:15" x14ac:dyDescent="0.35">
      <c r="A206" s="2">
        <v>292</v>
      </c>
      <c r="B206" s="1">
        <v>44853</v>
      </c>
      <c r="C206" s="2" t="s">
        <v>16</v>
      </c>
      <c r="D206" s="2" t="s">
        <v>42</v>
      </c>
      <c r="E206" s="2" t="s">
        <v>59</v>
      </c>
      <c r="F206" s="2" t="s">
        <v>50</v>
      </c>
      <c r="G206" s="2" t="s">
        <v>5</v>
      </c>
      <c r="H206" s="2" t="s">
        <v>56</v>
      </c>
      <c r="I206" s="3">
        <v>26.774999999999999</v>
      </c>
      <c r="J206" s="3">
        <v>89.52170000000001</v>
      </c>
      <c r="K206" s="3">
        <v>16.303712999999998</v>
      </c>
      <c r="L206" s="2">
        <v>12</v>
      </c>
      <c r="M206" s="2">
        <v>67</v>
      </c>
      <c r="N206" s="2">
        <f t="shared" si="3"/>
        <v>79</v>
      </c>
      <c r="O206" s="2" t="s">
        <v>106</v>
      </c>
    </row>
    <row r="207" spans="1:15" x14ac:dyDescent="0.35">
      <c r="A207" s="2">
        <v>318</v>
      </c>
      <c r="B207" s="1">
        <v>44879</v>
      </c>
      <c r="C207" s="2" t="s">
        <v>16</v>
      </c>
      <c r="D207" s="2" t="s">
        <v>43</v>
      </c>
      <c r="E207" s="2" t="s">
        <v>59</v>
      </c>
      <c r="F207" s="2" t="s">
        <v>48</v>
      </c>
      <c r="G207" s="2" t="s">
        <v>5</v>
      </c>
      <c r="H207" s="2" t="s">
        <v>54</v>
      </c>
      <c r="I207" s="3">
        <v>25.987500000000001</v>
      </c>
      <c r="J207" s="3">
        <v>58.708300000000001</v>
      </c>
      <c r="K207" s="3">
        <v>20.541931999999999</v>
      </c>
      <c r="L207" s="2">
        <v>15</v>
      </c>
      <c r="M207" s="2">
        <v>64</v>
      </c>
      <c r="N207" s="2">
        <f t="shared" si="3"/>
        <v>79</v>
      </c>
      <c r="O207" s="2" t="s">
        <v>106</v>
      </c>
    </row>
    <row r="208" spans="1:15" x14ac:dyDescent="0.35">
      <c r="A208" s="2">
        <v>333</v>
      </c>
      <c r="B208" s="1">
        <v>44894</v>
      </c>
      <c r="C208" s="2" t="s">
        <v>16</v>
      </c>
      <c r="D208" s="2" t="s">
        <v>43</v>
      </c>
      <c r="E208" s="2" t="s">
        <v>59</v>
      </c>
      <c r="F208" s="2" t="s">
        <v>49</v>
      </c>
      <c r="G208" s="2" t="s">
        <v>5</v>
      </c>
      <c r="H208" s="2" t="s">
        <v>55</v>
      </c>
      <c r="I208" s="3">
        <v>34.875</v>
      </c>
      <c r="J208" s="3">
        <v>83.083300000000008</v>
      </c>
      <c r="K208" s="3">
        <v>17.292164</v>
      </c>
      <c r="L208" s="2">
        <v>13</v>
      </c>
      <c r="M208" s="2">
        <v>66</v>
      </c>
      <c r="N208" s="2">
        <f t="shared" si="3"/>
        <v>79</v>
      </c>
      <c r="O208" s="2" t="s">
        <v>106</v>
      </c>
    </row>
    <row r="209" spans="1:15" x14ac:dyDescent="0.35">
      <c r="A209" s="2">
        <v>334</v>
      </c>
      <c r="B209" s="1">
        <v>44895</v>
      </c>
      <c r="C209" s="2" t="s">
        <v>16</v>
      </c>
      <c r="D209" s="2" t="s">
        <v>43</v>
      </c>
      <c r="E209" s="2" t="s">
        <v>59</v>
      </c>
      <c r="F209" s="2" t="s">
        <v>50</v>
      </c>
      <c r="G209" s="2" t="s">
        <v>5</v>
      </c>
      <c r="H209" s="2" t="s">
        <v>54</v>
      </c>
      <c r="I209" s="3">
        <v>34.387515</v>
      </c>
      <c r="J209" s="3">
        <v>61.333300000000001</v>
      </c>
      <c r="K209" s="3">
        <v>18.167586</v>
      </c>
      <c r="L209" s="2">
        <v>10</v>
      </c>
      <c r="M209" s="2">
        <v>69</v>
      </c>
      <c r="N209" s="2">
        <f t="shared" si="3"/>
        <v>79</v>
      </c>
      <c r="O209" s="2" t="s">
        <v>106</v>
      </c>
    </row>
    <row r="210" spans="1:15" x14ac:dyDescent="0.35">
      <c r="A210" s="2">
        <v>128</v>
      </c>
      <c r="B210" s="1">
        <v>44689</v>
      </c>
      <c r="C210" s="2" t="s">
        <v>14</v>
      </c>
      <c r="D210" s="2" t="s">
        <v>37</v>
      </c>
      <c r="E210" s="2" t="s">
        <v>59</v>
      </c>
      <c r="F210" s="2" t="s">
        <v>47</v>
      </c>
      <c r="G210" s="2" t="s">
        <v>60</v>
      </c>
      <c r="H210" s="2" t="s">
        <v>54</v>
      </c>
      <c r="I210" s="3">
        <v>17.775000000000002</v>
      </c>
      <c r="J210" s="3">
        <v>63.166699999999999</v>
      </c>
      <c r="K210" s="3">
        <v>5.0007124999999997</v>
      </c>
      <c r="L210" s="2">
        <v>7</v>
      </c>
      <c r="M210" s="2">
        <v>73</v>
      </c>
      <c r="N210" s="2">
        <f t="shared" si="3"/>
        <v>80</v>
      </c>
      <c r="O210" s="2" t="s">
        <v>106</v>
      </c>
    </row>
    <row r="211" spans="1:15" x14ac:dyDescent="0.35">
      <c r="A211" s="2">
        <v>295</v>
      </c>
      <c r="B211" s="1">
        <v>44856</v>
      </c>
      <c r="C211" s="2" t="s">
        <v>16</v>
      </c>
      <c r="D211" s="2" t="s">
        <v>42</v>
      </c>
      <c r="E211" s="2" t="s">
        <v>59</v>
      </c>
      <c r="F211" s="2" t="s">
        <v>53</v>
      </c>
      <c r="G211" s="2" t="s">
        <v>60</v>
      </c>
      <c r="H211" s="2" t="s">
        <v>54</v>
      </c>
      <c r="I211" s="3">
        <v>20.7</v>
      </c>
      <c r="J211" s="3">
        <v>62.916700000000006</v>
      </c>
      <c r="K211" s="3">
        <v>6.2086689000000002</v>
      </c>
      <c r="L211" s="2">
        <v>29</v>
      </c>
      <c r="M211" s="2">
        <v>51</v>
      </c>
      <c r="N211" s="2">
        <f t="shared" si="3"/>
        <v>80</v>
      </c>
      <c r="O211" s="2" t="s">
        <v>106</v>
      </c>
    </row>
    <row r="212" spans="1:15" x14ac:dyDescent="0.35">
      <c r="A212" s="2">
        <v>353</v>
      </c>
      <c r="B212" s="1">
        <v>44914</v>
      </c>
      <c r="C212" s="2" t="s">
        <v>13</v>
      </c>
      <c r="D212" s="2" t="s">
        <v>44</v>
      </c>
      <c r="E212" s="2" t="s">
        <v>59</v>
      </c>
      <c r="F212" s="2" t="s">
        <v>48</v>
      </c>
      <c r="G212" s="2" t="s">
        <v>5</v>
      </c>
      <c r="H212" s="2" t="s">
        <v>54</v>
      </c>
      <c r="I212" s="3">
        <v>28.574999999999999</v>
      </c>
      <c r="J212" s="3">
        <v>63.749999999999993</v>
      </c>
      <c r="K212" s="3">
        <v>11.584031999999999</v>
      </c>
      <c r="L212" s="2">
        <v>14</v>
      </c>
      <c r="M212" s="2">
        <v>66</v>
      </c>
      <c r="N212" s="2">
        <f t="shared" si="3"/>
        <v>80</v>
      </c>
      <c r="O212" s="2" t="s">
        <v>106</v>
      </c>
    </row>
    <row r="213" spans="1:15" x14ac:dyDescent="0.35">
      <c r="A213" s="2">
        <v>6</v>
      </c>
      <c r="B213" s="1">
        <v>44567</v>
      </c>
      <c r="C213" s="2" t="s">
        <v>13</v>
      </c>
      <c r="D213" s="2" t="s">
        <v>33</v>
      </c>
      <c r="E213" s="2" t="s">
        <v>59</v>
      </c>
      <c r="F213" s="2" t="s">
        <v>51</v>
      </c>
      <c r="G213" s="2" t="s">
        <v>5</v>
      </c>
      <c r="H213" s="2" t="s">
        <v>54</v>
      </c>
      <c r="I213" s="3">
        <v>31.912514999999999</v>
      </c>
      <c r="J213" s="3">
        <v>51.826099999999997</v>
      </c>
      <c r="K213" s="3">
        <v>6.0008683999999999</v>
      </c>
      <c r="L213" s="2">
        <v>14</v>
      </c>
      <c r="M213" s="2">
        <v>67</v>
      </c>
      <c r="N213" s="2">
        <f t="shared" si="3"/>
        <v>81</v>
      </c>
      <c r="O213" s="2" t="s">
        <v>106</v>
      </c>
    </row>
    <row r="214" spans="1:15" x14ac:dyDescent="0.35">
      <c r="A214" s="2">
        <v>9</v>
      </c>
      <c r="B214" s="1">
        <v>44570</v>
      </c>
      <c r="C214" s="2" t="s">
        <v>13</v>
      </c>
      <c r="D214" s="2" t="s">
        <v>33</v>
      </c>
      <c r="E214" s="2" t="s">
        <v>59</v>
      </c>
      <c r="F214" s="2" t="s">
        <v>47</v>
      </c>
      <c r="G214" s="2" t="s">
        <v>60</v>
      </c>
      <c r="H214" s="2" t="s">
        <v>54</v>
      </c>
      <c r="I214" s="3">
        <v>34.3125</v>
      </c>
      <c r="J214" s="3">
        <v>43.416700000000006</v>
      </c>
      <c r="K214" s="3">
        <v>24.25065</v>
      </c>
      <c r="L214" s="2">
        <v>14</v>
      </c>
      <c r="M214" s="2">
        <v>67</v>
      </c>
      <c r="N214" s="2">
        <f t="shared" si="3"/>
        <v>81</v>
      </c>
      <c r="O214" s="2" t="s">
        <v>106</v>
      </c>
    </row>
    <row r="215" spans="1:15" x14ac:dyDescent="0.35">
      <c r="A215" s="2">
        <v>122</v>
      </c>
      <c r="B215" s="1">
        <v>44683</v>
      </c>
      <c r="C215" s="2" t="s">
        <v>14</v>
      </c>
      <c r="D215" s="2" t="s">
        <v>37</v>
      </c>
      <c r="E215" s="2" t="s">
        <v>59</v>
      </c>
      <c r="F215" s="2" t="s">
        <v>48</v>
      </c>
      <c r="G215" s="2" t="s">
        <v>5</v>
      </c>
      <c r="H215" s="2" t="s">
        <v>55</v>
      </c>
      <c r="I215" s="3">
        <v>18.037485</v>
      </c>
      <c r="J215" s="3">
        <v>73</v>
      </c>
      <c r="K215" s="3">
        <v>12.291418</v>
      </c>
      <c r="L215" s="2">
        <v>8</v>
      </c>
      <c r="M215" s="2">
        <v>73</v>
      </c>
      <c r="N215" s="2">
        <f t="shared" si="3"/>
        <v>81</v>
      </c>
      <c r="O215" s="2" t="s">
        <v>106</v>
      </c>
    </row>
    <row r="216" spans="1:15" x14ac:dyDescent="0.35">
      <c r="A216" s="2">
        <v>125</v>
      </c>
      <c r="B216" s="1">
        <v>44686</v>
      </c>
      <c r="C216" s="2" t="s">
        <v>14</v>
      </c>
      <c r="D216" s="2" t="s">
        <v>37</v>
      </c>
      <c r="E216" s="2" t="s">
        <v>59</v>
      </c>
      <c r="F216" s="2" t="s">
        <v>51</v>
      </c>
      <c r="G216" s="2" t="s">
        <v>5</v>
      </c>
      <c r="H216" s="2" t="s">
        <v>54</v>
      </c>
      <c r="I216" s="3">
        <v>18.149985000000001</v>
      </c>
      <c r="J216" s="3">
        <v>44.416699999999999</v>
      </c>
      <c r="K216" s="3">
        <v>19.791263999999998</v>
      </c>
      <c r="L216" s="2">
        <v>9</v>
      </c>
      <c r="M216" s="2">
        <v>72</v>
      </c>
      <c r="N216" s="2">
        <f t="shared" si="3"/>
        <v>81</v>
      </c>
      <c r="O216" s="2" t="s">
        <v>106</v>
      </c>
    </row>
    <row r="217" spans="1:15" x14ac:dyDescent="0.35">
      <c r="A217" s="2">
        <v>297</v>
      </c>
      <c r="B217" s="1">
        <v>44858</v>
      </c>
      <c r="C217" s="2" t="s">
        <v>16</v>
      </c>
      <c r="D217" s="2" t="s">
        <v>42</v>
      </c>
      <c r="E217" s="2" t="s">
        <v>59</v>
      </c>
      <c r="F217" s="2" t="s">
        <v>48</v>
      </c>
      <c r="G217" s="2" t="s">
        <v>5</v>
      </c>
      <c r="H217" s="2" t="s">
        <v>54</v>
      </c>
      <c r="I217" s="3">
        <v>27.300014999999998</v>
      </c>
      <c r="J217" s="3">
        <v>77.208299999999994</v>
      </c>
      <c r="K217" s="3">
        <v>7.9590639999999997</v>
      </c>
      <c r="L217" s="2">
        <v>15</v>
      </c>
      <c r="M217" s="2">
        <v>66</v>
      </c>
      <c r="N217" s="2">
        <f t="shared" si="3"/>
        <v>81</v>
      </c>
      <c r="O217" s="2" t="s">
        <v>106</v>
      </c>
    </row>
    <row r="218" spans="1:15" x14ac:dyDescent="0.35">
      <c r="A218" s="2">
        <v>300</v>
      </c>
      <c r="B218" s="1">
        <v>44861</v>
      </c>
      <c r="C218" s="2" t="s">
        <v>16</v>
      </c>
      <c r="D218" s="2" t="s">
        <v>42</v>
      </c>
      <c r="E218" s="2" t="s">
        <v>59</v>
      </c>
      <c r="F218" s="2" t="s">
        <v>51</v>
      </c>
      <c r="G218" s="2" t="s">
        <v>5</v>
      </c>
      <c r="H218" s="2" t="s">
        <v>55</v>
      </c>
      <c r="I218" s="3">
        <v>27.787500000000001</v>
      </c>
      <c r="J218" s="3">
        <v>81.291700000000006</v>
      </c>
      <c r="K218" s="3">
        <v>13.250121</v>
      </c>
      <c r="L218" s="2">
        <v>11</v>
      </c>
      <c r="M218" s="2">
        <v>70</v>
      </c>
      <c r="N218" s="2">
        <f t="shared" si="3"/>
        <v>81</v>
      </c>
      <c r="O218" s="2" t="s">
        <v>106</v>
      </c>
    </row>
    <row r="219" spans="1:15" x14ac:dyDescent="0.35">
      <c r="A219" s="2">
        <v>130</v>
      </c>
      <c r="B219" s="1">
        <v>44691</v>
      </c>
      <c r="C219" s="2" t="s">
        <v>14</v>
      </c>
      <c r="D219" s="2" t="s">
        <v>37</v>
      </c>
      <c r="E219" s="2" t="s">
        <v>59</v>
      </c>
      <c r="F219" s="2" t="s">
        <v>49</v>
      </c>
      <c r="G219" s="2" t="s">
        <v>5</v>
      </c>
      <c r="H219" s="2" t="s">
        <v>54</v>
      </c>
      <c r="I219" s="3">
        <v>18</v>
      </c>
      <c r="J219" s="3">
        <v>48.916699999999999</v>
      </c>
      <c r="K219" s="3">
        <v>7.7499569999999993</v>
      </c>
      <c r="L219" s="2">
        <v>6</v>
      </c>
      <c r="M219" s="2">
        <v>76</v>
      </c>
      <c r="N219" s="2">
        <f t="shared" si="3"/>
        <v>82</v>
      </c>
      <c r="O219" s="2" t="s">
        <v>106</v>
      </c>
    </row>
    <row r="220" spans="1:15" x14ac:dyDescent="0.35">
      <c r="A220" s="2">
        <v>133</v>
      </c>
      <c r="B220" s="1">
        <v>44694</v>
      </c>
      <c r="C220" s="2" t="s">
        <v>14</v>
      </c>
      <c r="D220" s="2" t="s">
        <v>37</v>
      </c>
      <c r="E220" s="2" t="s">
        <v>59</v>
      </c>
      <c r="F220" s="2" t="s">
        <v>52</v>
      </c>
      <c r="G220" s="2" t="s">
        <v>5</v>
      </c>
      <c r="H220" s="2" t="s">
        <v>55</v>
      </c>
      <c r="I220" s="3">
        <v>16.050015000000002</v>
      </c>
      <c r="J220" s="3">
        <v>86.333300000000008</v>
      </c>
      <c r="K220" s="3">
        <v>12.041575</v>
      </c>
      <c r="L220" s="2">
        <v>26</v>
      </c>
      <c r="M220" s="2">
        <v>56</v>
      </c>
      <c r="N220" s="2">
        <f t="shared" si="3"/>
        <v>82</v>
      </c>
      <c r="O220" s="2" t="s">
        <v>106</v>
      </c>
    </row>
    <row r="221" spans="1:15" x14ac:dyDescent="0.35">
      <c r="A221" s="2">
        <v>315</v>
      </c>
      <c r="B221" s="1">
        <v>44876</v>
      </c>
      <c r="C221" s="2" t="s">
        <v>16</v>
      </c>
      <c r="D221" s="2" t="s">
        <v>43</v>
      </c>
      <c r="E221" s="2" t="s">
        <v>3</v>
      </c>
      <c r="F221" s="2" t="s">
        <v>52</v>
      </c>
      <c r="G221" s="2" t="s">
        <v>60</v>
      </c>
      <c r="H221" s="2" t="s">
        <v>54</v>
      </c>
      <c r="I221" s="3">
        <v>23.062499999999996</v>
      </c>
      <c r="J221" s="3">
        <v>44.625</v>
      </c>
      <c r="K221" s="3">
        <v>21.083224999999999</v>
      </c>
      <c r="L221" s="2">
        <v>14</v>
      </c>
      <c r="M221" s="2">
        <v>68</v>
      </c>
      <c r="N221" s="2">
        <f t="shared" si="3"/>
        <v>82</v>
      </c>
      <c r="O221" s="2" t="s">
        <v>106</v>
      </c>
    </row>
    <row r="222" spans="1:15" x14ac:dyDescent="0.35">
      <c r="A222" s="2">
        <v>332</v>
      </c>
      <c r="B222" s="1">
        <v>44893</v>
      </c>
      <c r="C222" s="2" t="s">
        <v>16</v>
      </c>
      <c r="D222" s="2" t="s">
        <v>43</v>
      </c>
      <c r="E222" s="2" t="s">
        <v>59</v>
      </c>
      <c r="F222" s="2" t="s">
        <v>48</v>
      </c>
      <c r="G222" s="2" t="s">
        <v>5</v>
      </c>
      <c r="H222" s="2" t="s">
        <v>54</v>
      </c>
      <c r="I222" s="3">
        <v>32.999985000000002</v>
      </c>
      <c r="J222" s="3">
        <v>74.304299999999998</v>
      </c>
      <c r="K222" s="3">
        <v>9.5221739999999997</v>
      </c>
      <c r="L222" s="2">
        <v>31</v>
      </c>
      <c r="M222" s="2">
        <v>51</v>
      </c>
      <c r="N222" s="2">
        <f t="shared" si="3"/>
        <v>82</v>
      </c>
      <c r="O222" s="2" t="s">
        <v>106</v>
      </c>
    </row>
    <row r="223" spans="1:15" x14ac:dyDescent="0.35">
      <c r="A223" s="2">
        <v>42</v>
      </c>
      <c r="B223" s="1">
        <v>44603</v>
      </c>
      <c r="C223" s="2" t="s">
        <v>13</v>
      </c>
      <c r="D223" s="2" t="s">
        <v>34</v>
      </c>
      <c r="E223" s="2" t="s">
        <v>59</v>
      </c>
      <c r="F223" s="2" t="s">
        <v>52</v>
      </c>
      <c r="G223" s="2" t="s">
        <v>5</v>
      </c>
      <c r="H223" s="2" t="s">
        <v>54</v>
      </c>
      <c r="I223" s="3">
        <v>30.862485</v>
      </c>
      <c r="J223" s="3">
        <v>50.636400000000002</v>
      </c>
      <c r="K223" s="3">
        <v>7.2728499999999991</v>
      </c>
      <c r="L223" s="2">
        <v>30</v>
      </c>
      <c r="M223" s="2">
        <v>53</v>
      </c>
      <c r="N223" s="2">
        <f t="shared" si="3"/>
        <v>83</v>
      </c>
      <c r="O223" s="2" t="s">
        <v>106</v>
      </c>
    </row>
    <row r="224" spans="1:15" x14ac:dyDescent="0.35">
      <c r="A224" s="2">
        <v>48</v>
      </c>
      <c r="B224" s="1">
        <v>44609</v>
      </c>
      <c r="C224" s="2" t="s">
        <v>13</v>
      </c>
      <c r="D224" s="2" t="s">
        <v>34</v>
      </c>
      <c r="E224" s="2" t="s">
        <v>59</v>
      </c>
      <c r="F224" s="2" t="s">
        <v>51</v>
      </c>
      <c r="G224" s="2" t="s">
        <v>5</v>
      </c>
      <c r="H224" s="2" t="s">
        <v>54</v>
      </c>
      <c r="I224" s="3">
        <v>30.825000000000003</v>
      </c>
      <c r="J224" s="3">
        <v>50.5</v>
      </c>
      <c r="K224" s="3">
        <v>15.416968000000001</v>
      </c>
      <c r="L224" s="2">
        <v>16</v>
      </c>
      <c r="M224" s="2">
        <v>67</v>
      </c>
      <c r="N224" s="2">
        <f t="shared" si="3"/>
        <v>83</v>
      </c>
      <c r="O224" s="2" t="s">
        <v>106</v>
      </c>
    </row>
    <row r="225" spans="1:15" x14ac:dyDescent="0.35">
      <c r="A225" s="2">
        <v>87</v>
      </c>
      <c r="B225" s="1">
        <v>44648</v>
      </c>
      <c r="C225" s="2" t="s">
        <v>14</v>
      </c>
      <c r="D225" s="2" t="s">
        <v>35</v>
      </c>
      <c r="E225" s="2" t="s">
        <v>59</v>
      </c>
      <c r="F225" s="2" t="s">
        <v>48</v>
      </c>
      <c r="G225" s="2" t="s">
        <v>5</v>
      </c>
      <c r="H225" s="2" t="s">
        <v>54</v>
      </c>
      <c r="I225" s="3">
        <v>28.650015</v>
      </c>
      <c r="J225" s="3">
        <v>30.217400000000001</v>
      </c>
      <c r="K225" s="3">
        <v>14.217668</v>
      </c>
      <c r="L225" s="2">
        <v>10</v>
      </c>
      <c r="M225" s="2">
        <v>73</v>
      </c>
      <c r="N225" s="2">
        <f t="shared" si="3"/>
        <v>83</v>
      </c>
      <c r="O225" s="2" t="s">
        <v>106</v>
      </c>
    </row>
    <row r="226" spans="1:15" x14ac:dyDescent="0.35">
      <c r="A226" s="2">
        <v>110</v>
      </c>
      <c r="B226" s="1">
        <v>44671</v>
      </c>
      <c r="C226" s="2" t="s">
        <v>14</v>
      </c>
      <c r="D226" s="2" t="s">
        <v>36</v>
      </c>
      <c r="E226" s="2" t="s">
        <v>59</v>
      </c>
      <c r="F226" s="2" t="s">
        <v>50</v>
      </c>
      <c r="G226" s="2" t="s">
        <v>5</v>
      </c>
      <c r="H226" s="2" t="s">
        <v>54</v>
      </c>
      <c r="I226" s="3">
        <v>21.412485</v>
      </c>
      <c r="J226" s="3">
        <v>61.416699999999999</v>
      </c>
      <c r="K226" s="3">
        <v>16.208974999999999</v>
      </c>
      <c r="L226" s="2">
        <v>9</v>
      </c>
      <c r="M226" s="2">
        <v>74</v>
      </c>
      <c r="N226" s="2">
        <f t="shared" si="3"/>
        <v>83</v>
      </c>
      <c r="O226" s="2" t="s">
        <v>106</v>
      </c>
    </row>
    <row r="227" spans="1:15" x14ac:dyDescent="0.35">
      <c r="A227" s="2">
        <v>123</v>
      </c>
      <c r="B227" s="1">
        <v>44684</v>
      </c>
      <c r="C227" s="2" t="s">
        <v>14</v>
      </c>
      <c r="D227" s="2" t="s">
        <v>37</v>
      </c>
      <c r="E227" s="2" t="s">
        <v>59</v>
      </c>
      <c r="F227" s="2" t="s">
        <v>49</v>
      </c>
      <c r="G227" s="2" t="s">
        <v>5</v>
      </c>
      <c r="H227" s="2" t="s">
        <v>55</v>
      </c>
      <c r="I227" s="3">
        <v>16.987500000000001</v>
      </c>
      <c r="J227" s="3">
        <v>69.708299999999994</v>
      </c>
      <c r="K227" s="3">
        <v>22.958689</v>
      </c>
      <c r="L227" s="2">
        <v>7</v>
      </c>
      <c r="M227" s="2">
        <v>76</v>
      </c>
      <c r="N227" s="2">
        <f t="shared" si="3"/>
        <v>83</v>
      </c>
      <c r="O227" s="2" t="s">
        <v>106</v>
      </c>
    </row>
    <row r="228" spans="1:15" x14ac:dyDescent="0.35">
      <c r="A228" s="2">
        <v>319</v>
      </c>
      <c r="B228" s="1">
        <v>44880</v>
      </c>
      <c r="C228" s="2" t="s">
        <v>16</v>
      </c>
      <c r="D228" s="2" t="s">
        <v>43</v>
      </c>
      <c r="E228" s="2" t="s">
        <v>59</v>
      </c>
      <c r="F228" s="2" t="s">
        <v>49</v>
      </c>
      <c r="G228" s="2" t="s">
        <v>5</v>
      </c>
      <c r="H228" s="2" t="s">
        <v>55</v>
      </c>
      <c r="I228" s="3">
        <v>25.275015</v>
      </c>
      <c r="J228" s="3">
        <v>68.875</v>
      </c>
      <c r="K228" s="3">
        <v>13.375411</v>
      </c>
      <c r="L228" s="2">
        <v>14</v>
      </c>
      <c r="M228" s="2">
        <v>69</v>
      </c>
      <c r="N228" s="2">
        <f t="shared" si="3"/>
        <v>83</v>
      </c>
      <c r="O228" s="2" t="s">
        <v>106</v>
      </c>
    </row>
    <row r="229" spans="1:15" x14ac:dyDescent="0.35">
      <c r="A229" s="2">
        <v>114</v>
      </c>
      <c r="B229" s="1">
        <v>44675</v>
      </c>
      <c r="C229" s="2" t="s">
        <v>14</v>
      </c>
      <c r="D229" s="2" t="s">
        <v>36</v>
      </c>
      <c r="E229" s="2" t="s">
        <v>59</v>
      </c>
      <c r="F229" s="2" t="s">
        <v>47</v>
      </c>
      <c r="G229" s="2" t="s">
        <v>60</v>
      </c>
      <c r="H229" s="2" t="s">
        <v>55</v>
      </c>
      <c r="I229" s="3">
        <v>20.849985</v>
      </c>
      <c r="J229" s="3">
        <v>81.083300000000008</v>
      </c>
      <c r="K229" s="3">
        <v>12.875725000000001</v>
      </c>
      <c r="L229" s="2">
        <v>14</v>
      </c>
      <c r="M229" s="2">
        <v>70</v>
      </c>
      <c r="N229" s="2">
        <f t="shared" si="3"/>
        <v>84</v>
      </c>
      <c r="O229" s="2" t="s">
        <v>106</v>
      </c>
    </row>
    <row r="230" spans="1:15" x14ac:dyDescent="0.35">
      <c r="A230" s="2">
        <v>136</v>
      </c>
      <c r="B230" s="1">
        <v>44697</v>
      </c>
      <c r="C230" s="2" t="s">
        <v>14</v>
      </c>
      <c r="D230" s="2" t="s">
        <v>37</v>
      </c>
      <c r="E230" s="2" t="s">
        <v>59</v>
      </c>
      <c r="F230" s="2" t="s">
        <v>48</v>
      </c>
      <c r="G230" s="2" t="s">
        <v>5</v>
      </c>
      <c r="H230" s="2" t="s">
        <v>54</v>
      </c>
      <c r="I230" s="3">
        <v>23.85</v>
      </c>
      <c r="J230" s="3">
        <v>78.791699999999992</v>
      </c>
      <c r="K230" s="3">
        <v>8.5003570000000011</v>
      </c>
      <c r="L230" s="2">
        <v>9</v>
      </c>
      <c r="M230" s="2">
        <v>75</v>
      </c>
      <c r="N230" s="2">
        <f t="shared" si="3"/>
        <v>84</v>
      </c>
      <c r="O230" s="2" t="s">
        <v>106</v>
      </c>
    </row>
    <row r="231" spans="1:15" x14ac:dyDescent="0.35">
      <c r="A231" s="2">
        <v>293</v>
      </c>
      <c r="B231" s="1">
        <v>44854</v>
      </c>
      <c r="C231" s="2" t="s">
        <v>16</v>
      </c>
      <c r="D231" s="2" t="s">
        <v>42</v>
      </c>
      <c r="E231" s="2" t="s">
        <v>59</v>
      </c>
      <c r="F231" s="2" t="s">
        <v>51</v>
      </c>
      <c r="G231" s="2" t="s">
        <v>5</v>
      </c>
      <c r="H231" s="2" t="s">
        <v>54</v>
      </c>
      <c r="I231" s="3">
        <v>20.662514999999999</v>
      </c>
      <c r="J231" s="3">
        <v>63.625</v>
      </c>
      <c r="K231" s="3">
        <v>28.292425000000001</v>
      </c>
      <c r="L231" s="2">
        <v>15</v>
      </c>
      <c r="M231" s="2">
        <v>69</v>
      </c>
      <c r="N231" s="2">
        <f t="shared" si="3"/>
        <v>84</v>
      </c>
      <c r="O231" s="2" t="s">
        <v>106</v>
      </c>
    </row>
    <row r="232" spans="1:15" x14ac:dyDescent="0.35">
      <c r="A232" s="2">
        <v>296</v>
      </c>
      <c r="B232" s="1">
        <v>44857</v>
      </c>
      <c r="C232" s="2" t="s">
        <v>16</v>
      </c>
      <c r="D232" s="2" t="s">
        <v>42</v>
      </c>
      <c r="E232" s="2" t="s">
        <v>59</v>
      </c>
      <c r="F232" s="2" t="s">
        <v>47</v>
      </c>
      <c r="G232" s="2" t="s">
        <v>60</v>
      </c>
      <c r="H232" s="2" t="s">
        <v>54</v>
      </c>
      <c r="I232" s="3">
        <v>26.175015000000002</v>
      </c>
      <c r="J232" s="3">
        <v>74.125</v>
      </c>
      <c r="K232" s="3">
        <v>6.6673375000000004</v>
      </c>
      <c r="L232" s="2">
        <v>34</v>
      </c>
      <c r="M232" s="2">
        <v>50</v>
      </c>
      <c r="N232" s="2">
        <f t="shared" si="3"/>
        <v>84</v>
      </c>
      <c r="O232" s="2" t="s">
        <v>106</v>
      </c>
    </row>
    <row r="233" spans="1:15" x14ac:dyDescent="0.35">
      <c r="A233" s="2">
        <v>313</v>
      </c>
      <c r="B233" s="1">
        <v>44874</v>
      </c>
      <c r="C233" s="2" t="s">
        <v>16</v>
      </c>
      <c r="D233" s="2" t="s">
        <v>43</v>
      </c>
      <c r="E233" s="2" t="s">
        <v>59</v>
      </c>
      <c r="F233" s="2" t="s">
        <v>50</v>
      </c>
      <c r="G233" s="2" t="s">
        <v>5</v>
      </c>
      <c r="H233" s="2" t="s">
        <v>54</v>
      </c>
      <c r="I233" s="3">
        <v>24.412499999999998</v>
      </c>
      <c r="J233" s="3">
        <v>75.833300000000008</v>
      </c>
      <c r="K233" s="3">
        <v>4.1671186000000002</v>
      </c>
      <c r="L233" s="2">
        <v>11</v>
      </c>
      <c r="M233" s="2">
        <v>73</v>
      </c>
      <c r="N233" s="2">
        <f t="shared" si="3"/>
        <v>84</v>
      </c>
      <c r="O233" s="2" t="s">
        <v>106</v>
      </c>
    </row>
    <row r="234" spans="1:15" x14ac:dyDescent="0.35">
      <c r="A234" s="2">
        <v>10</v>
      </c>
      <c r="B234" s="1">
        <v>44571</v>
      </c>
      <c r="C234" s="2" t="s">
        <v>13</v>
      </c>
      <c r="D234" s="2" t="s">
        <v>33</v>
      </c>
      <c r="E234" s="2" t="s">
        <v>59</v>
      </c>
      <c r="F234" s="2" t="s">
        <v>48</v>
      </c>
      <c r="G234" s="2" t="s">
        <v>5</v>
      </c>
      <c r="H234" s="2" t="s">
        <v>54</v>
      </c>
      <c r="I234" s="3">
        <v>35.737514999999995</v>
      </c>
      <c r="J234" s="3">
        <v>48.291699999999999</v>
      </c>
      <c r="K234" s="3">
        <v>14.958888999999999</v>
      </c>
      <c r="L234" s="2">
        <v>13</v>
      </c>
      <c r="M234" s="2">
        <v>72</v>
      </c>
      <c r="N234" s="2">
        <f t="shared" si="3"/>
        <v>85</v>
      </c>
      <c r="O234" s="2" t="s">
        <v>106</v>
      </c>
    </row>
    <row r="235" spans="1:15" x14ac:dyDescent="0.35">
      <c r="A235" s="2">
        <v>35</v>
      </c>
      <c r="B235" s="1">
        <v>44596</v>
      </c>
      <c r="C235" s="2" t="s">
        <v>13</v>
      </c>
      <c r="D235" s="2" t="s">
        <v>34</v>
      </c>
      <c r="E235" s="2" t="s">
        <v>59</v>
      </c>
      <c r="F235" s="2" t="s">
        <v>52</v>
      </c>
      <c r="G235" s="2" t="s">
        <v>5</v>
      </c>
      <c r="H235" s="2" t="s">
        <v>55</v>
      </c>
      <c r="I235" s="3">
        <v>32.250015000000005</v>
      </c>
      <c r="J235" s="3">
        <v>58.521699999999996</v>
      </c>
      <c r="K235" s="3">
        <v>8.565213</v>
      </c>
      <c r="L235" s="2">
        <v>30</v>
      </c>
      <c r="M235" s="2">
        <v>55</v>
      </c>
      <c r="N235" s="2">
        <f t="shared" si="3"/>
        <v>85</v>
      </c>
      <c r="O235" s="2" t="s">
        <v>106</v>
      </c>
    </row>
    <row r="236" spans="1:15" x14ac:dyDescent="0.35">
      <c r="A236" s="2">
        <v>78</v>
      </c>
      <c r="B236" s="1">
        <v>44639</v>
      </c>
      <c r="C236" s="2" t="s">
        <v>14</v>
      </c>
      <c r="D236" s="2" t="s">
        <v>35</v>
      </c>
      <c r="E236" s="2" t="s">
        <v>59</v>
      </c>
      <c r="F236" s="2" t="s">
        <v>53</v>
      </c>
      <c r="G236" s="2" t="s">
        <v>60</v>
      </c>
      <c r="H236" s="2" t="s">
        <v>54</v>
      </c>
      <c r="I236" s="3">
        <v>22.837499999999999</v>
      </c>
      <c r="J236" s="3">
        <v>37.916699999999999</v>
      </c>
      <c r="K236" s="3">
        <v>24.667189</v>
      </c>
      <c r="L236" s="2">
        <v>27</v>
      </c>
      <c r="M236" s="2">
        <v>58</v>
      </c>
      <c r="N236" s="2">
        <f t="shared" si="3"/>
        <v>85</v>
      </c>
      <c r="O236" s="2" t="s">
        <v>106</v>
      </c>
    </row>
    <row r="237" spans="1:15" x14ac:dyDescent="0.35">
      <c r="A237" s="2">
        <v>129</v>
      </c>
      <c r="B237" s="1">
        <v>44690</v>
      </c>
      <c r="C237" s="2" t="s">
        <v>14</v>
      </c>
      <c r="D237" s="2" t="s">
        <v>37</v>
      </c>
      <c r="E237" s="2" t="s">
        <v>59</v>
      </c>
      <c r="F237" s="2" t="s">
        <v>48</v>
      </c>
      <c r="G237" s="2" t="s">
        <v>5</v>
      </c>
      <c r="H237" s="2" t="s">
        <v>54</v>
      </c>
      <c r="I237" s="3">
        <v>18.374984999999999</v>
      </c>
      <c r="J237" s="3">
        <v>58.875</v>
      </c>
      <c r="K237" s="3">
        <v>11.792</v>
      </c>
      <c r="L237" s="2">
        <v>8</v>
      </c>
      <c r="M237" s="2">
        <v>77</v>
      </c>
      <c r="N237" s="2">
        <f t="shared" si="3"/>
        <v>85</v>
      </c>
      <c r="O237" s="2" t="s">
        <v>106</v>
      </c>
    </row>
    <row r="238" spans="1:15" x14ac:dyDescent="0.35">
      <c r="A238" s="2">
        <v>29</v>
      </c>
      <c r="B238" s="1">
        <v>44590</v>
      </c>
      <c r="C238" s="2" t="s">
        <v>13</v>
      </c>
      <c r="D238" s="2" t="s">
        <v>33</v>
      </c>
      <c r="E238" s="2" t="s">
        <v>59</v>
      </c>
      <c r="F238" s="2" t="s">
        <v>53</v>
      </c>
      <c r="G238" s="2" t="s">
        <v>60</v>
      </c>
      <c r="H238" s="2" t="s">
        <v>54</v>
      </c>
      <c r="I238" s="3">
        <v>36.262484999999998</v>
      </c>
      <c r="J238" s="3">
        <v>65.173899999999989</v>
      </c>
      <c r="K238" s="3">
        <v>9.7394549999999995</v>
      </c>
      <c r="L238" s="2">
        <v>30</v>
      </c>
      <c r="M238" s="2">
        <v>56</v>
      </c>
      <c r="N238" s="2">
        <f t="shared" si="3"/>
        <v>86</v>
      </c>
      <c r="O238" s="2" t="s">
        <v>106</v>
      </c>
    </row>
    <row r="239" spans="1:15" x14ac:dyDescent="0.35">
      <c r="A239" s="2">
        <v>30</v>
      </c>
      <c r="B239" s="1">
        <v>44591</v>
      </c>
      <c r="C239" s="2" t="s">
        <v>13</v>
      </c>
      <c r="D239" s="2" t="s">
        <v>33</v>
      </c>
      <c r="E239" s="2" t="s">
        <v>59</v>
      </c>
      <c r="F239" s="2" t="s">
        <v>47</v>
      </c>
      <c r="G239" s="2" t="s">
        <v>60</v>
      </c>
      <c r="H239" s="2" t="s">
        <v>54</v>
      </c>
      <c r="I239" s="3">
        <v>34.725014999999999</v>
      </c>
      <c r="J239" s="3">
        <v>72.217399999999998</v>
      </c>
      <c r="K239" s="3">
        <v>4.9568341999999994</v>
      </c>
      <c r="L239" s="2">
        <v>15</v>
      </c>
      <c r="M239" s="2">
        <v>71</v>
      </c>
      <c r="N239" s="2">
        <f t="shared" si="3"/>
        <v>86</v>
      </c>
      <c r="O239" s="2" t="s">
        <v>106</v>
      </c>
    </row>
    <row r="240" spans="1:15" x14ac:dyDescent="0.35">
      <c r="A240" s="2">
        <v>57</v>
      </c>
      <c r="B240" s="1">
        <v>44618</v>
      </c>
      <c r="C240" s="2" t="s">
        <v>13</v>
      </c>
      <c r="D240" s="2" t="s">
        <v>34</v>
      </c>
      <c r="E240" s="2" t="s">
        <v>59</v>
      </c>
      <c r="F240" s="2" t="s">
        <v>53</v>
      </c>
      <c r="G240" s="2" t="s">
        <v>60</v>
      </c>
      <c r="H240" s="2" t="s">
        <v>54</v>
      </c>
      <c r="I240" s="3">
        <v>31.817654999999998</v>
      </c>
      <c r="J240" s="3">
        <v>53.791699999999999</v>
      </c>
      <c r="K240" s="3">
        <v>12.500257</v>
      </c>
      <c r="L240" s="2">
        <v>28</v>
      </c>
      <c r="M240" s="2">
        <v>58</v>
      </c>
      <c r="N240" s="2">
        <f t="shared" si="3"/>
        <v>86</v>
      </c>
      <c r="O240" s="2" t="s">
        <v>106</v>
      </c>
    </row>
    <row r="241" spans="1:15" x14ac:dyDescent="0.35">
      <c r="A241" s="2">
        <v>112</v>
      </c>
      <c r="B241" s="1">
        <v>44673</v>
      </c>
      <c r="C241" s="2" t="s">
        <v>14</v>
      </c>
      <c r="D241" s="2" t="s">
        <v>36</v>
      </c>
      <c r="E241" s="2" t="s">
        <v>59</v>
      </c>
      <c r="F241" s="2" t="s">
        <v>52</v>
      </c>
      <c r="G241" s="2" t="s">
        <v>5</v>
      </c>
      <c r="H241" s="2" t="s">
        <v>55</v>
      </c>
      <c r="I241" s="3">
        <v>19.012499999999999</v>
      </c>
      <c r="J241" s="3">
        <v>72.958299999999994</v>
      </c>
      <c r="K241" s="3">
        <v>14.707906999999999</v>
      </c>
      <c r="L241" s="2">
        <v>30</v>
      </c>
      <c r="M241" s="2">
        <v>56</v>
      </c>
      <c r="N241" s="2">
        <f t="shared" si="3"/>
        <v>86</v>
      </c>
      <c r="O241" s="2" t="s">
        <v>106</v>
      </c>
    </row>
    <row r="242" spans="1:15" x14ac:dyDescent="0.35">
      <c r="A242" s="2">
        <v>325</v>
      </c>
      <c r="B242" s="1">
        <v>44886</v>
      </c>
      <c r="C242" s="2" t="s">
        <v>16</v>
      </c>
      <c r="D242" s="2" t="s">
        <v>43</v>
      </c>
      <c r="E242" s="2" t="s">
        <v>59</v>
      </c>
      <c r="F242" s="2" t="s">
        <v>48</v>
      </c>
      <c r="G242" s="2" t="s">
        <v>5</v>
      </c>
      <c r="H242" s="2" t="s">
        <v>56</v>
      </c>
      <c r="I242" s="3">
        <v>28.425014999999998</v>
      </c>
      <c r="J242" s="3">
        <v>91</v>
      </c>
      <c r="K242" s="3">
        <v>9.2496179999999999</v>
      </c>
      <c r="L242" s="2">
        <v>17</v>
      </c>
      <c r="M242" s="2">
        <v>69</v>
      </c>
      <c r="N242" s="2">
        <f t="shared" si="3"/>
        <v>86</v>
      </c>
      <c r="O242" s="2" t="s">
        <v>106</v>
      </c>
    </row>
    <row r="243" spans="1:15" x14ac:dyDescent="0.35">
      <c r="A243" s="2">
        <v>11</v>
      </c>
      <c r="B243" s="1">
        <v>44572</v>
      </c>
      <c r="C243" s="2" t="s">
        <v>13</v>
      </c>
      <c r="D243" s="2" t="s">
        <v>33</v>
      </c>
      <c r="E243" s="2" t="s">
        <v>59</v>
      </c>
      <c r="F243" s="2" t="s">
        <v>49</v>
      </c>
      <c r="G243" s="2" t="s">
        <v>5</v>
      </c>
      <c r="H243" s="2" t="s">
        <v>55</v>
      </c>
      <c r="I243" s="3">
        <v>33.600014999999999</v>
      </c>
      <c r="J243" s="3">
        <v>68.636399999999995</v>
      </c>
      <c r="K243" s="3">
        <v>8.1828440000000011</v>
      </c>
      <c r="L243" s="2">
        <v>15</v>
      </c>
      <c r="M243" s="2">
        <v>72</v>
      </c>
      <c r="N243" s="2">
        <f t="shared" si="3"/>
        <v>87</v>
      </c>
      <c r="O243" s="2" t="s">
        <v>106</v>
      </c>
    </row>
    <row r="244" spans="1:15" x14ac:dyDescent="0.35">
      <c r="A244" s="2">
        <v>18</v>
      </c>
      <c r="B244" s="1">
        <v>44579</v>
      </c>
      <c r="C244" s="2" t="s">
        <v>13</v>
      </c>
      <c r="D244" s="2" t="s">
        <v>33</v>
      </c>
      <c r="E244" s="2" t="s">
        <v>59</v>
      </c>
      <c r="F244" s="2" t="s">
        <v>49</v>
      </c>
      <c r="G244" s="2" t="s">
        <v>5</v>
      </c>
      <c r="H244" s="2" t="s">
        <v>55</v>
      </c>
      <c r="I244" s="3">
        <v>34.574985000000005</v>
      </c>
      <c r="J244" s="3">
        <v>86.166699999999992</v>
      </c>
      <c r="K244" s="3">
        <v>9.8339249999999989</v>
      </c>
      <c r="L244" s="2">
        <v>13</v>
      </c>
      <c r="M244" s="2">
        <v>74</v>
      </c>
      <c r="N244" s="2">
        <f t="shared" si="3"/>
        <v>87</v>
      </c>
      <c r="O244" s="2" t="s">
        <v>106</v>
      </c>
    </row>
    <row r="245" spans="1:15" x14ac:dyDescent="0.35">
      <c r="A245" s="2">
        <v>37</v>
      </c>
      <c r="B245" s="1">
        <v>44598</v>
      </c>
      <c r="C245" s="2" t="s">
        <v>13</v>
      </c>
      <c r="D245" s="2" t="s">
        <v>34</v>
      </c>
      <c r="E245" s="2" t="s">
        <v>59</v>
      </c>
      <c r="F245" s="2" t="s">
        <v>47</v>
      </c>
      <c r="G245" s="2" t="s">
        <v>60</v>
      </c>
      <c r="H245" s="2" t="s">
        <v>54</v>
      </c>
      <c r="I245" s="3">
        <v>34.424999999999997</v>
      </c>
      <c r="J245" s="3">
        <v>56.833299999999994</v>
      </c>
      <c r="K245" s="3">
        <v>9.5006000000000004</v>
      </c>
      <c r="L245" s="2">
        <v>17</v>
      </c>
      <c r="M245" s="2">
        <v>70</v>
      </c>
      <c r="N245" s="2">
        <f t="shared" si="3"/>
        <v>87</v>
      </c>
      <c r="O245" s="2" t="s">
        <v>106</v>
      </c>
    </row>
    <row r="246" spans="1:15" x14ac:dyDescent="0.35">
      <c r="A246" s="2">
        <v>44</v>
      </c>
      <c r="B246" s="1">
        <v>44605</v>
      </c>
      <c r="C246" s="2" t="s">
        <v>13</v>
      </c>
      <c r="D246" s="2" t="s">
        <v>34</v>
      </c>
      <c r="E246" s="2" t="s">
        <v>59</v>
      </c>
      <c r="F246" s="2" t="s">
        <v>47</v>
      </c>
      <c r="G246" s="2" t="s">
        <v>60</v>
      </c>
      <c r="H246" s="2" t="s">
        <v>54</v>
      </c>
      <c r="I246" s="3">
        <v>29.962485000000001</v>
      </c>
      <c r="J246" s="3">
        <v>45.739100000000001</v>
      </c>
      <c r="K246" s="3">
        <v>17.479160999999998</v>
      </c>
      <c r="L246" s="2">
        <v>16</v>
      </c>
      <c r="M246" s="2">
        <v>71</v>
      </c>
      <c r="N246" s="2">
        <f t="shared" si="3"/>
        <v>87</v>
      </c>
      <c r="O246" s="2" t="s">
        <v>106</v>
      </c>
    </row>
    <row r="247" spans="1:15" x14ac:dyDescent="0.35">
      <c r="A247" s="2">
        <v>81</v>
      </c>
      <c r="B247" s="1">
        <v>44642</v>
      </c>
      <c r="C247" s="2" t="s">
        <v>14</v>
      </c>
      <c r="D247" s="2" t="s">
        <v>35</v>
      </c>
      <c r="E247" s="2" t="s">
        <v>59</v>
      </c>
      <c r="F247" s="2" t="s">
        <v>49</v>
      </c>
      <c r="G247" s="2" t="s">
        <v>5</v>
      </c>
      <c r="H247" s="2" t="s">
        <v>54</v>
      </c>
      <c r="I247" s="3">
        <v>26.774999999999999</v>
      </c>
      <c r="J247" s="3">
        <v>62.458300000000001</v>
      </c>
      <c r="K247" s="3">
        <v>15.125250000000001</v>
      </c>
      <c r="L247" s="2">
        <v>11</v>
      </c>
      <c r="M247" s="2">
        <v>76</v>
      </c>
      <c r="N247" s="2">
        <f t="shared" si="3"/>
        <v>87</v>
      </c>
      <c r="O247" s="2" t="s">
        <v>106</v>
      </c>
    </row>
    <row r="248" spans="1:15" x14ac:dyDescent="0.35">
      <c r="A248" s="2">
        <v>111</v>
      </c>
      <c r="B248" s="1">
        <v>44672</v>
      </c>
      <c r="C248" s="2" t="s">
        <v>14</v>
      </c>
      <c r="D248" s="2" t="s">
        <v>36</v>
      </c>
      <c r="E248" s="2" t="s">
        <v>59</v>
      </c>
      <c r="F248" s="2" t="s">
        <v>51</v>
      </c>
      <c r="G248" s="2" t="s">
        <v>5</v>
      </c>
      <c r="H248" s="2" t="s">
        <v>54</v>
      </c>
      <c r="I248" s="3">
        <v>19.237500000000001</v>
      </c>
      <c r="J248" s="3">
        <v>40.708299999999994</v>
      </c>
      <c r="K248" s="3">
        <v>21.792286000000001</v>
      </c>
      <c r="L248" s="2">
        <v>14</v>
      </c>
      <c r="M248" s="2">
        <v>73</v>
      </c>
      <c r="N248" s="2">
        <f t="shared" si="3"/>
        <v>87</v>
      </c>
      <c r="O248" s="2" t="s">
        <v>106</v>
      </c>
    </row>
    <row r="249" spans="1:15" x14ac:dyDescent="0.35">
      <c r="A249" s="2">
        <v>113</v>
      </c>
      <c r="B249" s="1">
        <v>44674</v>
      </c>
      <c r="C249" s="2" t="s">
        <v>14</v>
      </c>
      <c r="D249" s="2" t="s">
        <v>36</v>
      </c>
      <c r="E249" s="2" t="s">
        <v>59</v>
      </c>
      <c r="F249" s="2" t="s">
        <v>53</v>
      </c>
      <c r="G249" s="2" t="s">
        <v>60</v>
      </c>
      <c r="H249" s="2" t="s">
        <v>55</v>
      </c>
      <c r="I249" s="3">
        <v>18.975014999999999</v>
      </c>
      <c r="J249" s="3">
        <v>88.791699999999992</v>
      </c>
      <c r="K249" s="3">
        <v>15.458575000000002</v>
      </c>
      <c r="L249" s="2">
        <v>32</v>
      </c>
      <c r="M249" s="2">
        <v>55</v>
      </c>
      <c r="N249" s="2">
        <f t="shared" si="3"/>
        <v>87</v>
      </c>
      <c r="O249" s="2" t="s">
        <v>106</v>
      </c>
    </row>
    <row r="250" spans="1:15" x14ac:dyDescent="0.35">
      <c r="A250" s="2">
        <v>310</v>
      </c>
      <c r="B250" s="1">
        <v>44871</v>
      </c>
      <c r="C250" s="2" t="s">
        <v>16</v>
      </c>
      <c r="D250" s="2" t="s">
        <v>43</v>
      </c>
      <c r="E250" s="2" t="s">
        <v>59</v>
      </c>
      <c r="F250" s="2" t="s">
        <v>47</v>
      </c>
      <c r="G250" s="2" t="s">
        <v>60</v>
      </c>
      <c r="H250" s="2" t="s">
        <v>54</v>
      </c>
      <c r="I250" s="3">
        <v>23.774985000000001</v>
      </c>
      <c r="J250" s="3">
        <v>73.458299999999994</v>
      </c>
      <c r="K250" s="3">
        <v>6.1676314000000003</v>
      </c>
      <c r="L250" s="2">
        <v>28</v>
      </c>
      <c r="M250" s="2">
        <v>59</v>
      </c>
      <c r="N250" s="2">
        <f t="shared" si="3"/>
        <v>87</v>
      </c>
      <c r="O250" s="2" t="s">
        <v>106</v>
      </c>
    </row>
    <row r="251" spans="1:15" x14ac:dyDescent="0.35">
      <c r="A251" s="2">
        <v>311</v>
      </c>
      <c r="B251" s="1">
        <v>44872</v>
      </c>
      <c r="C251" s="2" t="s">
        <v>16</v>
      </c>
      <c r="D251" s="2" t="s">
        <v>43</v>
      </c>
      <c r="E251" s="2" t="s">
        <v>59</v>
      </c>
      <c r="F251" s="2" t="s">
        <v>48</v>
      </c>
      <c r="G251" s="2" t="s">
        <v>5</v>
      </c>
      <c r="H251" s="2" t="s">
        <v>54</v>
      </c>
      <c r="I251" s="3">
        <v>23.962499999999999</v>
      </c>
      <c r="J251" s="3">
        <v>75.875</v>
      </c>
      <c r="K251" s="3">
        <v>3.8340749999999999</v>
      </c>
      <c r="L251" s="2">
        <v>13</v>
      </c>
      <c r="M251" s="2">
        <v>74</v>
      </c>
      <c r="N251" s="2">
        <f t="shared" si="3"/>
        <v>87</v>
      </c>
      <c r="O251" s="2" t="s">
        <v>106</v>
      </c>
    </row>
    <row r="252" spans="1:15" x14ac:dyDescent="0.35">
      <c r="A252" s="2">
        <v>26</v>
      </c>
      <c r="B252" s="1">
        <v>44587</v>
      </c>
      <c r="C252" s="2" t="s">
        <v>13</v>
      </c>
      <c r="D252" s="2" t="s">
        <v>33</v>
      </c>
      <c r="E252" s="2" t="s">
        <v>59</v>
      </c>
      <c r="F252" s="2" t="s">
        <v>50</v>
      </c>
      <c r="G252" s="2" t="s">
        <v>5</v>
      </c>
      <c r="H252" s="2" t="s">
        <v>56</v>
      </c>
      <c r="I252" s="3">
        <v>35.062515000000005</v>
      </c>
      <c r="J252" s="3">
        <v>86.25</v>
      </c>
      <c r="K252" s="3">
        <v>19.687950000000001</v>
      </c>
      <c r="L252" s="2">
        <v>12</v>
      </c>
      <c r="M252" s="2">
        <v>76</v>
      </c>
      <c r="N252" s="2">
        <f t="shared" si="3"/>
        <v>88</v>
      </c>
      <c r="O252" s="2" t="s">
        <v>106</v>
      </c>
    </row>
    <row r="253" spans="1:15" x14ac:dyDescent="0.35">
      <c r="A253" s="2">
        <v>298</v>
      </c>
      <c r="B253" s="1">
        <v>44859</v>
      </c>
      <c r="C253" s="2" t="s">
        <v>16</v>
      </c>
      <c r="D253" s="2" t="s">
        <v>42</v>
      </c>
      <c r="E253" s="2" t="s">
        <v>59</v>
      </c>
      <c r="F253" s="2" t="s">
        <v>49</v>
      </c>
      <c r="G253" s="2" t="s">
        <v>5</v>
      </c>
      <c r="H253" s="2" t="s">
        <v>54</v>
      </c>
      <c r="I253" s="3">
        <v>28.425014999999998</v>
      </c>
      <c r="J253" s="3">
        <v>62.291700000000006</v>
      </c>
      <c r="K253" s="3">
        <v>11.166086</v>
      </c>
      <c r="L253" s="2">
        <v>14</v>
      </c>
      <c r="M253" s="2">
        <v>74</v>
      </c>
      <c r="N253" s="2">
        <f t="shared" si="3"/>
        <v>88</v>
      </c>
      <c r="O253" s="2" t="s">
        <v>106</v>
      </c>
    </row>
    <row r="254" spans="1:15" x14ac:dyDescent="0.35">
      <c r="A254" s="2">
        <v>304</v>
      </c>
      <c r="B254" s="1">
        <v>44865</v>
      </c>
      <c r="C254" s="2" t="s">
        <v>16</v>
      </c>
      <c r="D254" s="2" t="s">
        <v>42</v>
      </c>
      <c r="E254" s="2" t="s">
        <v>59</v>
      </c>
      <c r="F254" s="2" t="s">
        <v>48</v>
      </c>
      <c r="G254" s="2" t="s">
        <v>5</v>
      </c>
      <c r="H254" s="2" t="s">
        <v>54</v>
      </c>
      <c r="I254" s="3">
        <v>24.712515</v>
      </c>
      <c r="J254" s="3">
        <v>70.333299999999994</v>
      </c>
      <c r="K254" s="3">
        <v>7.1254499999999998</v>
      </c>
      <c r="L254" s="2">
        <v>17</v>
      </c>
      <c r="M254" s="2">
        <v>71</v>
      </c>
      <c r="N254" s="2">
        <f t="shared" si="3"/>
        <v>88</v>
      </c>
      <c r="O254" s="2" t="s">
        <v>106</v>
      </c>
    </row>
    <row r="255" spans="1:15" x14ac:dyDescent="0.35">
      <c r="A255" s="2">
        <v>307</v>
      </c>
      <c r="B255" s="1">
        <v>44868</v>
      </c>
      <c r="C255" s="2" t="s">
        <v>16</v>
      </c>
      <c r="D255" s="2" t="s">
        <v>43</v>
      </c>
      <c r="E255" s="2" t="s">
        <v>59</v>
      </c>
      <c r="F255" s="2" t="s">
        <v>51</v>
      </c>
      <c r="G255" s="2" t="s">
        <v>5</v>
      </c>
      <c r="H255" s="2" t="s">
        <v>54</v>
      </c>
      <c r="I255" s="3">
        <v>20.662514999999999</v>
      </c>
      <c r="J255" s="3">
        <v>70.208300000000008</v>
      </c>
      <c r="K255" s="3">
        <v>9.1667389999999997</v>
      </c>
      <c r="L255" s="2">
        <v>12</v>
      </c>
      <c r="M255" s="2">
        <v>76</v>
      </c>
      <c r="N255" s="2">
        <f t="shared" si="3"/>
        <v>88</v>
      </c>
      <c r="O255" s="2" t="s">
        <v>106</v>
      </c>
    </row>
    <row r="256" spans="1:15" x14ac:dyDescent="0.35">
      <c r="A256" s="2">
        <v>16</v>
      </c>
      <c r="B256" s="1">
        <v>44577</v>
      </c>
      <c r="C256" s="2" t="s">
        <v>13</v>
      </c>
      <c r="D256" s="2" t="s">
        <v>33</v>
      </c>
      <c r="E256" s="2" t="s">
        <v>59</v>
      </c>
      <c r="F256" s="2" t="s">
        <v>47</v>
      </c>
      <c r="G256" s="2" t="s">
        <v>60</v>
      </c>
      <c r="H256" s="2" t="s">
        <v>54</v>
      </c>
      <c r="I256" s="3">
        <v>33.600014999999999</v>
      </c>
      <c r="J256" s="3">
        <v>48.375</v>
      </c>
      <c r="K256" s="3">
        <v>12.625010999999999</v>
      </c>
      <c r="L256" s="2">
        <v>17</v>
      </c>
      <c r="M256" s="2">
        <v>72</v>
      </c>
      <c r="N256" s="2">
        <f t="shared" si="3"/>
        <v>89</v>
      </c>
      <c r="O256" s="2" t="s">
        <v>106</v>
      </c>
    </row>
    <row r="257" spans="1:15" x14ac:dyDescent="0.35">
      <c r="A257" s="2">
        <v>28</v>
      </c>
      <c r="B257" s="1">
        <v>44589</v>
      </c>
      <c r="C257" s="2" t="s">
        <v>13</v>
      </c>
      <c r="D257" s="2" t="s">
        <v>33</v>
      </c>
      <c r="E257" s="2" t="s">
        <v>59</v>
      </c>
      <c r="F257" s="2" t="s">
        <v>52</v>
      </c>
      <c r="G257" s="2" t="s">
        <v>5</v>
      </c>
      <c r="H257" s="2" t="s">
        <v>55</v>
      </c>
      <c r="I257" s="3">
        <v>36.187514999999998</v>
      </c>
      <c r="J257" s="3">
        <v>79.304300000000012</v>
      </c>
      <c r="K257" s="3">
        <v>8.2611000000000008</v>
      </c>
      <c r="L257" s="2">
        <v>31</v>
      </c>
      <c r="M257" s="2">
        <v>58</v>
      </c>
      <c r="N257" s="2">
        <f t="shared" si="3"/>
        <v>89</v>
      </c>
      <c r="O257" s="2" t="s">
        <v>106</v>
      </c>
    </row>
    <row r="258" spans="1:15" x14ac:dyDescent="0.35">
      <c r="A258" s="2">
        <v>94</v>
      </c>
      <c r="B258" s="1">
        <v>44655</v>
      </c>
      <c r="C258" s="2" t="s">
        <v>14</v>
      </c>
      <c r="D258" s="2" t="s">
        <v>36</v>
      </c>
      <c r="E258" s="2" t="s">
        <v>59</v>
      </c>
      <c r="F258" s="2" t="s">
        <v>48</v>
      </c>
      <c r="G258" s="2" t="s">
        <v>5</v>
      </c>
      <c r="H258" s="2" t="s">
        <v>54</v>
      </c>
      <c r="I258" s="3">
        <v>21.787514999999999</v>
      </c>
      <c r="J258" s="3">
        <v>42.625</v>
      </c>
      <c r="K258" s="3">
        <v>25.833257</v>
      </c>
      <c r="L258" s="2">
        <v>10</v>
      </c>
      <c r="M258" s="2">
        <v>79</v>
      </c>
      <c r="N258" s="2">
        <f t="shared" ref="N258:N321" si="4">L258+M258</f>
        <v>89</v>
      </c>
      <c r="O258" s="2" t="s">
        <v>106</v>
      </c>
    </row>
    <row r="259" spans="1:15" x14ac:dyDescent="0.35">
      <c r="A259" s="2">
        <v>305</v>
      </c>
      <c r="B259" s="1">
        <v>44866</v>
      </c>
      <c r="C259" s="2" t="s">
        <v>16</v>
      </c>
      <c r="D259" s="2" t="s">
        <v>43</v>
      </c>
      <c r="E259" s="2" t="s">
        <v>59</v>
      </c>
      <c r="F259" s="2" t="s">
        <v>49</v>
      </c>
      <c r="G259" s="2" t="s">
        <v>5</v>
      </c>
      <c r="H259" s="2" t="s">
        <v>54</v>
      </c>
      <c r="I259" s="3">
        <v>27.750014999999998</v>
      </c>
      <c r="J259" s="3">
        <v>68.375</v>
      </c>
      <c r="K259" s="3">
        <v>9.0832569999999997</v>
      </c>
      <c r="L259" s="2">
        <v>12</v>
      </c>
      <c r="M259" s="2">
        <v>77</v>
      </c>
      <c r="N259" s="2">
        <f t="shared" si="4"/>
        <v>89</v>
      </c>
      <c r="O259" s="2" t="s">
        <v>106</v>
      </c>
    </row>
    <row r="260" spans="1:15" x14ac:dyDescent="0.35">
      <c r="A260" s="2">
        <v>341</v>
      </c>
      <c r="B260" s="1">
        <v>44902</v>
      </c>
      <c r="C260" s="2" t="s">
        <v>13</v>
      </c>
      <c r="D260" s="2" t="s">
        <v>44</v>
      </c>
      <c r="E260" s="2" t="s">
        <v>59</v>
      </c>
      <c r="F260" s="2" t="s">
        <v>50</v>
      </c>
      <c r="G260" s="2" t="s">
        <v>5</v>
      </c>
      <c r="H260" s="2" t="s">
        <v>56</v>
      </c>
      <c r="I260" s="3">
        <v>34.912484999999997</v>
      </c>
      <c r="J260" s="3">
        <v>97.041699999999992</v>
      </c>
      <c r="K260" s="3">
        <v>17.833725000000001</v>
      </c>
      <c r="L260" s="2">
        <v>14</v>
      </c>
      <c r="M260" s="2">
        <v>75</v>
      </c>
      <c r="N260" s="2">
        <f t="shared" si="4"/>
        <v>89</v>
      </c>
      <c r="O260" s="2" t="s">
        <v>106</v>
      </c>
    </row>
    <row r="261" spans="1:15" x14ac:dyDescent="0.35">
      <c r="A261" s="2">
        <v>345</v>
      </c>
      <c r="B261" s="1">
        <v>44906</v>
      </c>
      <c r="C261" s="2" t="s">
        <v>13</v>
      </c>
      <c r="D261" s="2" t="s">
        <v>44</v>
      </c>
      <c r="E261" s="2" t="s">
        <v>59</v>
      </c>
      <c r="F261" s="2" t="s">
        <v>47</v>
      </c>
      <c r="G261" s="2" t="s">
        <v>60</v>
      </c>
      <c r="H261" s="2" t="s">
        <v>54</v>
      </c>
      <c r="I261" s="3">
        <v>31.162500000000001</v>
      </c>
      <c r="J261" s="3">
        <v>49</v>
      </c>
      <c r="K261" s="3">
        <v>4.4582938999999993</v>
      </c>
      <c r="L261" s="2">
        <v>29</v>
      </c>
      <c r="M261" s="2">
        <v>60</v>
      </c>
      <c r="N261" s="2">
        <f t="shared" si="4"/>
        <v>89</v>
      </c>
      <c r="O261" s="2" t="s">
        <v>106</v>
      </c>
    </row>
    <row r="262" spans="1:15" x14ac:dyDescent="0.35">
      <c r="A262" s="2">
        <v>63</v>
      </c>
      <c r="B262" s="1">
        <v>44624</v>
      </c>
      <c r="C262" s="2" t="s">
        <v>14</v>
      </c>
      <c r="D262" s="2" t="s">
        <v>35</v>
      </c>
      <c r="E262" s="2" t="s">
        <v>59</v>
      </c>
      <c r="F262" s="2" t="s">
        <v>52</v>
      </c>
      <c r="G262" s="2" t="s">
        <v>5</v>
      </c>
      <c r="H262" s="2" t="s">
        <v>55</v>
      </c>
      <c r="I262" s="3">
        <v>30.112514999999998</v>
      </c>
      <c r="J262" s="3">
        <v>61.041699999999999</v>
      </c>
      <c r="K262" s="3">
        <v>13.624181999999999</v>
      </c>
      <c r="L262" s="2">
        <v>39</v>
      </c>
      <c r="M262" s="2">
        <v>51</v>
      </c>
      <c r="N262" s="2">
        <f t="shared" si="4"/>
        <v>90</v>
      </c>
      <c r="O262" s="2" t="s">
        <v>106</v>
      </c>
    </row>
    <row r="263" spans="1:15" x14ac:dyDescent="0.35">
      <c r="A263" s="2">
        <v>135</v>
      </c>
      <c r="B263" s="1">
        <v>44696</v>
      </c>
      <c r="C263" s="2" t="s">
        <v>14</v>
      </c>
      <c r="D263" s="2" t="s">
        <v>37</v>
      </c>
      <c r="E263" s="2" t="s">
        <v>59</v>
      </c>
      <c r="F263" s="2" t="s">
        <v>47</v>
      </c>
      <c r="G263" s="2" t="s">
        <v>60</v>
      </c>
      <c r="H263" s="2" t="s">
        <v>55</v>
      </c>
      <c r="I263" s="3">
        <v>23.85</v>
      </c>
      <c r="J263" s="3">
        <v>86.708300000000008</v>
      </c>
      <c r="K263" s="3">
        <v>10.249593000000001</v>
      </c>
      <c r="L263" s="2">
        <v>12</v>
      </c>
      <c r="M263" s="2">
        <v>78</v>
      </c>
      <c r="N263" s="2">
        <f t="shared" si="4"/>
        <v>90</v>
      </c>
      <c r="O263" s="2" t="s">
        <v>106</v>
      </c>
    </row>
    <row r="264" spans="1:15" x14ac:dyDescent="0.35">
      <c r="A264" s="2">
        <v>326</v>
      </c>
      <c r="B264" s="1">
        <v>44887</v>
      </c>
      <c r="C264" s="2" t="s">
        <v>16</v>
      </c>
      <c r="D264" s="2" t="s">
        <v>43</v>
      </c>
      <c r="E264" s="2" t="s">
        <v>59</v>
      </c>
      <c r="F264" s="2" t="s">
        <v>49</v>
      </c>
      <c r="G264" s="2" t="s">
        <v>5</v>
      </c>
      <c r="H264" s="2" t="s">
        <v>56</v>
      </c>
      <c r="I264" s="3">
        <v>29.700000000000003</v>
      </c>
      <c r="J264" s="3">
        <v>96.25</v>
      </c>
      <c r="K264" s="3">
        <v>7.9590639999999997</v>
      </c>
      <c r="L264" s="2">
        <v>13</v>
      </c>
      <c r="M264" s="2">
        <v>77</v>
      </c>
      <c r="N264" s="2">
        <f t="shared" si="4"/>
        <v>90</v>
      </c>
      <c r="O264" s="2" t="s">
        <v>106</v>
      </c>
    </row>
    <row r="265" spans="1:15" x14ac:dyDescent="0.35">
      <c r="A265" s="2">
        <v>355</v>
      </c>
      <c r="B265" s="1">
        <v>44916</v>
      </c>
      <c r="C265" s="2" t="s">
        <v>13</v>
      </c>
      <c r="D265" s="2" t="s">
        <v>44</v>
      </c>
      <c r="E265" s="2" t="s">
        <v>59</v>
      </c>
      <c r="F265" s="2" t="s">
        <v>50</v>
      </c>
      <c r="G265" s="2" t="s">
        <v>5</v>
      </c>
      <c r="H265" s="2" t="s">
        <v>55</v>
      </c>
      <c r="I265" s="3">
        <v>32.999985000000002</v>
      </c>
      <c r="J265" s="3">
        <v>85.833300000000008</v>
      </c>
      <c r="K265" s="3">
        <v>14.8338</v>
      </c>
      <c r="L265" s="2">
        <v>13</v>
      </c>
      <c r="M265" s="2">
        <v>77</v>
      </c>
      <c r="N265" s="2">
        <f t="shared" si="4"/>
        <v>90</v>
      </c>
      <c r="O265" s="2" t="s">
        <v>106</v>
      </c>
    </row>
    <row r="266" spans="1:15" x14ac:dyDescent="0.35">
      <c r="A266" s="2">
        <v>17</v>
      </c>
      <c r="B266" s="1">
        <v>44578</v>
      </c>
      <c r="C266" s="2" t="s">
        <v>13</v>
      </c>
      <c r="D266" s="2" t="s">
        <v>33</v>
      </c>
      <c r="E266" s="2" t="s">
        <v>3</v>
      </c>
      <c r="F266" s="2" t="s">
        <v>48</v>
      </c>
      <c r="G266" s="2" t="s">
        <v>60</v>
      </c>
      <c r="H266" s="2" t="s">
        <v>55</v>
      </c>
      <c r="I266" s="3">
        <v>34.950015</v>
      </c>
      <c r="J266" s="3">
        <v>53.75</v>
      </c>
      <c r="K266" s="3">
        <v>12.999139</v>
      </c>
      <c r="L266" s="2">
        <v>15</v>
      </c>
      <c r="M266" s="2">
        <v>76</v>
      </c>
      <c r="N266" s="2">
        <f t="shared" si="4"/>
        <v>91</v>
      </c>
      <c r="O266" s="2" t="s">
        <v>106</v>
      </c>
    </row>
    <row r="267" spans="1:15" x14ac:dyDescent="0.35">
      <c r="A267" s="2">
        <v>77</v>
      </c>
      <c r="B267" s="1">
        <v>44638</v>
      </c>
      <c r="C267" s="2" t="s">
        <v>14</v>
      </c>
      <c r="D267" s="2" t="s">
        <v>35</v>
      </c>
      <c r="E267" s="2" t="s">
        <v>59</v>
      </c>
      <c r="F267" s="2" t="s">
        <v>52</v>
      </c>
      <c r="G267" s="2" t="s">
        <v>5</v>
      </c>
      <c r="H267" s="2" t="s">
        <v>54</v>
      </c>
      <c r="I267" s="3">
        <v>22.125015000000001</v>
      </c>
      <c r="J267" s="3">
        <v>52.521700000000003</v>
      </c>
      <c r="K267" s="3">
        <v>15.478139000000001</v>
      </c>
      <c r="L267" s="2">
        <v>29</v>
      </c>
      <c r="M267" s="2">
        <v>62</v>
      </c>
      <c r="N267" s="2">
        <f t="shared" si="4"/>
        <v>91</v>
      </c>
      <c r="O267" s="2" t="s">
        <v>106</v>
      </c>
    </row>
    <row r="268" spans="1:15" x14ac:dyDescent="0.35">
      <c r="A268" s="2">
        <v>79</v>
      </c>
      <c r="B268" s="1">
        <v>44640</v>
      </c>
      <c r="C268" s="2" t="s">
        <v>14</v>
      </c>
      <c r="D268" s="2" t="s">
        <v>35</v>
      </c>
      <c r="E268" s="2" t="s">
        <v>59</v>
      </c>
      <c r="F268" s="2" t="s">
        <v>47</v>
      </c>
      <c r="G268" s="2" t="s">
        <v>60</v>
      </c>
      <c r="H268" s="2" t="s">
        <v>54</v>
      </c>
      <c r="I268" s="3">
        <v>24.712515</v>
      </c>
      <c r="J268" s="3">
        <v>47.375</v>
      </c>
      <c r="K268" s="3">
        <v>13.917306999999999</v>
      </c>
      <c r="L268" s="2">
        <v>14</v>
      </c>
      <c r="M268" s="2">
        <v>77</v>
      </c>
      <c r="N268" s="2">
        <f t="shared" si="4"/>
        <v>91</v>
      </c>
      <c r="O268" s="2" t="s">
        <v>106</v>
      </c>
    </row>
    <row r="269" spans="1:15" x14ac:dyDescent="0.35">
      <c r="A269" s="2">
        <v>101</v>
      </c>
      <c r="B269" s="1">
        <v>44662</v>
      </c>
      <c r="C269" s="2" t="s">
        <v>14</v>
      </c>
      <c r="D269" s="2" t="s">
        <v>36</v>
      </c>
      <c r="E269" s="2" t="s">
        <v>59</v>
      </c>
      <c r="F269" s="2" t="s">
        <v>48</v>
      </c>
      <c r="G269" s="2" t="s">
        <v>5</v>
      </c>
      <c r="H269" s="2" t="s">
        <v>55</v>
      </c>
      <c r="I269" s="3">
        <v>25.500015000000001</v>
      </c>
      <c r="J269" s="3">
        <v>71.695599999999999</v>
      </c>
      <c r="K269" s="3">
        <v>21.739757999999998</v>
      </c>
      <c r="L269" s="2">
        <v>13</v>
      </c>
      <c r="M269" s="2">
        <v>78</v>
      </c>
      <c r="N269" s="2">
        <f t="shared" si="4"/>
        <v>91</v>
      </c>
      <c r="O269" s="2" t="s">
        <v>106</v>
      </c>
    </row>
    <row r="270" spans="1:15" x14ac:dyDescent="0.35">
      <c r="A270" s="2">
        <v>107</v>
      </c>
      <c r="B270" s="1">
        <v>44668</v>
      </c>
      <c r="C270" s="2" t="s">
        <v>14</v>
      </c>
      <c r="D270" s="2" t="s">
        <v>36</v>
      </c>
      <c r="E270" s="2" t="s">
        <v>59</v>
      </c>
      <c r="F270" s="2" t="s">
        <v>47</v>
      </c>
      <c r="G270" s="2" t="s">
        <v>60</v>
      </c>
      <c r="H270" s="2" t="s">
        <v>54</v>
      </c>
      <c r="I270" s="3">
        <v>24.037514999999999</v>
      </c>
      <c r="J270" s="3">
        <v>47.958300000000001</v>
      </c>
      <c r="K270" s="3">
        <v>20.334232</v>
      </c>
      <c r="L270" s="2">
        <v>14</v>
      </c>
      <c r="M270" s="2">
        <v>77</v>
      </c>
      <c r="N270" s="2">
        <f t="shared" si="4"/>
        <v>91</v>
      </c>
      <c r="O270" s="2" t="s">
        <v>106</v>
      </c>
    </row>
    <row r="271" spans="1:15" x14ac:dyDescent="0.35">
      <c r="A271" s="2">
        <v>317</v>
      </c>
      <c r="B271" s="1">
        <v>44878</v>
      </c>
      <c r="C271" s="2" t="s">
        <v>16</v>
      </c>
      <c r="D271" s="2" t="s">
        <v>43</v>
      </c>
      <c r="E271" s="2" t="s">
        <v>59</v>
      </c>
      <c r="F271" s="2" t="s">
        <v>47</v>
      </c>
      <c r="G271" s="2" t="s">
        <v>60</v>
      </c>
      <c r="H271" s="2" t="s">
        <v>54</v>
      </c>
      <c r="I271" s="3">
        <v>25.3125</v>
      </c>
      <c r="J271" s="3">
        <v>45.833300000000001</v>
      </c>
      <c r="K271" s="3">
        <v>18.875306999999999</v>
      </c>
      <c r="L271" s="2">
        <v>32</v>
      </c>
      <c r="M271" s="2">
        <v>59</v>
      </c>
      <c r="N271" s="2">
        <f t="shared" si="4"/>
        <v>91</v>
      </c>
      <c r="O271" s="2" t="s">
        <v>106</v>
      </c>
    </row>
    <row r="272" spans="1:15" x14ac:dyDescent="0.35">
      <c r="A272" s="2">
        <v>339</v>
      </c>
      <c r="B272" s="1">
        <v>44900</v>
      </c>
      <c r="C272" s="2" t="s">
        <v>13</v>
      </c>
      <c r="D272" s="2" t="s">
        <v>44</v>
      </c>
      <c r="E272" s="2" t="s">
        <v>59</v>
      </c>
      <c r="F272" s="2" t="s">
        <v>48</v>
      </c>
      <c r="G272" s="2" t="s">
        <v>5</v>
      </c>
      <c r="H272" s="2" t="s">
        <v>55</v>
      </c>
      <c r="I272" s="3">
        <v>30.524984999999997</v>
      </c>
      <c r="J272" s="3">
        <v>82.708300000000008</v>
      </c>
      <c r="K272" s="3">
        <v>4.1679561000000005</v>
      </c>
      <c r="L272" s="2">
        <v>13</v>
      </c>
      <c r="M272" s="2">
        <v>78</v>
      </c>
      <c r="N272" s="2">
        <f t="shared" si="4"/>
        <v>91</v>
      </c>
      <c r="O272" s="2" t="s">
        <v>106</v>
      </c>
    </row>
    <row r="273" spans="1:15" x14ac:dyDescent="0.35">
      <c r="A273" s="2">
        <v>343</v>
      </c>
      <c r="B273" s="1">
        <v>44904</v>
      </c>
      <c r="C273" s="2" t="s">
        <v>13</v>
      </c>
      <c r="D273" s="2" t="s">
        <v>44</v>
      </c>
      <c r="E273" s="2" t="s">
        <v>59</v>
      </c>
      <c r="F273" s="2" t="s">
        <v>52</v>
      </c>
      <c r="G273" s="2" t="s">
        <v>5</v>
      </c>
      <c r="H273" s="2" t="s">
        <v>54</v>
      </c>
      <c r="I273" s="3">
        <v>33.975000000000001</v>
      </c>
      <c r="J273" s="3">
        <v>69.583300000000008</v>
      </c>
      <c r="K273" s="3">
        <v>5.5420189000000004</v>
      </c>
      <c r="L273" s="2">
        <v>16</v>
      </c>
      <c r="M273" s="2">
        <v>75</v>
      </c>
      <c r="N273" s="2">
        <f t="shared" si="4"/>
        <v>91</v>
      </c>
      <c r="O273" s="2" t="s">
        <v>106</v>
      </c>
    </row>
    <row r="274" spans="1:15" x14ac:dyDescent="0.35">
      <c r="A274" s="2">
        <v>5</v>
      </c>
      <c r="B274" s="1">
        <v>44566</v>
      </c>
      <c r="C274" s="2" t="s">
        <v>13</v>
      </c>
      <c r="D274" s="2" t="s">
        <v>33</v>
      </c>
      <c r="E274" s="2" t="s">
        <v>59</v>
      </c>
      <c r="F274" s="2" t="s">
        <v>50</v>
      </c>
      <c r="G274" s="2" t="s">
        <v>5</v>
      </c>
      <c r="H274" s="2" t="s">
        <v>54</v>
      </c>
      <c r="I274" s="3">
        <v>33.75</v>
      </c>
      <c r="J274" s="3">
        <v>43.695699999999995</v>
      </c>
      <c r="K274" s="3">
        <v>12.522300000000001</v>
      </c>
      <c r="L274" s="2">
        <v>15</v>
      </c>
      <c r="M274" s="2">
        <v>77</v>
      </c>
      <c r="N274" s="2">
        <f t="shared" si="4"/>
        <v>92</v>
      </c>
      <c r="O274" s="2" t="s">
        <v>106</v>
      </c>
    </row>
    <row r="275" spans="1:15" x14ac:dyDescent="0.35">
      <c r="A275" s="2">
        <v>24</v>
      </c>
      <c r="B275" s="1">
        <v>44585</v>
      </c>
      <c r="C275" s="2" t="s">
        <v>13</v>
      </c>
      <c r="D275" s="2" t="s">
        <v>33</v>
      </c>
      <c r="E275" s="2" t="s">
        <v>59</v>
      </c>
      <c r="F275" s="2" t="s">
        <v>48</v>
      </c>
      <c r="G275" s="2" t="s">
        <v>5</v>
      </c>
      <c r="H275" s="2" t="s">
        <v>54</v>
      </c>
      <c r="I275" s="3">
        <v>34.725014999999999</v>
      </c>
      <c r="J275" s="3">
        <v>49.173899999999996</v>
      </c>
      <c r="K275" s="3">
        <v>10.60811</v>
      </c>
      <c r="L275" s="2">
        <v>15</v>
      </c>
      <c r="M275" s="2">
        <v>77</v>
      </c>
      <c r="N275" s="2">
        <f t="shared" si="4"/>
        <v>92</v>
      </c>
      <c r="O275" s="2" t="s">
        <v>106</v>
      </c>
    </row>
    <row r="276" spans="1:15" x14ac:dyDescent="0.35">
      <c r="A276" s="2">
        <v>33</v>
      </c>
      <c r="B276" s="1">
        <v>44594</v>
      </c>
      <c r="C276" s="2" t="s">
        <v>13</v>
      </c>
      <c r="D276" s="2" t="s">
        <v>34</v>
      </c>
      <c r="E276" s="2" t="s">
        <v>59</v>
      </c>
      <c r="F276" s="2" t="s">
        <v>50</v>
      </c>
      <c r="G276" s="2" t="s">
        <v>5</v>
      </c>
      <c r="H276" s="2" t="s">
        <v>55</v>
      </c>
      <c r="I276" s="3">
        <v>31.95</v>
      </c>
      <c r="J276" s="3">
        <v>77.541700000000006</v>
      </c>
      <c r="K276" s="3">
        <v>17.708635999999998</v>
      </c>
      <c r="L276" s="2">
        <v>16</v>
      </c>
      <c r="M276" s="2">
        <v>76</v>
      </c>
      <c r="N276" s="2">
        <f t="shared" si="4"/>
        <v>92</v>
      </c>
      <c r="O276" s="2" t="s">
        <v>106</v>
      </c>
    </row>
    <row r="277" spans="1:15" x14ac:dyDescent="0.35">
      <c r="A277" s="2">
        <v>38</v>
      </c>
      <c r="B277" s="1">
        <v>44599</v>
      </c>
      <c r="C277" s="2" t="s">
        <v>13</v>
      </c>
      <c r="D277" s="2" t="s">
        <v>34</v>
      </c>
      <c r="E277" s="2" t="s">
        <v>59</v>
      </c>
      <c r="F277" s="2" t="s">
        <v>48</v>
      </c>
      <c r="G277" s="2" t="s">
        <v>5</v>
      </c>
      <c r="H277" s="2" t="s">
        <v>54</v>
      </c>
      <c r="I277" s="3">
        <v>34.875</v>
      </c>
      <c r="J277" s="3">
        <v>73.833300000000008</v>
      </c>
      <c r="K277" s="3">
        <v>3.0423561000000001</v>
      </c>
      <c r="L277" s="2">
        <v>18</v>
      </c>
      <c r="M277" s="2">
        <v>74</v>
      </c>
      <c r="N277" s="2">
        <f t="shared" si="4"/>
        <v>92</v>
      </c>
      <c r="O277" s="2" t="s">
        <v>106</v>
      </c>
    </row>
    <row r="278" spans="1:15" x14ac:dyDescent="0.35">
      <c r="A278" s="2">
        <v>301</v>
      </c>
      <c r="B278" s="1">
        <v>44862</v>
      </c>
      <c r="C278" s="2" t="s">
        <v>16</v>
      </c>
      <c r="D278" s="2" t="s">
        <v>42</v>
      </c>
      <c r="E278" s="2" t="s">
        <v>59</v>
      </c>
      <c r="F278" s="2" t="s">
        <v>52</v>
      </c>
      <c r="G278" s="2" t="s">
        <v>5</v>
      </c>
      <c r="H278" s="2" t="s">
        <v>55</v>
      </c>
      <c r="I278" s="3">
        <v>22.95</v>
      </c>
      <c r="J278" s="3">
        <v>58.583300000000008</v>
      </c>
      <c r="K278" s="3">
        <v>15.375093</v>
      </c>
      <c r="L278" s="2">
        <v>18</v>
      </c>
      <c r="M278" s="2">
        <v>74</v>
      </c>
      <c r="N278" s="2">
        <f t="shared" si="4"/>
        <v>92</v>
      </c>
      <c r="O278" s="2" t="s">
        <v>106</v>
      </c>
    </row>
    <row r="279" spans="1:15" x14ac:dyDescent="0.35">
      <c r="A279" s="2">
        <v>308</v>
      </c>
      <c r="B279" s="1">
        <v>44869</v>
      </c>
      <c r="C279" s="2" t="s">
        <v>16</v>
      </c>
      <c r="D279" s="2" t="s">
        <v>43</v>
      </c>
      <c r="E279" s="2" t="s">
        <v>59</v>
      </c>
      <c r="F279" s="2" t="s">
        <v>52</v>
      </c>
      <c r="G279" s="2" t="s">
        <v>5</v>
      </c>
      <c r="H279" s="2" t="s">
        <v>55</v>
      </c>
      <c r="I279" s="3">
        <v>21.562515000000001</v>
      </c>
      <c r="J279" s="3">
        <v>62.250000000000007</v>
      </c>
      <c r="K279" s="3">
        <v>18.209192999999999</v>
      </c>
      <c r="L279" s="2">
        <v>18</v>
      </c>
      <c r="M279" s="2">
        <v>74</v>
      </c>
      <c r="N279" s="2">
        <f t="shared" si="4"/>
        <v>92</v>
      </c>
      <c r="O279" s="2" t="s">
        <v>106</v>
      </c>
    </row>
    <row r="280" spans="1:15" x14ac:dyDescent="0.35">
      <c r="A280" s="2">
        <v>321</v>
      </c>
      <c r="B280" s="1">
        <v>44882</v>
      </c>
      <c r="C280" s="2" t="s">
        <v>16</v>
      </c>
      <c r="D280" s="2" t="s">
        <v>43</v>
      </c>
      <c r="E280" s="2" t="s">
        <v>59</v>
      </c>
      <c r="F280" s="2" t="s">
        <v>51</v>
      </c>
      <c r="G280" s="2" t="s">
        <v>5</v>
      </c>
      <c r="H280" s="2" t="s">
        <v>55</v>
      </c>
      <c r="I280" s="3">
        <v>23.887485000000002</v>
      </c>
      <c r="J280" s="3">
        <v>57.583300000000001</v>
      </c>
      <c r="K280" s="3">
        <v>20.459254000000001</v>
      </c>
      <c r="L280" s="2">
        <v>15</v>
      </c>
      <c r="M280" s="2">
        <v>77</v>
      </c>
      <c r="N280" s="2">
        <f t="shared" si="4"/>
        <v>92</v>
      </c>
      <c r="O280" s="2" t="s">
        <v>106</v>
      </c>
    </row>
    <row r="281" spans="1:15" x14ac:dyDescent="0.35">
      <c r="A281" s="2">
        <v>1</v>
      </c>
      <c r="B281" s="1">
        <v>44562</v>
      </c>
      <c r="C281" s="2" t="s">
        <v>13</v>
      </c>
      <c r="D281" s="2" t="s">
        <v>33</v>
      </c>
      <c r="E281" s="2" t="s">
        <v>59</v>
      </c>
      <c r="F281" s="2" t="s">
        <v>53</v>
      </c>
      <c r="G281" s="2" t="s">
        <v>60</v>
      </c>
      <c r="H281" s="2" t="s">
        <v>55</v>
      </c>
      <c r="I281" s="3">
        <v>32.250015000000005</v>
      </c>
      <c r="J281" s="3">
        <v>80.583300000000008</v>
      </c>
      <c r="K281" s="3">
        <v>10.749881999999999</v>
      </c>
      <c r="L281" s="2">
        <v>46</v>
      </c>
      <c r="M281" s="2">
        <v>47</v>
      </c>
      <c r="N281" s="2">
        <f t="shared" si="4"/>
        <v>93</v>
      </c>
      <c r="O281" s="2" t="s">
        <v>106</v>
      </c>
    </row>
    <row r="282" spans="1:15" x14ac:dyDescent="0.35">
      <c r="A282" s="2">
        <v>4</v>
      </c>
      <c r="B282" s="1">
        <v>44565</v>
      </c>
      <c r="C282" s="2" t="s">
        <v>13</v>
      </c>
      <c r="D282" s="2" t="s">
        <v>33</v>
      </c>
      <c r="E282" s="2" t="s">
        <v>59</v>
      </c>
      <c r="F282" s="2" t="s">
        <v>49</v>
      </c>
      <c r="G282" s="2" t="s">
        <v>5</v>
      </c>
      <c r="H282" s="2" t="s">
        <v>54</v>
      </c>
      <c r="I282" s="3">
        <v>32.4</v>
      </c>
      <c r="J282" s="3">
        <v>59.043500000000002</v>
      </c>
      <c r="K282" s="3">
        <v>10.739832</v>
      </c>
      <c r="L282" s="2">
        <v>16</v>
      </c>
      <c r="M282" s="2">
        <v>77</v>
      </c>
      <c r="N282" s="2">
        <f t="shared" si="4"/>
        <v>93</v>
      </c>
      <c r="O282" s="2" t="s">
        <v>106</v>
      </c>
    </row>
    <row r="283" spans="1:15" x14ac:dyDescent="0.35">
      <c r="A283" s="2">
        <v>25</v>
      </c>
      <c r="B283" s="1">
        <v>44586</v>
      </c>
      <c r="C283" s="2" t="s">
        <v>13</v>
      </c>
      <c r="D283" s="2" t="s">
        <v>33</v>
      </c>
      <c r="E283" s="2" t="s">
        <v>59</v>
      </c>
      <c r="F283" s="2" t="s">
        <v>49</v>
      </c>
      <c r="G283" s="2" t="s">
        <v>5</v>
      </c>
      <c r="H283" s="2" t="s">
        <v>55</v>
      </c>
      <c r="I283" s="3">
        <v>34.875</v>
      </c>
      <c r="J283" s="3">
        <v>61.695699999999995</v>
      </c>
      <c r="K283" s="3">
        <v>8.696332</v>
      </c>
      <c r="L283" s="2">
        <v>15</v>
      </c>
      <c r="M283" s="2">
        <v>78</v>
      </c>
      <c r="N283" s="2">
        <f t="shared" si="4"/>
        <v>93</v>
      </c>
      <c r="O283" s="2" t="s">
        <v>106</v>
      </c>
    </row>
    <row r="284" spans="1:15" x14ac:dyDescent="0.35">
      <c r="A284" s="2">
        <v>55</v>
      </c>
      <c r="B284" s="1">
        <v>44616</v>
      </c>
      <c r="C284" s="2" t="s">
        <v>13</v>
      </c>
      <c r="D284" s="2" t="s">
        <v>34</v>
      </c>
      <c r="E284" s="2" t="s">
        <v>59</v>
      </c>
      <c r="F284" s="2" t="s">
        <v>51</v>
      </c>
      <c r="G284" s="2" t="s">
        <v>5</v>
      </c>
      <c r="H284" s="2" t="s">
        <v>55</v>
      </c>
      <c r="I284" s="3">
        <v>31.499999999999996</v>
      </c>
      <c r="J284" s="3">
        <v>69.739099999999993</v>
      </c>
      <c r="K284" s="3">
        <v>16.783231999999998</v>
      </c>
      <c r="L284" s="2">
        <v>15</v>
      </c>
      <c r="M284" s="2">
        <v>78</v>
      </c>
      <c r="N284" s="2">
        <f t="shared" si="4"/>
        <v>93</v>
      </c>
      <c r="O284" s="2" t="s">
        <v>106</v>
      </c>
    </row>
    <row r="285" spans="1:15" x14ac:dyDescent="0.35">
      <c r="A285" s="2">
        <v>58</v>
      </c>
      <c r="B285" s="1">
        <v>44619</v>
      </c>
      <c r="C285" s="2" t="s">
        <v>13</v>
      </c>
      <c r="D285" s="2" t="s">
        <v>34</v>
      </c>
      <c r="E285" s="2" t="s">
        <v>59</v>
      </c>
      <c r="F285" s="2" t="s">
        <v>47</v>
      </c>
      <c r="G285" s="2" t="s">
        <v>60</v>
      </c>
      <c r="H285" s="2" t="s">
        <v>54</v>
      </c>
      <c r="I285" s="3">
        <v>28.650015</v>
      </c>
      <c r="J285" s="3">
        <v>68</v>
      </c>
      <c r="K285" s="3">
        <v>8.3916159999999991</v>
      </c>
      <c r="L285" s="2">
        <v>15</v>
      </c>
      <c r="M285" s="2">
        <v>78</v>
      </c>
      <c r="N285" s="2">
        <f t="shared" si="4"/>
        <v>93</v>
      </c>
      <c r="O285" s="2" t="s">
        <v>106</v>
      </c>
    </row>
    <row r="286" spans="1:15" x14ac:dyDescent="0.35">
      <c r="A286" s="2">
        <v>86</v>
      </c>
      <c r="B286" s="1">
        <v>44647</v>
      </c>
      <c r="C286" s="2" t="s">
        <v>14</v>
      </c>
      <c r="D286" s="2" t="s">
        <v>35</v>
      </c>
      <c r="E286" s="2" t="s">
        <v>59</v>
      </c>
      <c r="F286" s="2" t="s">
        <v>47</v>
      </c>
      <c r="G286" s="2" t="s">
        <v>60</v>
      </c>
      <c r="H286" s="2" t="s">
        <v>55</v>
      </c>
      <c r="I286" s="3">
        <v>29.212515000000003</v>
      </c>
      <c r="J286" s="3">
        <v>49.391300000000001</v>
      </c>
      <c r="K286" s="3">
        <v>12.348099999999999</v>
      </c>
      <c r="L286" s="2">
        <v>14</v>
      </c>
      <c r="M286" s="2">
        <v>79</v>
      </c>
      <c r="N286" s="2">
        <f t="shared" si="4"/>
        <v>93</v>
      </c>
      <c r="O286" s="2" t="s">
        <v>106</v>
      </c>
    </row>
    <row r="287" spans="1:15" x14ac:dyDescent="0.35">
      <c r="A287" s="2">
        <v>328</v>
      </c>
      <c r="B287" s="1">
        <v>44889</v>
      </c>
      <c r="C287" s="2" t="s">
        <v>16</v>
      </c>
      <c r="D287" s="2" t="s">
        <v>43</v>
      </c>
      <c r="E287" s="2" t="s">
        <v>3</v>
      </c>
      <c r="F287" s="2" t="s">
        <v>51</v>
      </c>
      <c r="G287" s="2" t="s">
        <v>60</v>
      </c>
      <c r="H287" s="2" t="s">
        <v>54</v>
      </c>
      <c r="I287" s="3">
        <v>31.874984999999999</v>
      </c>
      <c r="J287" s="3">
        <v>54.916699999999999</v>
      </c>
      <c r="K287" s="3">
        <v>11.209368000000001</v>
      </c>
      <c r="L287" s="2">
        <v>15</v>
      </c>
      <c r="M287" s="2">
        <v>78</v>
      </c>
      <c r="N287" s="2">
        <f t="shared" si="4"/>
        <v>93</v>
      </c>
      <c r="O287" s="2" t="s">
        <v>106</v>
      </c>
    </row>
    <row r="288" spans="1:15" x14ac:dyDescent="0.35">
      <c r="A288" s="2">
        <v>329</v>
      </c>
      <c r="B288" s="1">
        <v>44890</v>
      </c>
      <c r="C288" s="2" t="s">
        <v>16</v>
      </c>
      <c r="D288" s="2" t="s">
        <v>43</v>
      </c>
      <c r="E288" s="2" t="s">
        <v>59</v>
      </c>
      <c r="F288" s="2" t="s">
        <v>52</v>
      </c>
      <c r="G288" s="2" t="s">
        <v>5</v>
      </c>
      <c r="H288" s="2" t="s">
        <v>54</v>
      </c>
      <c r="I288" s="3">
        <v>30.675015000000002</v>
      </c>
      <c r="J288" s="3">
        <v>64.375</v>
      </c>
      <c r="K288" s="3">
        <v>6.6260186000000001</v>
      </c>
      <c r="L288" s="2">
        <v>17</v>
      </c>
      <c r="M288" s="2">
        <v>76</v>
      </c>
      <c r="N288" s="2">
        <f t="shared" si="4"/>
        <v>93</v>
      </c>
      <c r="O288" s="2" t="s">
        <v>106</v>
      </c>
    </row>
    <row r="289" spans="1:15" x14ac:dyDescent="0.35">
      <c r="A289" s="2">
        <v>361</v>
      </c>
      <c r="B289" s="1">
        <v>44922</v>
      </c>
      <c r="C289" s="2" t="s">
        <v>13</v>
      </c>
      <c r="D289" s="2" t="s">
        <v>44</v>
      </c>
      <c r="E289" s="2" t="s">
        <v>59</v>
      </c>
      <c r="F289" s="2" t="s">
        <v>49</v>
      </c>
      <c r="G289" s="2" t="s">
        <v>5</v>
      </c>
      <c r="H289" s="2" t="s">
        <v>55</v>
      </c>
      <c r="I289" s="3">
        <v>33.487515000000002</v>
      </c>
      <c r="J289" s="3">
        <v>76.25</v>
      </c>
      <c r="K289" s="3">
        <v>12.626150000000001</v>
      </c>
      <c r="L289" s="2">
        <v>15</v>
      </c>
      <c r="M289" s="2">
        <v>78</v>
      </c>
      <c r="N289" s="2">
        <f t="shared" si="4"/>
        <v>93</v>
      </c>
      <c r="O289" s="2" t="s">
        <v>106</v>
      </c>
    </row>
    <row r="290" spans="1:15" x14ac:dyDescent="0.35">
      <c r="A290" s="2">
        <v>3</v>
      </c>
      <c r="B290" s="1">
        <v>44564</v>
      </c>
      <c r="C290" s="2" t="s">
        <v>13</v>
      </c>
      <c r="D290" s="2" t="s">
        <v>33</v>
      </c>
      <c r="E290" s="2" t="s">
        <v>59</v>
      </c>
      <c r="F290" s="2" t="s">
        <v>48</v>
      </c>
      <c r="G290" s="2" t="s">
        <v>5</v>
      </c>
      <c r="H290" s="2" t="s">
        <v>54</v>
      </c>
      <c r="I290" s="3">
        <v>33.600014999999999</v>
      </c>
      <c r="J290" s="3">
        <v>43.7273</v>
      </c>
      <c r="K290" s="3">
        <v>16.636703000000001</v>
      </c>
      <c r="L290" s="2">
        <v>21</v>
      </c>
      <c r="M290" s="2">
        <v>73</v>
      </c>
      <c r="N290" s="2">
        <f t="shared" si="4"/>
        <v>94</v>
      </c>
      <c r="O290" s="2" t="s">
        <v>106</v>
      </c>
    </row>
    <row r="291" spans="1:15" x14ac:dyDescent="0.35">
      <c r="A291" s="2">
        <v>45</v>
      </c>
      <c r="B291" s="1">
        <v>44606</v>
      </c>
      <c r="C291" s="2" t="s">
        <v>13</v>
      </c>
      <c r="D291" s="2" t="s">
        <v>34</v>
      </c>
      <c r="E291" s="2" t="s">
        <v>59</v>
      </c>
      <c r="F291" s="2" t="s">
        <v>48</v>
      </c>
      <c r="G291" s="2" t="s">
        <v>5</v>
      </c>
      <c r="H291" s="2" t="s">
        <v>54</v>
      </c>
      <c r="I291" s="3">
        <v>31.537485</v>
      </c>
      <c r="J291" s="3">
        <v>37.583299999999994</v>
      </c>
      <c r="K291" s="3">
        <v>27.999835999999998</v>
      </c>
      <c r="L291" s="2">
        <v>14</v>
      </c>
      <c r="M291" s="2">
        <v>80</v>
      </c>
      <c r="N291" s="2">
        <f t="shared" si="4"/>
        <v>94</v>
      </c>
      <c r="O291" s="2" t="s">
        <v>106</v>
      </c>
    </row>
    <row r="292" spans="1:15" x14ac:dyDescent="0.35">
      <c r="A292" s="2">
        <v>46</v>
      </c>
      <c r="B292" s="1">
        <v>44607</v>
      </c>
      <c r="C292" s="2" t="s">
        <v>13</v>
      </c>
      <c r="D292" s="2" t="s">
        <v>34</v>
      </c>
      <c r="E292" s="2" t="s">
        <v>59</v>
      </c>
      <c r="F292" s="2" t="s">
        <v>49</v>
      </c>
      <c r="G292" s="2" t="s">
        <v>5</v>
      </c>
      <c r="H292" s="2" t="s">
        <v>54</v>
      </c>
      <c r="I292" s="3">
        <v>32.549985</v>
      </c>
      <c r="J292" s="3">
        <v>31.434800000000003</v>
      </c>
      <c r="K292" s="3">
        <v>19.522058000000001</v>
      </c>
      <c r="L292" s="2">
        <v>13</v>
      </c>
      <c r="M292" s="2">
        <v>81</v>
      </c>
      <c r="N292" s="2">
        <f t="shared" si="4"/>
        <v>94</v>
      </c>
      <c r="O292" s="2" t="s">
        <v>106</v>
      </c>
    </row>
    <row r="293" spans="1:15" x14ac:dyDescent="0.35">
      <c r="A293" s="2">
        <v>72</v>
      </c>
      <c r="B293" s="1">
        <v>44633</v>
      </c>
      <c r="C293" s="2" t="s">
        <v>14</v>
      </c>
      <c r="D293" s="2" t="s">
        <v>35</v>
      </c>
      <c r="E293" s="2" t="s">
        <v>59</v>
      </c>
      <c r="F293" s="2" t="s">
        <v>47</v>
      </c>
      <c r="G293" s="2" t="s">
        <v>60</v>
      </c>
      <c r="H293" s="2" t="s">
        <v>54</v>
      </c>
      <c r="I293" s="3">
        <v>28.995660000000001</v>
      </c>
      <c r="J293" s="3">
        <v>52.739100000000008</v>
      </c>
      <c r="K293" s="3">
        <v>18.130468</v>
      </c>
      <c r="L293" s="2">
        <v>14</v>
      </c>
      <c r="M293" s="2">
        <v>80</v>
      </c>
      <c r="N293" s="2">
        <f t="shared" si="4"/>
        <v>94</v>
      </c>
      <c r="O293" s="2" t="s">
        <v>106</v>
      </c>
    </row>
    <row r="294" spans="1:15" x14ac:dyDescent="0.35">
      <c r="A294" s="2">
        <v>115</v>
      </c>
      <c r="B294" s="1">
        <v>44676</v>
      </c>
      <c r="C294" s="2" t="s">
        <v>14</v>
      </c>
      <c r="D294" s="2" t="s">
        <v>36</v>
      </c>
      <c r="E294" s="2" t="s">
        <v>59</v>
      </c>
      <c r="F294" s="2" t="s">
        <v>48</v>
      </c>
      <c r="G294" s="2" t="s">
        <v>5</v>
      </c>
      <c r="H294" s="2" t="s">
        <v>54</v>
      </c>
      <c r="I294" s="3">
        <v>21.225014999999999</v>
      </c>
      <c r="J294" s="3">
        <v>77.666700000000006</v>
      </c>
      <c r="K294" s="3">
        <v>12.417311</v>
      </c>
      <c r="L294" s="2">
        <v>14</v>
      </c>
      <c r="M294" s="2">
        <v>80</v>
      </c>
      <c r="N294" s="2">
        <f t="shared" si="4"/>
        <v>94</v>
      </c>
      <c r="O294" s="2" t="s">
        <v>106</v>
      </c>
    </row>
    <row r="295" spans="1:15" x14ac:dyDescent="0.35">
      <c r="A295" s="2">
        <v>309</v>
      </c>
      <c r="B295" s="1">
        <v>44870</v>
      </c>
      <c r="C295" s="2" t="s">
        <v>16</v>
      </c>
      <c r="D295" s="2" t="s">
        <v>43</v>
      </c>
      <c r="E295" s="2" t="s">
        <v>59</v>
      </c>
      <c r="F295" s="2" t="s">
        <v>53</v>
      </c>
      <c r="G295" s="2" t="s">
        <v>60</v>
      </c>
      <c r="H295" s="2" t="s">
        <v>54</v>
      </c>
      <c r="I295" s="3">
        <v>23.400000000000002</v>
      </c>
      <c r="J295" s="3">
        <v>51.916700000000006</v>
      </c>
      <c r="K295" s="3">
        <v>12.667154</v>
      </c>
      <c r="L295" s="2">
        <v>32</v>
      </c>
      <c r="M295" s="2">
        <v>62</v>
      </c>
      <c r="N295" s="2">
        <f t="shared" si="4"/>
        <v>94</v>
      </c>
      <c r="O295" s="2" t="s">
        <v>106</v>
      </c>
    </row>
    <row r="296" spans="1:15" x14ac:dyDescent="0.35">
      <c r="A296" s="2">
        <v>324</v>
      </c>
      <c r="B296" s="1">
        <v>44885</v>
      </c>
      <c r="C296" s="2" t="s">
        <v>16</v>
      </c>
      <c r="D296" s="2" t="s">
        <v>43</v>
      </c>
      <c r="E296" s="2" t="s">
        <v>59</v>
      </c>
      <c r="F296" s="2" t="s">
        <v>47</v>
      </c>
      <c r="G296" s="2" t="s">
        <v>60</v>
      </c>
      <c r="H296" s="2" t="s">
        <v>55</v>
      </c>
      <c r="I296" s="3">
        <v>27.187515000000001</v>
      </c>
      <c r="J296" s="3">
        <v>68.458300000000008</v>
      </c>
      <c r="K296" s="3">
        <v>12.45865</v>
      </c>
      <c r="L296" s="2">
        <v>32</v>
      </c>
      <c r="M296" s="2">
        <v>62</v>
      </c>
      <c r="N296" s="2">
        <f t="shared" si="4"/>
        <v>94</v>
      </c>
      <c r="O296" s="2" t="s">
        <v>106</v>
      </c>
    </row>
    <row r="297" spans="1:15" x14ac:dyDescent="0.35">
      <c r="A297" s="2">
        <v>360</v>
      </c>
      <c r="B297" s="1">
        <v>44921</v>
      </c>
      <c r="C297" s="2" t="s">
        <v>13</v>
      </c>
      <c r="D297" s="2" t="s">
        <v>44</v>
      </c>
      <c r="E297" s="2" t="s">
        <v>3</v>
      </c>
      <c r="F297" s="2" t="s">
        <v>48</v>
      </c>
      <c r="G297" s="2" t="s">
        <v>60</v>
      </c>
      <c r="H297" s="2" t="s">
        <v>54</v>
      </c>
      <c r="I297" s="3">
        <v>30.712499999999999</v>
      </c>
      <c r="J297" s="3">
        <v>50.695700000000002</v>
      </c>
      <c r="K297" s="3">
        <v>16.044155</v>
      </c>
      <c r="L297" s="2">
        <v>17</v>
      </c>
      <c r="M297" s="2">
        <v>77</v>
      </c>
      <c r="N297" s="2">
        <f t="shared" si="4"/>
        <v>94</v>
      </c>
      <c r="O297" s="2" t="s">
        <v>106</v>
      </c>
    </row>
    <row r="298" spans="1:15" x14ac:dyDescent="0.35">
      <c r="A298" s="2">
        <v>62</v>
      </c>
      <c r="B298" s="1">
        <v>44623</v>
      </c>
      <c r="C298" s="2" t="s">
        <v>14</v>
      </c>
      <c r="D298" s="2" t="s">
        <v>35</v>
      </c>
      <c r="E298" s="2" t="s">
        <v>59</v>
      </c>
      <c r="F298" s="2" t="s">
        <v>51</v>
      </c>
      <c r="G298" s="2" t="s">
        <v>5</v>
      </c>
      <c r="H298" s="2" t="s">
        <v>54</v>
      </c>
      <c r="I298" s="3">
        <v>28.949985000000002</v>
      </c>
      <c r="J298" s="3">
        <v>31.833299999999998</v>
      </c>
      <c r="K298" s="3">
        <v>15.125518000000001</v>
      </c>
      <c r="L298" s="2">
        <v>18</v>
      </c>
      <c r="M298" s="2">
        <v>77</v>
      </c>
      <c r="N298" s="2">
        <f t="shared" si="4"/>
        <v>95</v>
      </c>
      <c r="O298" s="2" t="s">
        <v>106</v>
      </c>
    </row>
    <row r="299" spans="1:15" x14ac:dyDescent="0.35">
      <c r="A299" s="2">
        <v>73</v>
      </c>
      <c r="B299" s="1">
        <v>44634</v>
      </c>
      <c r="C299" s="2" t="s">
        <v>14</v>
      </c>
      <c r="D299" s="2" t="s">
        <v>35</v>
      </c>
      <c r="E299" s="2" t="s">
        <v>59</v>
      </c>
      <c r="F299" s="2" t="s">
        <v>48</v>
      </c>
      <c r="G299" s="2" t="s">
        <v>5</v>
      </c>
      <c r="H299" s="2" t="s">
        <v>54</v>
      </c>
      <c r="I299" s="3">
        <v>29.287485</v>
      </c>
      <c r="J299" s="3">
        <v>49.695699999999995</v>
      </c>
      <c r="K299" s="3">
        <v>9.174042</v>
      </c>
      <c r="L299" s="2">
        <v>14</v>
      </c>
      <c r="M299" s="2">
        <v>81</v>
      </c>
      <c r="N299" s="2">
        <f t="shared" si="4"/>
        <v>95</v>
      </c>
      <c r="O299" s="2" t="s">
        <v>106</v>
      </c>
    </row>
    <row r="300" spans="1:15" x14ac:dyDescent="0.35">
      <c r="A300" s="2">
        <v>76</v>
      </c>
      <c r="B300" s="1">
        <v>44637</v>
      </c>
      <c r="C300" s="2" t="s">
        <v>14</v>
      </c>
      <c r="D300" s="2" t="s">
        <v>35</v>
      </c>
      <c r="E300" s="2" t="s">
        <v>59</v>
      </c>
      <c r="F300" s="2" t="s">
        <v>51</v>
      </c>
      <c r="G300" s="2" t="s">
        <v>5</v>
      </c>
      <c r="H300" s="2" t="s">
        <v>54</v>
      </c>
      <c r="I300" s="3">
        <v>21.112514999999998</v>
      </c>
      <c r="J300" s="3">
        <v>60.291700000000006</v>
      </c>
      <c r="K300" s="3">
        <v>14.041792999999998</v>
      </c>
      <c r="L300" s="2">
        <v>15</v>
      </c>
      <c r="M300" s="2">
        <v>80</v>
      </c>
      <c r="N300" s="2">
        <f t="shared" si="4"/>
        <v>95</v>
      </c>
      <c r="O300" s="2" t="s">
        <v>106</v>
      </c>
    </row>
    <row r="301" spans="1:15" x14ac:dyDescent="0.35">
      <c r="A301" s="2">
        <v>108</v>
      </c>
      <c r="B301" s="1">
        <v>44669</v>
      </c>
      <c r="C301" s="2" t="s">
        <v>14</v>
      </c>
      <c r="D301" s="2" t="s">
        <v>36</v>
      </c>
      <c r="E301" s="2" t="s">
        <v>59</v>
      </c>
      <c r="F301" s="2" t="s">
        <v>48</v>
      </c>
      <c r="G301" s="2" t="s">
        <v>5</v>
      </c>
      <c r="H301" s="2" t="s">
        <v>54</v>
      </c>
      <c r="I301" s="3">
        <v>23.962499999999999</v>
      </c>
      <c r="J301" s="3">
        <v>54.25</v>
      </c>
      <c r="K301" s="3">
        <v>10.958988999999999</v>
      </c>
      <c r="L301" s="2">
        <v>13</v>
      </c>
      <c r="M301" s="2">
        <v>82</v>
      </c>
      <c r="N301" s="2">
        <f t="shared" si="4"/>
        <v>95</v>
      </c>
      <c r="O301" s="2" t="s">
        <v>106</v>
      </c>
    </row>
    <row r="302" spans="1:15" x14ac:dyDescent="0.35">
      <c r="A302" s="2">
        <v>330</v>
      </c>
      <c r="B302" s="1">
        <v>44891</v>
      </c>
      <c r="C302" s="2" t="s">
        <v>16</v>
      </c>
      <c r="D302" s="2" t="s">
        <v>43</v>
      </c>
      <c r="E302" s="2" t="s">
        <v>59</v>
      </c>
      <c r="F302" s="2" t="s">
        <v>53</v>
      </c>
      <c r="G302" s="2" t="s">
        <v>60</v>
      </c>
      <c r="H302" s="2" t="s">
        <v>54</v>
      </c>
      <c r="I302" s="3">
        <v>29.512485000000002</v>
      </c>
      <c r="J302" s="3">
        <v>68.166700000000006</v>
      </c>
      <c r="K302" s="3">
        <v>4.5841935999999999</v>
      </c>
      <c r="L302" s="2">
        <v>40</v>
      </c>
      <c r="M302" s="2">
        <v>55</v>
      </c>
      <c r="N302" s="2">
        <f t="shared" si="4"/>
        <v>95</v>
      </c>
      <c r="O302" s="2" t="s">
        <v>106</v>
      </c>
    </row>
    <row r="303" spans="1:15" x14ac:dyDescent="0.35">
      <c r="A303" s="2">
        <v>352</v>
      </c>
      <c r="B303" s="1">
        <v>44913</v>
      </c>
      <c r="C303" s="2" t="s">
        <v>13</v>
      </c>
      <c r="D303" s="2" t="s">
        <v>44</v>
      </c>
      <c r="E303" s="2" t="s">
        <v>59</v>
      </c>
      <c r="F303" s="2" t="s">
        <v>47</v>
      </c>
      <c r="G303" s="2" t="s">
        <v>60</v>
      </c>
      <c r="H303" s="2" t="s">
        <v>54</v>
      </c>
      <c r="I303" s="3">
        <v>31.462515</v>
      </c>
      <c r="J303" s="3">
        <v>58.625000000000007</v>
      </c>
      <c r="K303" s="3">
        <v>11.375193000000001</v>
      </c>
      <c r="L303" s="2">
        <v>33</v>
      </c>
      <c r="M303" s="2">
        <v>62</v>
      </c>
      <c r="N303" s="2">
        <f t="shared" si="4"/>
        <v>95</v>
      </c>
      <c r="O303" s="2" t="s">
        <v>106</v>
      </c>
    </row>
    <row r="304" spans="1:15" x14ac:dyDescent="0.35">
      <c r="A304" s="2">
        <v>39</v>
      </c>
      <c r="B304" s="1">
        <v>44600</v>
      </c>
      <c r="C304" s="2" t="s">
        <v>13</v>
      </c>
      <c r="D304" s="2" t="s">
        <v>34</v>
      </c>
      <c r="E304" s="2" t="s">
        <v>59</v>
      </c>
      <c r="F304" s="2" t="s">
        <v>49</v>
      </c>
      <c r="G304" s="2" t="s">
        <v>5</v>
      </c>
      <c r="H304" s="2" t="s">
        <v>54</v>
      </c>
      <c r="I304" s="3">
        <v>34.500014999999998</v>
      </c>
      <c r="J304" s="3">
        <v>53.791699999999999</v>
      </c>
      <c r="K304" s="3">
        <v>24.25065</v>
      </c>
      <c r="L304" s="2">
        <v>18</v>
      </c>
      <c r="M304" s="2">
        <v>78</v>
      </c>
      <c r="N304" s="2">
        <f t="shared" si="4"/>
        <v>96</v>
      </c>
      <c r="O304" s="2" t="s">
        <v>106</v>
      </c>
    </row>
    <row r="305" spans="1:15" x14ac:dyDescent="0.35">
      <c r="A305" s="2">
        <v>40</v>
      </c>
      <c r="B305" s="1">
        <v>44601</v>
      </c>
      <c r="C305" s="2" t="s">
        <v>13</v>
      </c>
      <c r="D305" s="2" t="s">
        <v>34</v>
      </c>
      <c r="E305" s="2" t="s">
        <v>59</v>
      </c>
      <c r="F305" s="2" t="s">
        <v>50</v>
      </c>
      <c r="G305" s="2" t="s">
        <v>5</v>
      </c>
      <c r="H305" s="2" t="s">
        <v>55</v>
      </c>
      <c r="I305" s="3">
        <v>32.287500000000001</v>
      </c>
      <c r="J305" s="3">
        <v>49.478299999999997</v>
      </c>
      <c r="K305" s="3">
        <v>12.652213</v>
      </c>
      <c r="L305" s="2">
        <v>16</v>
      </c>
      <c r="M305" s="2">
        <v>80</v>
      </c>
      <c r="N305" s="2">
        <f t="shared" si="4"/>
        <v>96</v>
      </c>
      <c r="O305" s="2" t="s">
        <v>106</v>
      </c>
    </row>
    <row r="306" spans="1:15" x14ac:dyDescent="0.35">
      <c r="A306" s="2">
        <v>51</v>
      </c>
      <c r="B306" s="1">
        <v>44612</v>
      </c>
      <c r="C306" s="2" t="s">
        <v>13</v>
      </c>
      <c r="D306" s="2" t="s">
        <v>34</v>
      </c>
      <c r="E306" s="2" t="s">
        <v>59</v>
      </c>
      <c r="F306" s="2" t="s">
        <v>47</v>
      </c>
      <c r="G306" s="2" t="s">
        <v>60</v>
      </c>
      <c r="H306" s="2" t="s">
        <v>54</v>
      </c>
      <c r="I306" s="3">
        <v>31.125015000000001</v>
      </c>
      <c r="J306" s="3">
        <v>40.782600000000002</v>
      </c>
      <c r="K306" s="3">
        <v>14.956745</v>
      </c>
      <c r="L306" s="2">
        <v>17</v>
      </c>
      <c r="M306" s="2">
        <v>79</v>
      </c>
      <c r="N306" s="2">
        <f t="shared" si="4"/>
        <v>96</v>
      </c>
      <c r="O306" s="2" t="s">
        <v>106</v>
      </c>
    </row>
    <row r="307" spans="1:15" x14ac:dyDescent="0.35">
      <c r="A307" s="2">
        <v>74</v>
      </c>
      <c r="B307" s="1">
        <v>44635</v>
      </c>
      <c r="C307" s="2" t="s">
        <v>14</v>
      </c>
      <c r="D307" s="2" t="s">
        <v>35</v>
      </c>
      <c r="E307" s="2" t="s">
        <v>59</v>
      </c>
      <c r="F307" s="2" t="s">
        <v>49</v>
      </c>
      <c r="G307" s="2" t="s">
        <v>5</v>
      </c>
      <c r="H307" s="2" t="s">
        <v>55</v>
      </c>
      <c r="I307" s="3">
        <v>30.299985</v>
      </c>
      <c r="J307" s="3">
        <v>65.565200000000004</v>
      </c>
      <c r="K307" s="3">
        <v>12.348703</v>
      </c>
      <c r="L307" s="2">
        <v>13</v>
      </c>
      <c r="M307" s="2">
        <v>83</v>
      </c>
      <c r="N307" s="2">
        <f t="shared" si="4"/>
        <v>96</v>
      </c>
      <c r="O307" s="2" t="s">
        <v>106</v>
      </c>
    </row>
    <row r="308" spans="1:15" x14ac:dyDescent="0.35">
      <c r="A308" s="2">
        <v>82</v>
      </c>
      <c r="B308" s="1">
        <v>44643</v>
      </c>
      <c r="C308" s="2" t="s">
        <v>14</v>
      </c>
      <c r="D308" s="2" t="s">
        <v>35</v>
      </c>
      <c r="E308" s="2" t="s">
        <v>59</v>
      </c>
      <c r="F308" s="2" t="s">
        <v>50</v>
      </c>
      <c r="G308" s="2" t="s">
        <v>5</v>
      </c>
      <c r="H308" s="2" t="s">
        <v>55</v>
      </c>
      <c r="I308" s="3">
        <v>28.274985000000001</v>
      </c>
      <c r="J308" s="3">
        <v>83.956500000000005</v>
      </c>
      <c r="K308" s="3">
        <v>15.695487</v>
      </c>
      <c r="L308" s="2">
        <v>11</v>
      </c>
      <c r="M308" s="2">
        <v>85</v>
      </c>
      <c r="N308" s="2">
        <f t="shared" si="4"/>
        <v>96</v>
      </c>
      <c r="O308" s="2" t="s">
        <v>106</v>
      </c>
    </row>
    <row r="309" spans="1:15" x14ac:dyDescent="0.35">
      <c r="A309" s="2">
        <v>95</v>
      </c>
      <c r="B309" s="1">
        <v>44656</v>
      </c>
      <c r="C309" s="2" t="s">
        <v>14</v>
      </c>
      <c r="D309" s="2" t="s">
        <v>36</v>
      </c>
      <c r="E309" s="2" t="s">
        <v>59</v>
      </c>
      <c r="F309" s="2" t="s">
        <v>49</v>
      </c>
      <c r="G309" s="2" t="s">
        <v>5</v>
      </c>
      <c r="H309" s="2" t="s">
        <v>55</v>
      </c>
      <c r="I309" s="3">
        <v>24.224984999999997</v>
      </c>
      <c r="J309" s="3">
        <v>64.208299999999994</v>
      </c>
      <c r="K309" s="3">
        <v>26.000488999999998</v>
      </c>
      <c r="L309" s="2">
        <v>11</v>
      </c>
      <c r="M309" s="2">
        <v>85</v>
      </c>
      <c r="N309" s="2">
        <f t="shared" si="4"/>
        <v>96</v>
      </c>
      <c r="O309" s="2" t="s">
        <v>106</v>
      </c>
    </row>
    <row r="310" spans="1:15" x14ac:dyDescent="0.35">
      <c r="A310" s="2">
        <v>96</v>
      </c>
      <c r="B310" s="1">
        <v>44657</v>
      </c>
      <c r="C310" s="2" t="s">
        <v>14</v>
      </c>
      <c r="D310" s="2" t="s">
        <v>36</v>
      </c>
      <c r="E310" s="2" t="s">
        <v>59</v>
      </c>
      <c r="F310" s="2" t="s">
        <v>50</v>
      </c>
      <c r="G310" s="2" t="s">
        <v>5</v>
      </c>
      <c r="H310" s="2" t="s">
        <v>54</v>
      </c>
      <c r="I310" s="3">
        <v>22.237515000000002</v>
      </c>
      <c r="J310" s="3">
        <v>47.083300000000001</v>
      </c>
      <c r="K310" s="3">
        <v>17.625221</v>
      </c>
      <c r="L310" s="2">
        <v>13</v>
      </c>
      <c r="M310" s="2">
        <v>83</v>
      </c>
      <c r="N310" s="2">
        <f t="shared" si="4"/>
        <v>96</v>
      </c>
      <c r="O310" s="2" t="s">
        <v>106</v>
      </c>
    </row>
    <row r="311" spans="1:15" x14ac:dyDescent="0.35">
      <c r="A311" s="2">
        <v>312</v>
      </c>
      <c r="B311" s="1">
        <v>44873</v>
      </c>
      <c r="C311" s="2" t="s">
        <v>16</v>
      </c>
      <c r="D311" s="2" t="s">
        <v>43</v>
      </c>
      <c r="E311" s="2" t="s">
        <v>59</v>
      </c>
      <c r="F311" s="2" t="s">
        <v>49</v>
      </c>
      <c r="G311" s="2" t="s">
        <v>5</v>
      </c>
      <c r="H311" s="2" t="s">
        <v>54</v>
      </c>
      <c r="I311" s="3">
        <v>23.962499999999999</v>
      </c>
      <c r="J311" s="3">
        <v>72.166699999999992</v>
      </c>
      <c r="K311" s="3">
        <v>4.6255125000000001</v>
      </c>
      <c r="L311" s="2">
        <v>14</v>
      </c>
      <c r="M311" s="2">
        <v>82</v>
      </c>
      <c r="N311" s="2">
        <f t="shared" si="4"/>
        <v>96</v>
      </c>
      <c r="O311" s="2" t="s">
        <v>106</v>
      </c>
    </row>
    <row r="312" spans="1:15" x14ac:dyDescent="0.35">
      <c r="A312" s="2">
        <v>331</v>
      </c>
      <c r="B312" s="1">
        <v>44892</v>
      </c>
      <c r="C312" s="2" t="s">
        <v>16</v>
      </c>
      <c r="D312" s="2" t="s">
        <v>43</v>
      </c>
      <c r="E312" s="2" t="s">
        <v>59</v>
      </c>
      <c r="F312" s="2" t="s">
        <v>47</v>
      </c>
      <c r="G312" s="2" t="s">
        <v>60</v>
      </c>
      <c r="H312" s="2" t="s">
        <v>54</v>
      </c>
      <c r="I312" s="3">
        <v>30.037499999999998</v>
      </c>
      <c r="J312" s="3">
        <v>69.833299999999994</v>
      </c>
      <c r="K312" s="3">
        <v>13.999917999999999</v>
      </c>
      <c r="L312" s="2">
        <v>47</v>
      </c>
      <c r="M312" s="2">
        <v>49</v>
      </c>
      <c r="N312" s="2">
        <f t="shared" si="4"/>
        <v>96</v>
      </c>
      <c r="O312" s="2" t="s">
        <v>106</v>
      </c>
    </row>
    <row r="313" spans="1:15" x14ac:dyDescent="0.35">
      <c r="A313" s="2">
        <v>340</v>
      </c>
      <c r="B313" s="1">
        <v>44901</v>
      </c>
      <c r="C313" s="2" t="s">
        <v>13</v>
      </c>
      <c r="D313" s="2" t="s">
        <v>44</v>
      </c>
      <c r="E313" s="2" t="s">
        <v>59</v>
      </c>
      <c r="F313" s="2" t="s">
        <v>49</v>
      </c>
      <c r="G313" s="2" t="s">
        <v>5</v>
      </c>
      <c r="H313" s="2" t="s">
        <v>56</v>
      </c>
      <c r="I313" s="3">
        <v>31.837500000000002</v>
      </c>
      <c r="J313" s="3">
        <v>94.958299999999994</v>
      </c>
      <c r="K313" s="3">
        <v>15.583061000000001</v>
      </c>
      <c r="L313" s="2">
        <v>15</v>
      </c>
      <c r="M313" s="2">
        <v>81</v>
      </c>
      <c r="N313" s="2">
        <f t="shared" si="4"/>
        <v>96</v>
      </c>
      <c r="O313" s="2" t="s">
        <v>106</v>
      </c>
    </row>
    <row r="314" spans="1:15" x14ac:dyDescent="0.35">
      <c r="A314" s="2">
        <v>354</v>
      </c>
      <c r="B314" s="1">
        <v>44915</v>
      </c>
      <c r="C314" s="2" t="s">
        <v>13</v>
      </c>
      <c r="D314" s="2" t="s">
        <v>44</v>
      </c>
      <c r="E314" s="2" t="s">
        <v>59</v>
      </c>
      <c r="F314" s="2" t="s">
        <v>49</v>
      </c>
      <c r="G314" s="2" t="s">
        <v>5</v>
      </c>
      <c r="H314" s="2" t="s">
        <v>55</v>
      </c>
      <c r="I314" s="3">
        <v>30.637485000000002</v>
      </c>
      <c r="J314" s="3">
        <v>59.541699999999999</v>
      </c>
      <c r="K314" s="3">
        <v>4.1252436000000001</v>
      </c>
      <c r="L314" s="2">
        <v>15</v>
      </c>
      <c r="M314" s="2">
        <v>81</v>
      </c>
      <c r="N314" s="2">
        <f t="shared" si="4"/>
        <v>96</v>
      </c>
      <c r="O314" s="2" t="s">
        <v>106</v>
      </c>
    </row>
    <row r="315" spans="1:15" x14ac:dyDescent="0.35">
      <c r="A315" s="2">
        <v>356</v>
      </c>
      <c r="B315" s="1">
        <v>44917</v>
      </c>
      <c r="C315" s="2" t="s">
        <v>13</v>
      </c>
      <c r="D315" s="2" t="s">
        <v>44</v>
      </c>
      <c r="E315" s="2" t="s">
        <v>59</v>
      </c>
      <c r="F315" s="2" t="s">
        <v>51</v>
      </c>
      <c r="G315" s="2" t="s">
        <v>5</v>
      </c>
      <c r="H315" s="2" t="s">
        <v>55</v>
      </c>
      <c r="I315" s="3">
        <v>32.774985000000001</v>
      </c>
      <c r="J315" s="3">
        <v>75.75</v>
      </c>
      <c r="K315" s="3">
        <v>3.1674249999999997</v>
      </c>
      <c r="L315" s="2">
        <v>15</v>
      </c>
      <c r="M315" s="2">
        <v>81</v>
      </c>
      <c r="N315" s="2">
        <f t="shared" si="4"/>
        <v>96</v>
      </c>
      <c r="O315" s="2" t="s">
        <v>106</v>
      </c>
    </row>
    <row r="316" spans="1:15" x14ac:dyDescent="0.35">
      <c r="A316" s="2">
        <v>31</v>
      </c>
      <c r="B316" s="1">
        <v>44592</v>
      </c>
      <c r="C316" s="2" t="s">
        <v>13</v>
      </c>
      <c r="D316" s="2" t="s">
        <v>33</v>
      </c>
      <c r="E316" s="2" t="s">
        <v>59</v>
      </c>
      <c r="F316" s="2" t="s">
        <v>48</v>
      </c>
      <c r="G316" s="2" t="s">
        <v>5</v>
      </c>
      <c r="H316" s="2" t="s">
        <v>55</v>
      </c>
      <c r="I316" s="3">
        <v>35.249984999999995</v>
      </c>
      <c r="J316" s="3">
        <v>60.375</v>
      </c>
      <c r="K316" s="3">
        <v>12.541864</v>
      </c>
      <c r="L316" s="2">
        <v>16</v>
      </c>
      <c r="M316" s="2">
        <v>81</v>
      </c>
      <c r="N316" s="2">
        <f t="shared" si="4"/>
        <v>97</v>
      </c>
      <c r="O316" s="2" t="s">
        <v>106</v>
      </c>
    </row>
    <row r="317" spans="1:15" x14ac:dyDescent="0.35">
      <c r="A317" s="2">
        <v>34</v>
      </c>
      <c r="B317" s="1">
        <v>44595</v>
      </c>
      <c r="C317" s="2" t="s">
        <v>13</v>
      </c>
      <c r="D317" s="2" t="s">
        <v>34</v>
      </c>
      <c r="E317" s="2" t="s">
        <v>59</v>
      </c>
      <c r="F317" s="2" t="s">
        <v>51</v>
      </c>
      <c r="G317" s="2" t="s">
        <v>5</v>
      </c>
      <c r="H317" s="2" t="s">
        <v>54</v>
      </c>
      <c r="I317" s="3">
        <v>31.987485000000003</v>
      </c>
      <c r="J317" s="3">
        <v>43.782600000000002</v>
      </c>
      <c r="K317" s="3">
        <v>18.609383999999999</v>
      </c>
      <c r="L317" s="2">
        <v>20</v>
      </c>
      <c r="M317" s="2">
        <v>77</v>
      </c>
      <c r="N317" s="2">
        <f t="shared" si="4"/>
        <v>97</v>
      </c>
      <c r="O317" s="2" t="s">
        <v>106</v>
      </c>
    </row>
    <row r="318" spans="1:15" x14ac:dyDescent="0.35">
      <c r="A318" s="2">
        <v>89</v>
      </c>
      <c r="B318" s="1">
        <v>44650</v>
      </c>
      <c r="C318" s="2" t="s">
        <v>14</v>
      </c>
      <c r="D318" s="2" t="s">
        <v>35</v>
      </c>
      <c r="E318" s="2" t="s">
        <v>59</v>
      </c>
      <c r="F318" s="2" t="s">
        <v>50</v>
      </c>
      <c r="G318" s="2" t="s">
        <v>5</v>
      </c>
      <c r="H318" s="2" t="s">
        <v>55</v>
      </c>
      <c r="I318" s="3">
        <v>27.750014999999998</v>
      </c>
      <c r="J318" s="3">
        <v>64.666700000000006</v>
      </c>
      <c r="K318" s="3">
        <v>11.583495999999998</v>
      </c>
      <c r="L318" s="2">
        <v>13</v>
      </c>
      <c r="M318" s="2">
        <v>84</v>
      </c>
      <c r="N318" s="2">
        <f t="shared" si="4"/>
        <v>97</v>
      </c>
      <c r="O318" s="2" t="s">
        <v>106</v>
      </c>
    </row>
    <row r="319" spans="1:15" x14ac:dyDescent="0.35">
      <c r="A319" s="2">
        <v>314</v>
      </c>
      <c r="B319" s="1">
        <v>44875</v>
      </c>
      <c r="C319" s="2" t="s">
        <v>16</v>
      </c>
      <c r="D319" s="2" t="s">
        <v>43</v>
      </c>
      <c r="E319" s="2" t="s">
        <v>59</v>
      </c>
      <c r="F319" s="2" t="s">
        <v>51</v>
      </c>
      <c r="G319" s="2" t="s">
        <v>5</v>
      </c>
      <c r="H319" s="2" t="s">
        <v>55</v>
      </c>
      <c r="I319" s="3">
        <v>24.075000000000003</v>
      </c>
      <c r="J319" s="3">
        <v>81.333299999999994</v>
      </c>
      <c r="K319" s="3">
        <v>12.667489000000002</v>
      </c>
      <c r="L319" s="2">
        <v>14</v>
      </c>
      <c r="M319" s="2">
        <v>83</v>
      </c>
      <c r="N319" s="2">
        <f t="shared" si="4"/>
        <v>97</v>
      </c>
      <c r="O319" s="2" t="s">
        <v>106</v>
      </c>
    </row>
    <row r="320" spans="1:15" x14ac:dyDescent="0.35">
      <c r="A320" s="2">
        <v>350</v>
      </c>
      <c r="B320" s="1">
        <v>44911</v>
      </c>
      <c r="C320" s="2" t="s">
        <v>13</v>
      </c>
      <c r="D320" s="2" t="s">
        <v>44</v>
      </c>
      <c r="E320" s="2" t="s">
        <v>59</v>
      </c>
      <c r="F320" s="2" t="s">
        <v>52</v>
      </c>
      <c r="G320" s="2" t="s">
        <v>5</v>
      </c>
      <c r="H320" s="2" t="s">
        <v>55</v>
      </c>
      <c r="I320" s="3">
        <v>29.212515000000003</v>
      </c>
      <c r="J320" s="3">
        <v>50.041699999999999</v>
      </c>
      <c r="K320" s="3">
        <v>17.458525000000002</v>
      </c>
      <c r="L320" s="2">
        <v>17</v>
      </c>
      <c r="M320" s="2">
        <v>80</v>
      </c>
      <c r="N320" s="2">
        <f t="shared" si="4"/>
        <v>97</v>
      </c>
      <c r="O320" s="2" t="s">
        <v>106</v>
      </c>
    </row>
    <row r="321" spans="1:15" x14ac:dyDescent="0.35">
      <c r="A321" s="2">
        <v>8</v>
      </c>
      <c r="B321" s="1">
        <v>44569</v>
      </c>
      <c r="C321" s="2" t="s">
        <v>13</v>
      </c>
      <c r="D321" s="2" t="s">
        <v>33</v>
      </c>
      <c r="E321" s="2" t="s">
        <v>59</v>
      </c>
      <c r="F321" s="2" t="s">
        <v>53</v>
      </c>
      <c r="G321" s="2" t="s">
        <v>60</v>
      </c>
      <c r="H321" s="2" t="s">
        <v>55</v>
      </c>
      <c r="I321" s="3">
        <v>33.637500000000003</v>
      </c>
      <c r="J321" s="3">
        <v>53.583300000000001</v>
      </c>
      <c r="K321" s="3">
        <v>17.875868000000001</v>
      </c>
      <c r="L321" s="2">
        <v>35</v>
      </c>
      <c r="M321" s="2">
        <v>63</v>
      </c>
      <c r="N321" s="2">
        <f t="shared" si="4"/>
        <v>98</v>
      </c>
      <c r="O321" s="2" t="s">
        <v>106</v>
      </c>
    </row>
    <row r="322" spans="1:15" x14ac:dyDescent="0.35">
      <c r="A322" s="2">
        <v>41</v>
      </c>
      <c r="B322" s="1">
        <v>44602</v>
      </c>
      <c r="C322" s="2" t="s">
        <v>13</v>
      </c>
      <c r="D322" s="2" t="s">
        <v>34</v>
      </c>
      <c r="E322" s="2" t="s">
        <v>59</v>
      </c>
      <c r="F322" s="2" t="s">
        <v>51</v>
      </c>
      <c r="G322" s="2" t="s">
        <v>5</v>
      </c>
      <c r="H322" s="2" t="s">
        <v>54</v>
      </c>
      <c r="I322" s="3">
        <v>31.874984999999999</v>
      </c>
      <c r="J322" s="3">
        <v>43.739100000000001</v>
      </c>
      <c r="K322" s="3">
        <v>14.869645</v>
      </c>
      <c r="L322" s="2">
        <v>21</v>
      </c>
      <c r="M322" s="2">
        <v>77</v>
      </c>
      <c r="N322" s="2">
        <f t="shared" ref="N322:N385" si="5">L322+M322</f>
        <v>98</v>
      </c>
      <c r="O322" s="2" t="s">
        <v>106</v>
      </c>
    </row>
    <row r="323" spans="1:15" x14ac:dyDescent="0.35">
      <c r="A323" s="2">
        <v>64</v>
      </c>
      <c r="B323" s="1">
        <v>44625</v>
      </c>
      <c r="C323" s="2" t="s">
        <v>14</v>
      </c>
      <c r="D323" s="2" t="s">
        <v>35</v>
      </c>
      <c r="E323" s="2" t="s">
        <v>59</v>
      </c>
      <c r="F323" s="2" t="s">
        <v>53</v>
      </c>
      <c r="G323" s="2" t="s">
        <v>60</v>
      </c>
      <c r="H323" s="2" t="s">
        <v>55</v>
      </c>
      <c r="I323" s="3">
        <v>31.912514999999999</v>
      </c>
      <c r="J323" s="3">
        <v>78.916699999999992</v>
      </c>
      <c r="K323" s="3">
        <v>16.875357000000001</v>
      </c>
      <c r="L323" s="2">
        <v>50</v>
      </c>
      <c r="M323" s="2">
        <v>48</v>
      </c>
      <c r="N323" s="2">
        <f t="shared" si="5"/>
        <v>98</v>
      </c>
      <c r="O323" s="2" t="s">
        <v>106</v>
      </c>
    </row>
    <row r="324" spans="1:15" x14ac:dyDescent="0.35">
      <c r="A324" s="2">
        <v>322</v>
      </c>
      <c r="B324" s="1">
        <v>44883</v>
      </c>
      <c r="C324" s="2" t="s">
        <v>16</v>
      </c>
      <c r="D324" s="2" t="s">
        <v>43</v>
      </c>
      <c r="E324" s="2" t="s">
        <v>59</v>
      </c>
      <c r="F324" s="2" t="s">
        <v>52</v>
      </c>
      <c r="G324" s="2" t="s">
        <v>5</v>
      </c>
      <c r="H324" s="2" t="s">
        <v>54</v>
      </c>
      <c r="I324" s="3">
        <v>24.150015</v>
      </c>
      <c r="J324" s="3">
        <v>41</v>
      </c>
      <c r="K324" s="3">
        <v>11.291710999999999</v>
      </c>
      <c r="L324" s="2">
        <v>18</v>
      </c>
      <c r="M324" s="2">
        <v>80</v>
      </c>
      <c r="N324" s="2">
        <f t="shared" si="5"/>
        <v>98</v>
      </c>
      <c r="O324" s="2" t="s">
        <v>106</v>
      </c>
    </row>
    <row r="325" spans="1:15" x14ac:dyDescent="0.35">
      <c r="A325" s="2">
        <v>338</v>
      </c>
      <c r="B325" s="1">
        <v>44899</v>
      </c>
      <c r="C325" s="2" t="s">
        <v>13</v>
      </c>
      <c r="D325" s="2" t="s">
        <v>44</v>
      </c>
      <c r="E325" s="2" t="s">
        <v>59</v>
      </c>
      <c r="F325" s="2" t="s">
        <v>47</v>
      </c>
      <c r="G325" s="2" t="s">
        <v>60</v>
      </c>
      <c r="H325" s="2" t="s">
        <v>54</v>
      </c>
      <c r="I325" s="3">
        <v>29.174985000000003</v>
      </c>
      <c r="J325" s="3">
        <v>77.583299999999994</v>
      </c>
      <c r="K325" s="3">
        <v>5.6252060999999998</v>
      </c>
      <c r="L325" s="2">
        <v>34</v>
      </c>
      <c r="M325" s="2">
        <v>64</v>
      </c>
      <c r="N325" s="2">
        <f t="shared" si="5"/>
        <v>98</v>
      </c>
      <c r="O325" s="2" t="s">
        <v>106</v>
      </c>
    </row>
    <row r="326" spans="1:15" x14ac:dyDescent="0.35">
      <c r="A326" s="2">
        <v>347</v>
      </c>
      <c r="B326" s="1">
        <v>44908</v>
      </c>
      <c r="C326" s="2" t="s">
        <v>13</v>
      </c>
      <c r="D326" s="2" t="s">
        <v>44</v>
      </c>
      <c r="E326" s="2" t="s">
        <v>59</v>
      </c>
      <c r="F326" s="2" t="s">
        <v>49</v>
      </c>
      <c r="G326" s="2" t="s">
        <v>5</v>
      </c>
      <c r="H326" s="2" t="s">
        <v>54</v>
      </c>
      <c r="I326" s="3">
        <v>27.187515000000001</v>
      </c>
      <c r="J326" s="3">
        <v>59</v>
      </c>
      <c r="K326" s="3">
        <v>9.4168500000000002</v>
      </c>
      <c r="L326" s="2">
        <v>15</v>
      </c>
      <c r="M326" s="2">
        <v>83</v>
      </c>
      <c r="N326" s="2">
        <f t="shared" si="5"/>
        <v>98</v>
      </c>
      <c r="O326" s="2" t="s">
        <v>106</v>
      </c>
    </row>
    <row r="327" spans="1:15" x14ac:dyDescent="0.35">
      <c r="A327" s="2">
        <v>357</v>
      </c>
      <c r="B327" s="1">
        <v>44918</v>
      </c>
      <c r="C327" s="2" t="s">
        <v>13</v>
      </c>
      <c r="D327" s="2" t="s">
        <v>44</v>
      </c>
      <c r="E327" s="2" t="s">
        <v>59</v>
      </c>
      <c r="F327" s="2" t="s">
        <v>52</v>
      </c>
      <c r="G327" s="2" t="s">
        <v>5</v>
      </c>
      <c r="H327" s="2" t="s">
        <v>54</v>
      </c>
      <c r="I327" s="3">
        <v>32.587515000000003</v>
      </c>
      <c r="J327" s="3">
        <v>68.625</v>
      </c>
      <c r="K327" s="3">
        <v>18.374482</v>
      </c>
      <c r="L327" s="2">
        <v>19</v>
      </c>
      <c r="M327" s="2">
        <v>80</v>
      </c>
      <c r="N327" s="2">
        <f t="shared" si="5"/>
        <v>99</v>
      </c>
      <c r="O327" s="2" t="s">
        <v>106</v>
      </c>
    </row>
    <row r="328" spans="1:15" x14ac:dyDescent="0.35">
      <c r="A328" s="2">
        <v>85</v>
      </c>
      <c r="B328" s="1">
        <v>44646</v>
      </c>
      <c r="C328" s="2" t="s">
        <v>14</v>
      </c>
      <c r="D328" s="2" t="s">
        <v>35</v>
      </c>
      <c r="E328" s="2" t="s">
        <v>59</v>
      </c>
      <c r="F328" s="2" t="s">
        <v>53</v>
      </c>
      <c r="G328" s="2" t="s">
        <v>60</v>
      </c>
      <c r="H328" s="2" t="s">
        <v>54</v>
      </c>
      <c r="I328" s="3">
        <v>28.537515000000003</v>
      </c>
      <c r="J328" s="3">
        <v>39.416699999999999</v>
      </c>
      <c r="K328" s="3">
        <v>14.041257</v>
      </c>
      <c r="L328" s="2">
        <v>31</v>
      </c>
      <c r="M328" s="2">
        <v>69</v>
      </c>
      <c r="N328" s="2">
        <f t="shared" si="5"/>
        <v>100</v>
      </c>
      <c r="O328" s="2" t="s">
        <v>104</v>
      </c>
    </row>
    <row r="329" spans="1:15" x14ac:dyDescent="0.35">
      <c r="A329" s="2">
        <v>97</v>
      </c>
      <c r="B329" s="1">
        <v>44658</v>
      </c>
      <c r="C329" s="2" t="s">
        <v>14</v>
      </c>
      <c r="D329" s="2" t="s">
        <v>36</v>
      </c>
      <c r="E329" s="2" t="s">
        <v>59</v>
      </c>
      <c r="F329" s="2" t="s">
        <v>51</v>
      </c>
      <c r="G329" s="2" t="s">
        <v>5</v>
      </c>
      <c r="H329" s="2" t="s">
        <v>54</v>
      </c>
      <c r="I329" s="3">
        <v>22.987485</v>
      </c>
      <c r="J329" s="3">
        <v>60.291700000000006</v>
      </c>
      <c r="K329" s="3">
        <v>10.874904000000001</v>
      </c>
      <c r="L329" s="2">
        <v>19</v>
      </c>
      <c r="M329" s="2">
        <v>81</v>
      </c>
      <c r="N329" s="2">
        <f t="shared" si="5"/>
        <v>100</v>
      </c>
      <c r="O329" s="2" t="s">
        <v>104</v>
      </c>
    </row>
    <row r="330" spans="1:15" x14ac:dyDescent="0.35">
      <c r="A330" s="2">
        <v>327</v>
      </c>
      <c r="B330" s="1">
        <v>44888</v>
      </c>
      <c r="C330" s="2" t="s">
        <v>16</v>
      </c>
      <c r="D330" s="2" t="s">
        <v>43</v>
      </c>
      <c r="E330" s="2" t="s">
        <v>59</v>
      </c>
      <c r="F330" s="2" t="s">
        <v>50</v>
      </c>
      <c r="G330" s="2" t="s">
        <v>5</v>
      </c>
      <c r="H330" s="2" t="s">
        <v>55</v>
      </c>
      <c r="I330" s="3">
        <v>29.737485</v>
      </c>
      <c r="J330" s="3">
        <v>75.791699999999992</v>
      </c>
      <c r="K330" s="3">
        <v>22.500274999999998</v>
      </c>
      <c r="L330" s="2">
        <v>15</v>
      </c>
      <c r="M330" s="2">
        <v>85</v>
      </c>
      <c r="N330" s="2">
        <f t="shared" si="5"/>
        <v>100</v>
      </c>
      <c r="O330" s="2" t="s">
        <v>104</v>
      </c>
    </row>
    <row r="331" spans="1:15" x14ac:dyDescent="0.35">
      <c r="A331" s="2">
        <v>335</v>
      </c>
      <c r="B331" s="1">
        <v>44896</v>
      </c>
      <c r="C331" s="2" t="s">
        <v>13</v>
      </c>
      <c r="D331" s="2" t="s">
        <v>44</v>
      </c>
      <c r="E331" s="2" t="s">
        <v>59</v>
      </c>
      <c r="F331" s="2" t="s">
        <v>51</v>
      </c>
      <c r="G331" s="2" t="s">
        <v>5</v>
      </c>
      <c r="H331" s="2" t="s">
        <v>54</v>
      </c>
      <c r="I331" s="3">
        <v>32.174999999999997</v>
      </c>
      <c r="J331" s="3">
        <v>52.458300000000001</v>
      </c>
      <c r="K331" s="3">
        <v>14.750586</v>
      </c>
      <c r="L331" s="2">
        <v>15</v>
      </c>
      <c r="M331" s="2">
        <v>85</v>
      </c>
      <c r="N331" s="2">
        <f t="shared" si="5"/>
        <v>100</v>
      </c>
      <c r="O331" s="2" t="s">
        <v>104</v>
      </c>
    </row>
    <row r="332" spans="1:15" x14ac:dyDescent="0.35">
      <c r="A332" s="2">
        <v>344</v>
      </c>
      <c r="B332" s="1">
        <v>44905</v>
      </c>
      <c r="C332" s="2" t="s">
        <v>13</v>
      </c>
      <c r="D332" s="2" t="s">
        <v>44</v>
      </c>
      <c r="E332" s="2" t="s">
        <v>59</v>
      </c>
      <c r="F332" s="2" t="s">
        <v>53</v>
      </c>
      <c r="G332" s="2" t="s">
        <v>60</v>
      </c>
      <c r="H332" s="2" t="s">
        <v>54</v>
      </c>
      <c r="I332" s="3">
        <v>32.625</v>
      </c>
      <c r="J332" s="3">
        <v>50.749999999999993</v>
      </c>
      <c r="K332" s="3">
        <v>15.625807</v>
      </c>
      <c r="L332" s="2">
        <v>35</v>
      </c>
      <c r="M332" s="2">
        <v>65</v>
      </c>
      <c r="N332" s="2">
        <f t="shared" si="5"/>
        <v>100</v>
      </c>
      <c r="O332" s="2" t="s">
        <v>104</v>
      </c>
    </row>
    <row r="333" spans="1:15" x14ac:dyDescent="0.35">
      <c r="A333" s="2">
        <v>346</v>
      </c>
      <c r="B333" s="1">
        <v>44907</v>
      </c>
      <c r="C333" s="2" t="s">
        <v>13</v>
      </c>
      <c r="D333" s="2" t="s">
        <v>44</v>
      </c>
      <c r="E333" s="2" t="s">
        <v>59</v>
      </c>
      <c r="F333" s="2" t="s">
        <v>48</v>
      </c>
      <c r="G333" s="2" t="s">
        <v>5</v>
      </c>
      <c r="H333" s="2" t="s">
        <v>54</v>
      </c>
      <c r="I333" s="3">
        <v>28.574999999999999</v>
      </c>
      <c r="J333" s="3">
        <v>67.083300000000008</v>
      </c>
      <c r="K333" s="3">
        <v>4.2511500000000009</v>
      </c>
      <c r="L333" s="2">
        <v>17</v>
      </c>
      <c r="M333" s="2">
        <v>83</v>
      </c>
      <c r="N333" s="2">
        <f t="shared" si="5"/>
        <v>100</v>
      </c>
      <c r="O333" s="2" t="s">
        <v>104</v>
      </c>
    </row>
    <row r="334" spans="1:15" x14ac:dyDescent="0.35">
      <c r="A334" s="2">
        <v>60</v>
      </c>
      <c r="B334" s="1">
        <v>44621</v>
      </c>
      <c r="C334" s="2" t="s">
        <v>14</v>
      </c>
      <c r="D334" s="2" t="s">
        <v>35</v>
      </c>
      <c r="E334" s="2" t="s">
        <v>59</v>
      </c>
      <c r="F334" s="2" t="s">
        <v>49</v>
      </c>
      <c r="G334" s="2" t="s">
        <v>5</v>
      </c>
      <c r="H334" s="2" t="s">
        <v>54</v>
      </c>
      <c r="I334" s="3">
        <v>29.550014999999998</v>
      </c>
      <c r="J334" s="3">
        <v>53.5</v>
      </c>
      <c r="K334" s="3">
        <v>14.500475</v>
      </c>
      <c r="L334" s="2">
        <v>14</v>
      </c>
      <c r="M334" s="2">
        <v>87</v>
      </c>
      <c r="N334" s="2">
        <f t="shared" si="5"/>
        <v>101</v>
      </c>
      <c r="O334" s="2" t="s">
        <v>104</v>
      </c>
    </row>
    <row r="335" spans="1:15" x14ac:dyDescent="0.35">
      <c r="A335" s="2">
        <v>71</v>
      </c>
      <c r="B335" s="1">
        <v>44632</v>
      </c>
      <c r="C335" s="2" t="s">
        <v>14</v>
      </c>
      <c r="D335" s="2" t="s">
        <v>35</v>
      </c>
      <c r="E335" s="2" t="s">
        <v>59</v>
      </c>
      <c r="F335" s="2" t="s">
        <v>53</v>
      </c>
      <c r="G335" s="2" t="s">
        <v>60</v>
      </c>
      <c r="H335" s="2" t="s">
        <v>54</v>
      </c>
      <c r="I335" s="3">
        <v>29.399985000000001</v>
      </c>
      <c r="J335" s="3">
        <v>59.458299999999994</v>
      </c>
      <c r="K335" s="3">
        <v>14.791924999999999</v>
      </c>
      <c r="L335" s="2">
        <v>33</v>
      </c>
      <c r="M335" s="2">
        <v>68</v>
      </c>
      <c r="N335" s="2">
        <f t="shared" si="5"/>
        <v>101</v>
      </c>
      <c r="O335" s="2" t="s">
        <v>104</v>
      </c>
    </row>
    <row r="336" spans="1:15" x14ac:dyDescent="0.35">
      <c r="A336" s="2">
        <v>106</v>
      </c>
      <c r="B336" s="1">
        <v>44667</v>
      </c>
      <c r="C336" s="2" t="s">
        <v>14</v>
      </c>
      <c r="D336" s="2" t="s">
        <v>36</v>
      </c>
      <c r="E336" s="2" t="s">
        <v>59</v>
      </c>
      <c r="F336" s="2" t="s">
        <v>53</v>
      </c>
      <c r="G336" s="2" t="s">
        <v>60</v>
      </c>
      <c r="H336" s="2" t="s">
        <v>56</v>
      </c>
      <c r="I336" s="3">
        <v>23.025015</v>
      </c>
      <c r="J336" s="3">
        <v>88.833300000000008</v>
      </c>
      <c r="K336" s="3">
        <v>22.834136000000001</v>
      </c>
      <c r="L336" s="2">
        <v>35</v>
      </c>
      <c r="M336" s="2">
        <v>66</v>
      </c>
      <c r="N336" s="2">
        <f t="shared" si="5"/>
        <v>101</v>
      </c>
      <c r="O336" s="2" t="s">
        <v>104</v>
      </c>
    </row>
    <row r="337" spans="1:15" x14ac:dyDescent="0.35">
      <c r="A337" s="2">
        <v>12</v>
      </c>
      <c r="B337" s="1">
        <v>44573</v>
      </c>
      <c r="C337" s="2" t="s">
        <v>13</v>
      </c>
      <c r="D337" s="2" t="s">
        <v>33</v>
      </c>
      <c r="E337" s="2" t="s">
        <v>59</v>
      </c>
      <c r="F337" s="2" t="s">
        <v>50</v>
      </c>
      <c r="G337" s="2" t="s">
        <v>5</v>
      </c>
      <c r="H337" s="2" t="s">
        <v>54</v>
      </c>
      <c r="I337" s="3">
        <v>30.637485000000002</v>
      </c>
      <c r="J337" s="3">
        <v>59.954499999999996</v>
      </c>
      <c r="K337" s="3">
        <v>20.410008999999999</v>
      </c>
      <c r="L337" s="2">
        <v>18</v>
      </c>
      <c r="M337" s="2">
        <v>84</v>
      </c>
      <c r="N337" s="2">
        <f t="shared" si="5"/>
        <v>102</v>
      </c>
      <c r="O337" s="2" t="s">
        <v>104</v>
      </c>
    </row>
    <row r="338" spans="1:15" x14ac:dyDescent="0.35">
      <c r="A338" s="2">
        <v>100</v>
      </c>
      <c r="B338" s="1">
        <v>44661</v>
      </c>
      <c r="C338" s="2" t="s">
        <v>14</v>
      </c>
      <c r="D338" s="2" t="s">
        <v>36</v>
      </c>
      <c r="E338" s="2" t="s">
        <v>59</v>
      </c>
      <c r="F338" s="2" t="s">
        <v>47</v>
      </c>
      <c r="G338" s="2" t="s">
        <v>60</v>
      </c>
      <c r="H338" s="2" t="s">
        <v>55</v>
      </c>
      <c r="I338" s="3">
        <v>25.687485000000002</v>
      </c>
      <c r="J338" s="3">
        <v>85.75</v>
      </c>
      <c r="K338" s="3">
        <v>9.8333890000000004</v>
      </c>
      <c r="L338" s="2">
        <v>30</v>
      </c>
      <c r="M338" s="2">
        <v>72</v>
      </c>
      <c r="N338" s="2">
        <f t="shared" si="5"/>
        <v>102</v>
      </c>
      <c r="O338" s="2" t="s">
        <v>104</v>
      </c>
    </row>
    <row r="339" spans="1:15" x14ac:dyDescent="0.35">
      <c r="A339" s="2">
        <v>351</v>
      </c>
      <c r="B339" s="1">
        <v>44912</v>
      </c>
      <c r="C339" s="2" t="s">
        <v>13</v>
      </c>
      <c r="D339" s="2" t="s">
        <v>44</v>
      </c>
      <c r="E339" s="2" t="s">
        <v>59</v>
      </c>
      <c r="F339" s="2" t="s">
        <v>53</v>
      </c>
      <c r="G339" s="2" t="s">
        <v>60</v>
      </c>
      <c r="H339" s="2" t="s">
        <v>55</v>
      </c>
      <c r="I339" s="3">
        <v>31.350015000000003</v>
      </c>
      <c r="J339" s="3">
        <v>56.083300000000001</v>
      </c>
      <c r="K339" s="3">
        <v>16.292189</v>
      </c>
      <c r="L339" s="2">
        <v>36</v>
      </c>
      <c r="M339" s="2">
        <v>66</v>
      </c>
      <c r="N339" s="2">
        <f t="shared" si="5"/>
        <v>102</v>
      </c>
      <c r="O339" s="2" t="s">
        <v>104</v>
      </c>
    </row>
    <row r="340" spans="1:15" x14ac:dyDescent="0.35">
      <c r="A340" s="2">
        <v>365</v>
      </c>
      <c r="B340" s="1">
        <v>44926</v>
      </c>
      <c r="C340" s="2" t="s">
        <v>13</v>
      </c>
      <c r="D340" s="2" t="s">
        <v>44</v>
      </c>
      <c r="E340" s="2" t="s">
        <v>59</v>
      </c>
      <c r="F340" s="2" t="s">
        <v>53</v>
      </c>
      <c r="G340" s="2" t="s">
        <v>60</v>
      </c>
      <c r="H340" s="2" t="s">
        <v>54</v>
      </c>
      <c r="I340" s="3">
        <v>33.224985000000004</v>
      </c>
      <c r="J340" s="3">
        <v>61.583299999999994</v>
      </c>
      <c r="K340" s="3">
        <v>14.750318</v>
      </c>
      <c r="L340" s="2">
        <v>44</v>
      </c>
      <c r="M340" s="2">
        <v>58</v>
      </c>
      <c r="N340" s="2">
        <f t="shared" si="5"/>
        <v>102</v>
      </c>
      <c r="O340" s="2" t="s">
        <v>104</v>
      </c>
    </row>
    <row r="341" spans="1:15" x14ac:dyDescent="0.35">
      <c r="A341" s="2">
        <v>53</v>
      </c>
      <c r="B341" s="1">
        <v>44614</v>
      </c>
      <c r="C341" s="2" t="s">
        <v>13</v>
      </c>
      <c r="D341" s="2" t="s">
        <v>34</v>
      </c>
      <c r="E341" s="2" t="s">
        <v>59</v>
      </c>
      <c r="F341" s="2" t="s">
        <v>49</v>
      </c>
      <c r="G341" s="2" t="s">
        <v>5</v>
      </c>
      <c r="H341" s="2" t="s">
        <v>54</v>
      </c>
      <c r="I341" s="3">
        <v>30.299985</v>
      </c>
      <c r="J341" s="3">
        <v>57.777799999999999</v>
      </c>
      <c r="K341" s="3">
        <v>13.110761</v>
      </c>
      <c r="L341" s="2">
        <v>19</v>
      </c>
      <c r="M341" s="2">
        <v>84</v>
      </c>
      <c r="N341" s="2">
        <f t="shared" si="5"/>
        <v>103</v>
      </c>
      <c r="O341" s="2" t="s">
        <v>104</v>
      </c>
    </row>
    <row r="342" spans="1:15" x14ac:dyDescent="0.35">
      <c r="A342" s="2">
        <v>61</v>
      </c>
      <c r="B342" s="1">
        <v>44622</v>
      </c>
      <c r="C342" s="2" t="s">
        <v>14</v>
      </c>
      <c r="D342" s="2" t="s">
        <v>35</v>
      </c>
      <c r="E342" s="2" t="s">
        <v>59</v>
      </c>
      <c r="F342" s="2" t="s">
        <v>50</v>
      </c>
      <c r="G342" s="2" t="s">
        <v>5</v>
      </c>
      <c r="H342" s="2" t="s">
        <v>54</v>
      </c>
      <c r="I342" s="3">
        <v>29.475000000000001</v>
      </c>
      <c r="J342" s="3">
        <v>44.958300000000001</v>
      </c>
      <c r="K342" s="3">
        <v>20.624811000000001</v>
      </c>
      <c r="L342" s="2">
        <v>16</v>
      </c>
      <c r="M342" s="2">
        <v>87</v>
      </c>
      <c r="N342" s="2">
        <f t="shared" si="5"/>
        <v>103</v>
      </c>
      <c r="O342" s="2" t="s">
        <v>104</v>
      </c>
    </row>
    <row r="343" spans="1:15" x14ac:dyDescent="0.35">
      <c r="A343" s="2">
        <v>348</v>
      </c>
      <c r="B343" s="1">
        <v>44909</v>
      </c>
      <c r="C343" s="2" t="s">
        <v>13</v>
      </c>
      <c r="D343" s="2" t="s">
        <v>44</v>
      </c>
      <c r="E343" s="2" t="s">
        <v>59</v>
      </c>
      <c r="F343" s="2" t="s">
        <v>50</v>
      </c>
      <c r="G343" s="2" t="s">
        <v>5</v>
      </c>
      <c r="H343" s="2" t="s">
        <v>55</v>
      </c>
      <c r="I343" s="3">
        <v>28.200015</v>
      </c>
      <c r="J343" s="3">
        <v>66.375</v>
      </c>
      <c r="K343" s="3">
        <v>4.0842061000000003</v>
      </c>
      <c r="L343" s="2">
        <v>15</v>
      </c>
      <c r="M343" s="2">
        <v>88</v>
      </c>
      <c r="N343" s="2">
        <f t="shared" si="5"/>
        <v>103</v>
      </c>
      <c r="O343" s="2" t="s">
        <v>104</v>
      </c>
    </row>
    <row r="344" spans="1:15" x14ac:dyDescent="0.35">
      <c r="A344" s="2">
        <v>49</v>
      </c>
      <c r="B344" s="1">
        <v>44610</v>
      </c>
      <c r="C344" s="2" t="s">
        <v>13</v>
      </c>
      <c r="D344" s="2" t="s">
        <v>34</v>
      </c>
      <c r="E344" s="2" t="s">
        <v>59</v>
      </c>
      <c r="F344" s="2" t="s">
        <v>52</v>
      </c>
      <c r="G344" s="2" t="s">
        <v>5</v>
      </c>
      <c r="H344" s="2" t="s">
        <v>54</v>
      </c>
      <c r="I344" s="3">
        <v>31.387499999999999</v>
      </c>
      <c r="J344" s="3">
        <v>51.666699999999999</v>
      </c>
      <c r="K344" s="3">
        <v>17.749975000000003</v>
      </c>
      <c r="L344" s="2">
        <v>38</v>
      </c>
      <c r="M344" s="2">
        <v>66</v>
      </c>
      <c r="N344" s="2">
        <f t="shared" si="5"/>
        <v>104</v>
      </c>
      <c r="O344" s="2" t="s">
        <v>104</v>
      </c>
    </row>
    <row r="345" spans="1:15" x14ac:dyDescent="0.35">
      <c r="A345" s="2">
        <v>90</v>
      </c>
      <c r="B345" s="1">
        <v>44651</v>
      </c>
      <c r="C345" s="2" t="s">
        <v>14</v>
      </c>
      <c r="D345" s="2" t="s">
        <v>35</v>
      </c>
      <c r="E345" s="2" t="s">
        <v>59</v>
      </c>
      <c r="F345" s="2" t="s">
        <v>51</v>
      </c>
      <c r="G345" s="2" t="s">
        <v>5</v>
      </c>
      <c r="H345" s="2" t="s">
        <v>56</v>
      </c>
      <c r="I345" s="3">
        <v>25.387515</v>
      </c>
      <c r="J345" s="3">
        <v>91.833299999999994</v>
      </c>
      <c r="K345" s="3">
        <v>14.582282000000001</v>
      </c>
      <c r="L345" s="2">
        <v>17</v>
      </c>
      <c r="M345" s="2">
        <v>87</v>
      </c>
      <c r="N345" s="2">
        <f t="shared" si="5"/>
        <v>104</v>
      </c>
      <c r="O345" s="2" t="s">
        <v>104</v>
      </c>
    </row>
    <row r="346" spans="1:15" x14ac:dyDescent="0.35">
      <c r="A346" s="2">
        <v>105</v>
      </c>
      <c r="B346" s="1">
        <v>44666</v>
      </c>
      <c r="C346" s="2" t="s">
        <v>14</v>
      </c>
      <c r="D346" s="2" t="s">
        <v>36</v>
      </c>
      <c r="E346" s="2" t="s">
        <v>3</v>
      </c>
      <c r="F346" s="2" t="s">
        <v>52</v>
      </c>
      <c r="G346" s="2" t="s">
        <v>60</v>
      </c>
      <c r="H346" s="2" t="s">
        <v>54</v>
      </c>
      <c r="I346" s="3">
        <v>22.800014999999998</v>
      </c>
      <c r="J346" s="3">
        <v>67.125</v>
      </c>
      <c r="K346" s="3">
        <v>15.167124999999999</v>
      </c>
      <c r="L346" s="2">
        <v>38</v>
      </c>
      <c r="M346" s="2">
        <v>66</v>
      </c>
      <c r="N346" s="2">
        <f t="shared" si="5"/>
        <v>104</v>
      </c>
      <c r="O346" s="2" t="s">
        <v>104</v>
      </c>
    </row>
    <row r="347" spans="1:15" x14ac:dyDescent="0.35">
      <c r="A347" s="2">
        <v>358</v>
      </c>
      <c r="B347" s="1">
        <v>44919</v>
      </c>
      <c r="C347" s="2" t="s">
        <v>13</v>
      </c>
      <c r="D347" s="2" t="s">
        <v>44</v>
      </c>
      <c r="E347" s="2" t="s">
        <v>59</v>
      </c>
      <c r="F347" s="2" t="s">
        <v>53</v>
      </c>
      <c r="G347" s="2" t="s">
        <v>60</v>
      </c>
      <c r="H347" s="2" t="s">
        <v>54</v>
      </c>
      <c r="I347" s="3">
        <v>31.274999999999999</v>
      </c>
      <c r="J347" s="3">
        <v>54.25</v>
      </c>
      <c r="K347" s="3">
        <v>12.750368</v>
      </c>
      <c r="L347" s="2">
        <v>36</v>
      </c>
      <c r="M347" s="2">
        <v>68</v>
      </c>
      <c r="N347" s="2">
        <f t="shared" si="5"/>
        <v>104</v>
      </c>
      <c r="O347" s="2" t="s">
        <v>104</v>
      </c>
    </row>
    <row r="348" spans="1:15" x14ac:dyDescent="0.35">
      <c r="A348" s="2">
        <v>59</v>
      </c>
      <c r="B348" s="1">
        <v>44620</v>
      </c>
      <c r="C348" s="2" t="s">
        <v>13</v>
      </c>
      <c r="D348" s="2" t="s">
        <v>34</v>
      </c>
      <c r="E348" s="2" t="s">
        <v>59</v>
      </c>
      <c r="F348" s="2" t="s">
        <v>48</v>
      </c>
      <c r="G348" s="2" t="s">
        <v>5</v>
      </c>
      <c r="H348" s="2" t="s">
        <v>55</v>
      </c>
      <c r="I348" s="3">
        <v>28.762515</v>
      </c>
      <c r="J348" s="3">
        <v>87.636400000000009</v>
      </c>
      <c r="K348" s="3">
        <v>19.408961999999999</v>
      </c>
      <c r="L348" s="2">
        <v>16</v>
      </c>
      <c r="M348" s="2">
        <v>89</v>
      </c>
      <c r="N348" s="2">
        <f t="shared" si="5"/>
        <v>105</v>
      </c>
      <c r="O348" s="2" t="s">
        <v>104</v>
      </c>
    </row>
    <row r="349" spans="1:15" x14ac:dyDescent="0.35">
      <c r="A349" s="2">
        <v>362</v>
      </c>
      <c r="B349" s="1">
        <v>44923</v>
      </c>
      <c r="C349" s="2" t="s">
        <v>13</v>
      </c>
      <c r="D349" s="2" t="s">
        <v>44</v>
      </c>
      <c r="E349" s="2" t="s">
        <v>59</v>
      </c>
      <c r="F349" s="2" t="s">
        <v>50</v>
      </c>
      <c r="G349" s="2" t="s">
        <v>5</v>
      </c>
      <c r="H349" s="2" t="s">
        <v>54</v>
      </c>
      <c r="I349" s="3">
        <v>32.774985000000001</v>
      </c>
      <c r="J349" s="3">
        <v>50.391300000000008</v>
      </c>
      <c r="K349" s="3">
        <v>19.695386999999997</v>
      </c>
      <c r="L349" s="2">
        <v>17</v>
      </c>
      <c r="M349" s="2">
        <v>88</v>
      </c>
      <c r="N349" s="2">
        <f t="shared" si="5"/>
        <v>105</v>
      </c>
      <c r="O349" s="2" t="s">
        <v>104</v>
      </c>
    </row>
    <row r="350" spans="1:15" x14ac:dyDescent="0.35">
      <c r="A350" s="2">
        <v>15</v>
      </c>
      <c r="B350" s="1">
        <v>44576</v>
      </c>
      <c r="C350" s="2" t="s">
        <v>13</v>
      </c>
      <c r="D350" s="2" t="s">
        <v>33</v>
      </c>
      <c r="E350" s="2" t="s">
        <v>59</v>
      </c>
      <c r="F350" s="2" t="s">
        <v>53</v>
      </c>
      <c r="G350" s="2" t="s">
        <v>60</v>
      </c>
      <c r="H350" s="2" t="s">
        <v>55</v>
      </c>
      <c r="I350" s="3">
        <v>32.362515000000002</v>
      </c>
      <c r="J350" s="3">
        <v>49.875</v>
      </c>
      <c r="K350" s="3">
        <v>10.583520999999999</v>
      </c>
      <c r="L350" s="2">
        <v>40</v>
      </c>
      <c r="M350" s="2">
        <v>66</v>
      </c>
      <c r="N350" s="2">
        <f t="shared" si="5"/>
        <v>106</v>
      </c>
      <c r="O350" s="2" t="s">
        <v>104</v>
      </c>
    </row>
    <row r="351" spans="1:15" x14ac:dyDescent="0.35">
      <c r="A351" s="2">
        <v>302</v>
      </c>
      <c r="B351" s="1">
        <v>44863</v>
      </c>
      <c r="C351" s="2" t="s">
        <v>16</v>
      </c>
      <c r="D351" s="2" t="s">
        <v>42</v>
      </c>
      <c r="E351" s="2" t="s">
        <v>59</v>
      </c>
      <c r="F351" s="2" t="s">
        <v>53</v>
      </c>
      <c r="G351" s="2" t="s">
        <v>60</v>
      </c>
      <c r="H351" s="2" t="s">
        <v>56</v>
      </c>
      <c r="I351" s="3">
        <v>21.262499999999999</v>
      </c>
      <c r="J351" s="3">
        <v>88.25</v>
      </c>
      <c r="K351" s="3">
        <v>23.541857</v>
      </c>
      <c r="L351" s="2">
        <v>39</v>
      </c>
      <c r="M351" s="2">
        <v>67</v>
      </c>
      <c r="N351" s="2">
        <f t="shared" si="5"/>
        <v>106</v>
      </c>
      <c r="O351" s="2" t="s">
        <v>104</v>
      </c>
    </row>
    <row r="352" spans="1:15" x14ac:dyDescent="0.35">
      <c r="A352" s="2">
        <v>336</v>
      </c>
      <c r="B352" s="1">
        <v>44897</v>
      </c>
      <c r="C352" s="2" t="s">
        <v>13</v>
      </c>
      <c r="D352" s="2" t="s">
        <v>44</v>
      </c>
      <c r="E352" s="2" t="s">
        <v>59</v>
      </c>
      <c r="F352" s="2" t="s">
        <v>52</v>
      </c>
      <c r="G352" s="2" t="s">
        <v>5</v>
      </c>
      <c r="H352" s="2" t="s">
        <v>54</v>
      </c>
      <c r="I352" s="3">
        <v>27.9</v>
      </c>
      <c r="J352" s="3">
        <v>62.583299999999994</v>
      </c>
      <c r="K352" s="3">
        <v>6.7505179999999996</v>
      </c>
      <c r="L352" s="2">
        <v>18</v>
      </c>
      <c r="M352" s="2">
        <v>88</v>
      </c>
      <c r="N352" s="2">
        <f t="shared" si="5"/>
        <v>106</v>
      </c>
      <c r="O352" s="2" t="s">
        <v>104</v>
      </c>
    </row>
    <row r="353" spans="1:16" x14ac:dyDescent="0.35">
      <c r="A353" s="2">
        <v>337</v>
      </c>
      <c r="B353" s="1">
        <v>44898</v>
      </c>
      <c r="C353" s="2" t="s">
        <v>13</v>
      </c>
      <c r="D353" s="2" t="s">
        <v>44</v>
      </c>
      <c r="E353" s="2" t="s">
        <v>59</v>
      </c>
      <c r="F353" s="2" t="s">
        <v>53</v>
      </c>
      <c r="G353" s="2" t="s">
        <v>60</v>
      </c>
      <c r="H353" s="2" t="s">
        <v>54</v>
      </c>
      <c r="I353" s="3">
        <v>28.574999999999999</v>
      </c>
      <c r="J353" s="3">
        <v>61.291700000000006</v>
      </c>
      <c r="K353" s="3">
        <v>6.4174810999999998</v>
      </c>
      <c r="L353" s="2">
        <v>37</v>
      </c>
      <c r="M353" s="2">
        <v>69</v>
      </c>
      <c r="N353" s="2">
        <f t="shared" si="5"/>
        <v>106</v>
      </c>
      <c r="O353" s="2" t="s">
        <v>104</v>
      </c>
    </row>
    <row r="354" spans="1:16" x14ac:dyDescent="0.35">
      <c r="A354" s="2">
        <v>359</v>
      </c>
      <c r="B354" s="1">
        <v>44920</v>
      </c>
      <c r="C354" s="2" t="s">
        <v>13</v>
      </c>
      <c r="D354" s="2" t="s">
        <v>44</v>
      </c>
      <c r="E354" s="2" t="s">
        <v>59</v>
      </c>
      <c r="F354" s="2" t="s">
        <v>47</v>
      </c>
      <c r="G354" s="2" t="s">
        <v>60</v>
      </c>
      <c r="H354" s="2" t="s">
        <v>54</v>
      </c>
      <c r="I354" s="3">
        <v>30.6</v>
      </c>
      <c r="J354" s="3">
        <v>68.130400000000009</v>
      </c>
      <c r="K354" s="3">
        <v>10.391097</v>
      </c>
      <c r="L354" s="2">
        <v>38</v>
      </c>
      <c r="M354" s="2">
        <v>68</v>
      </c>
      <c r="N354" s="2">
        <f t="shared" si="5"/>
        <v>106</v>
      </c>
      <c r="O354" s="2" t="s">
        <v>104</v>
      </c>
      <c r="P354" t="s">
        <v>45</v>
      </c>
    </row>
    <row r="355" spans="1:16" x14ac:dyDescent="0.35">
      <c r="A355" s="2">
        <v>7</v>
      </c>
      <c r="B355" s="1">
        <v>44568</v>
      </c>
      <c r="C355" s="2" t="s">
        <v>13</v>
      </c>
      <c r="D355" s="2" t="s">
        <v>33</v>
      </c>
      <c r="E355" s="2" t="s">
        <v>59</v>
      </c>
      <c r="F355" s="2" t="s">
        <v>52</v>
      </c>
      <c r="G355" s="2" t="s">
        <v>5</v>
      </c>
      <c r="H355" s="2" t="s">
        <v>55</v>
      </c>
      <c r="I355" s="3">
        <v>32.999985000000002</v>
      </c>
      <c r="J355" s="3">
        <v>49.869599999999998</v>
      </c>
      <c r="K355" s="3">
        <v>11.304641999999999</v>
      </c>
      <c r="L355" s="2">
        <v>40</v>
      </c>
      <c r="M355" s="2">
        <v>67</v>
      </c>
      <c r="N355" s="2">
        <f t="shared" si="5"/>
        <v>107</v>
      </c>
      <c r="O355" s="2" t="s">
        <v>104</v>
      </c>
    </row>
    <row r="356" spans="1:16" x14ac:dyDescent="0.35">
      <c r="A356" s="2">
        <v>70</v>
      </c>
      <c r="B356" s="1">
        <v>44631</v>
      </c>
      <c r="C356" s="2" t="s">
        <v>14</v>
      </c>
      <c r="D356" s="2" t="s">
        <v>35</v>
      </c>
      <c r="E356" s="2" t="s">
        <v>59</v>
      </c>
      <c r="F356" s="2" t="s">
        <v>52</v>
      </c>
      <c r="G356" s="2" t="s">
        <v>5</v>
      </c>
      <c r="H356" s="2" t="s">
        <v>55</v>
      </c>
      <c r="I356" s="3">
        <v>29.700000000000003</v>
      </c>
      <c r="J356" s="3">
        <v>64.956499999999991</v>
      </c>
      <c r="K356" s="3">
        <v>15.60899</v>
      </c>
      <c r="L356" s="2">
        <v>35</v>
      </c>
      <c r="M356" s="2">
        <v>72</v>
      </c>
      <c r="N356" s="2">
        <f t="shared" si="5"/>
        <v>107</v>
      </c>
      <c r="O356" s="2" t="s">
        <v>104</v>
      </c>
    </row>
    <row r="357" spans="1:16" x14ac:dyDescent="0.35">
      <c r="A357" s="2">
        <v>364</v>
      </c>
      <c r="B357" s="1">
        <v>44925</v>
      </c>
      <c r="C357" s="2" t="s">
        <v>13</v>
      </c>
      <c r="D357" s="2" t="s">
        <v>44</v>
      </c>
      <c r="E357" s="2" t="s">
        <v>59</v>
      </c>
      <c r="F357" s="2" t="s">
        <v>52</v>
      </c>
      <c r="G357" s="2" t="s">
        <v>5</v>
      </c>
      <c r="H357" s="2" t="s">
        <v>54</v>
      </c>
      <c r="I357" s="3">
        <v>32.512500000000003</v>
      </c>
      <c r="J357" s="3">
        <v>63.666699999999999</v>
      </c>
      <c r="K357" s="3">
        <v>9.0005790000000001</v>
      </c>
      <c r="L357" s="2">
        <v>25</v>
      </c>
      <c r="M357" s="2">
        <v>82</v>
      </c>
      <c r="N357" s="2">
        <f t="shared" si="5"/>
        <v>107</v>
      </c>
      <c r="O357" s="2" t="s">
        <v>104</v>
      </c>
    </row>
    <row r="358" spans="1:16" x14ac:dyDescent="0.35">
      <c r="A358" s="2">
        <v>98</v>
      </c>
      <c r="B358" s="1">
        <v>44659</v>
      </c>
      <c r="C358" s="2" t="s">
        <v>14</v>
      </c>
      <c r="D358" s="2" t="s">
        <v>36</v>
      </c>
      <c r="E358" s="2" t="s">
        <v>59</v>
      </c>
      <c r="F358" s="2" t="s">
        <v>52</v>
      </c>
      <c r="G358" s="2" t="s">
        <v>5</v>
      </c>
      <c r="H358" s="2" t="s">
        <v>55</v>
      </c>
      <c r="I358" s="3">
        <v>23.475014999999999</v>
      </c>
      <c r="J358" s="3">
        <v>83.625</v>
      </c>
      <c r="K358" s="3">
        <v>15.208463999999999</v>
      </c>
      <c r="L358" s="2">
        <v>45</v>
      </c>
      <c r="M358" s="2">
        <v>63</v>
      </c>
      <c r="N358" s="2">
        <f t="shared" si="5"/>
        <v>108</v>
      </c>
      <c r="O358" s="2" t="s">
        <v>104</v>
      </c>
    </row>
    <row r="359" spans="1:16" x14ac:dyDescent="0.35">
      <c r="A359" s="2">
        <v>84</v>
      </c>
      <c r="B359" s="1">
        <v>44645</v>
      </c>
      <c r="C359" s="2" t="s">
        <v>14</v>
      </c>
      <c r="D359" s="2" t="s">
        <v>35</v>
      </c>
      <c r="E359" s="2" t="s">
        <v>59</v>
      </c>
      <c r="F359" s="2" t="s">
        <v>52</v>
      </c>
      <c r="G359" s="2" t="s">
        <v>5</v>
      </c>
      <c r="H359" s="2" t="s">
        <v>54</v>
      </c>
      <c r="I359" s="3">
        <v>27.300014999999998</v>
      </c>
      <c r="J359" s="3">
        <v>49.5</v>
      </c>
      <c r="K359" s="3">
        <v>15.458575000000002</v>
      </c>
      <c r="L359" s="2">
        <v>36</v>
      </c>
      <c r="M359" s="2">
        <v>73</v>
      </c>
      <c r="N359" s="2">
        <f t="shared" si="5"/>
        <v>109</v>
      </c>
      <c r="O359" s="2" t="s">
        <v>104</v>
      </c>
    </row>
    <row r="360" spans="1:16" x14ac:dyDescent="0.35">
      <c r="A360" s="2">
        <v>13</v>
      </c>
      <c r="B360" s="1">
        <v>44574</v>
      </c>
      <c r="C360" s="2" t="s">
        <v>13</v>
      </c>
      <c r="D360" s="2" t="s">
        <v>33</v>
      </c>
      <c r="E360" s="2" t="s">
        <v>59</v>
      </c>
      <c r="F360" s="2" t="s">
        <v>51</v>
      </c>
      <c r="G360" s="2" t="s">
        <v>5</v>
      </c>
      <c r="H360" s="2" t="s">
        <v>54</v>
      </c>
      <c r="I360" s="3">
        <v>29.849984999999997</v>
      </c>
      <c r="J360" s="3">
        <v>47.041699999999999</v>
      </c>
      <c r="K360" s="3">
        <v>20.166999999999998</v>
      </c>
      <c r="L360" s="2">
        <v>26</v>
      </c>
      <c r="M360" s="2">
        <v>84</v>
      </c>
      <c r="N360" s="2">
        <f t="shared" si="5"/>
        <v>110</v>
      </c>
      <c r="O360" s="2" t="s">
        <v>104</v>
      </c>
    </row>
    <row r="361" spans="1:16" x14ac:dyDescent="0.35">
      <c r="A361" s="2">
        <v>99</v>
      </c>
      <c r="B361" s="1">
        <v>44660</v>
      </c>
      <c r="C361" s="2" t="s">
        <v>14</v>
      </c>
      <c r="D361" s="2" t="s">
        <v>36</v>
      </c>
      <c r="E361" s="2" t="s">
        <v>59</v>
      </c>
      <c r="F361" s="2" t="s">
        <v>53</v>
      </c>
      <c r="G361" s="2" t="s">
        <v>60</v>
      </c>
      <c r="H361" s="2" t="s">
        <v>55</v>
      </c>
      <c r="I361" s="3">
        <v>24.337485000000001</v>
      </c>
      <c r="J361" s="3">
        <v>87.75</v>
      </c>
      <c r="K361" s="3">
        <v>8.9165609999999997</v>
      </c>
      <c r="L361" s="2">
        <v>48</v>
      </c>
      <c r="M361" s="2">
        <v>62</v>
      </c>
      <c r="N361" s="2">
        <f t="shared" si="5"/>
        <v>110</v>
      </c>
      <c r="O361" s="2" t="s">
        <v>104</v>
      </c>
    </row>
    <row r="362" spans="1:16" x14ac:dyDescent="0.35">
      <c r="A362" s="2">
        <v>363</v>
      </c>
      <c r="B362" s="1">
        <v>44924</v>
      </c>
      <c r="C362" s="2" t="s">
        <v>13</v>
      </c>
      <c r="D362" s="2" t="s">
        <v>44</v>
      </c>
      <c r="E362" s="2" t="s">
        <v>59</v>
      </c>
      <c r="F362" s="2" t="s">
        <v>51</v>
      </c>
      <c r="G362" s="2" t="s">
        <v>5</v>
      </c>
      <c r="H362" s="2" t="s">
        <v>54</v>
      </c>
      <c r="I362" s="3">
        <v>31.350015000000003</v>
      </c>
      <c r="J362" s="3">
        <v>57.416699999999999</v>
      </c>
      <c r="K362" s="3">
        <v>8.0006040000000009</v>
      </c>
      <c r="L362" s="2">
        <v>21</v>
      </c>
      <c r="M362" s="2">
        <v>90</v>
      </c>
      <c r="N362" s="2">
        <f t="shared" si="5"/>
        <v>111</v>
      </c>
      <c r="O362" s="2" t="s">
        <v>104</v>
      </c>
    </row>
    <row r="363" spans="1:16" x14ac:dyDescent="0.35">
      <c r="A363" s="2">
        <v>323</v>
      </c>
      <c r="B363" s="1">
        <v>44884</v>
      </c>
      <c r="C363" s="2" t="s">
        <v>16</v>
      </c>
      <c r="D363" s="2" t="s">
        <v>43</v>
      </c>
      <c r="E363" s="2" t="s">
        <v>59</v>
      </c>
      <c r="F363" s="2" t="s">
        <v>53</v>
      </c>
      <c r="G363" s="2" t="s">
        <v>60</v>
      </c>
      <c r="H363" s="2" t="s">
        <v>54</v>
      </c>
      <c r="I363" s="3">
        <v>27.112500000000001</v>
      </c>
      <c r="J363" s="3">
        <v>50.208299999999994</v>
      </c>
      <c r="K363" s="3">
        <v>15.041232000000001</v>
      </c>
      <c r="L363" s="2">
        <v>45</v>
      </c>
      <c r="M363" s="2">
        <v>71</v>
      </c>
      <c r="N363" s="2">
        <f t="shared" si="5"/>
        <v>116</v>
      </c>
      <c r="O363" s="2" t="s">
        <v>104</v>
      </c>
    </row>
    <row r="364" spans="1:16" x14ac:dyDescent="0.35">
      <c r="A364" s="2">
        <v>14</v>
      </c>
      <c r="B364" s="1">
        <v>44575</v>
      </c>
      <c r="C364" s="2" t="s">
        <v>13</v>
      </c>
      <c r="D364" s="2" t="s">
        <v>33</v>
      </c>
      <c r="E364" s="2" t="s">
        <v>59</v>
      </c>
      <c r="F364" s="2" t="s">
        <v>52</v>
      </c>
      <c r="G364" s="2" t="s">
        <v>5</v>
      </c>
      <c r="H364" s="2" t="s">
        <v>54</v>
      </c>
      <c r="I364" s="3">
        <v>30.900015</v>
      </c>
      <c r="J364" s="3">
        <v>53.782600000000002</v>
      </c>
      <c r="K364" s="3">
        <v>8.4787160000000004</v>
      </c>
      <c r="L364" s="2">
        <v>48</v>
      </c>
      <c r="M364" s="2">
        <v>70</v>
      </c>
      <c r="N364" s="2">
        <f t="shared" si="5"/>
        <v>118</v>
      </c>
      <c r="O364" s="2" t="s">
        <v>104</v>
      </c>
    </row>
    <row r="365" spans="1:16" x14ac:dyDescent="0.35">
      <c r="A365" s="2">
        <v>52</v>
      </c>
      <c r="B365" s="1">
        <v>44613</v>
      </c>
      <c r="C365" s="2" t="s">
        <v>13</v>
      </c>
      <c r="D365" s="2" t="s">
        <v>34</v>
      </c>
      <c r="E365" s="2" t="s">
        <v>3</v>
      </c>
      <c r="F365" s="2" t="s">
        <v>48</v>
      </c>
      <c r="G365" s="2" t="s">
        <v>60</v>
      </c>
      <c r="H365" s="2" t="s">
        <v>55</v>
      </c>
      <c r="I365" s="3">
        <v>28.837485000000001</v>
      </c>
      <c r="J365" s="3">
        <v>60.5</v>
      </c>
      <c r="K365" s="3">
        <v>20.625682000000001</v>
      </c>
      <c r="L365" s="2">
        <v>26</v>
      </c>
      <c r="M365" s="2">
        <v>92</v>
      </c>
      <c r="N365" s="2">
        <f t="shared" si="5"/>
        <v>118</v>
      </c>
      <c r="O365" s="2" t="s">
        <v>104</v>
      </c>
    </row>
    <row r="366" spans="1:16" x14ac:dyDescent="0.35">
      <c r="A366" s="2">
        <v>2</v>
      </c>
      <c r="B366" s="1">
        <v>44563</v>
      </c>
      <c r="C366" s="2" t="s">
        <v>13</v>
      </c>
      <c r="D366" s="2" t="s">
        <v>33</v>
      </c>
      <c r="E366" s="2" t="s">
        <v>59</v>
      </c>
      <c r="F366" s="2" t="s">
        <v>47</v>
      </c>
      <c r="G366" s="2" t="s">
        <v>60</v>
      </c>
      <c r="H366" s="2" t="s">
        <v>55</v>
      </c>
      <c r="I366" s="3">
        <v>32.700015</v>
      </c>
      <c r="J366" s="3">
        <v>69.608699999999999</v>
      </c>
      <c r="K366" s="3">
        <v>16.652113</v>
      </c>
      <c r="L366" s="2">
        <v>61</v>
      </c>
      <c r="M366" s="2">
        <v>60</v>
      </c>
      <c r="N366" s="2">
        <f t="shared" si="5"/>
        <v>121</v>
      </c>
      <c r="O366" s="2" t="s">
        <v>104</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93150-3326-499E-AC37-7AE066D48DD4}">
  <dimension ref="B1:U36"/>
  <sheetViews>
    <sheetView tabSelected="1" topLeftCell="B1" zoomScale="80" zoomScaleNormal="88" workbookViewId="0">
      <selection activeCell="R28" sqref="R28:U36"/>
    </sheetView>
  </sheetViews>
  <sheetFormatPr defaultRowHeight="14.5" x14ac:dyDescent="0.35"/>
  <cols>
    <col min="6" max="6" width="15.90625" bestFit="1" customWidth="1"/>
    <col min="7" max="7" width="14.54296875" bestFit="1" customWidth="1"/>
    <col min="8" max="8" width="14.90625" bestFit="1" customWidth="1"/>
    <col min="9" max="9" width="15.36328125" bestFit="1" customWidth="1"/>
    <col min="14" max="14" width="12.453125" bestFit="1" customWidth="1"/>
    <col min="15" max="15" width="11.6328125" bestFit="1" customWidth="1"/>
    <col min="16" max="16" width="11.7265625" bestFit="1" customWidth="1"/>
    <col min="17" max="17" width="17.54296875" bestFit="1" customWidth="1"/>
    <col min="18" max="18" width="18.08984375" bestFit="1" customWidth="1"/>
    <col min="19" max="19" width="17.453125" bestFit="1" customWidth="1"/>
    <col min="20" max="20" width="17.36328125" bestFit="1" customWidth="1"/>
    <col min="21" max="21" width="17.90625" bestFit="1" customWidth="1"/>
  </cols>
  <sheetData>
    <row r="1" spans="2:21" ht="15" thickBot="1" x14ac:dyDescent="0.4"/>
    <row r="2" spans="2:21" x14ac:dyDescent="0.35">
      <c r="B2" s="4"/>
      <c r="C2" s="5"/>
      <c r="D2" s="5"/>
      <c r="E2" s="5"/>
      <c r="F2" s="5"/>
      <c r="G2" s="5"/>
      <c r="H2" s="5"/>
      <c r="I2" s="5"/>
      <c r="J2" s="5"/>
      <c r="K2" s="5"/>
      <c r="L2" s="5"/>
      <c r="M2" s="5"/>
      <c r="N2" s="5"/>
      <c r="O2" s="5"/>
      <c r="P2" s="5"/>
      <c r="Q2" s="5"/>
      <c r="R2" s="5"/>
      <c r="S2" s="5"/>
      <c r="T2" s="5"/>
      <c r="U2" s="6"/>
    </row>
    <row r="3" spans="2:21" x14ac:dyDescent="0.35">
      <c r="B3" s="7"/>
      <c r="U3" s="8"/>
    </row>
    <row r="4" spans="2:21" x14ac:dyDescent="0.35">
      <c r="B4" s="7"/>
      <c r="U4" s="8"/>
    </row>
    <row r="5" spans="2:21" x14ac:dyDescent="0.35">
      <c r="B5" s="7"/>
      <c r="U5" s="8"/>
    </row>
    <row r="6" spans="2:21" x14ac:dyDescent="0.35">
      <c r="B6" s="7"/>
      <c r="U6" s="8"/>
    </row>
    <row r="7" spans="2:21" x14ac:dyDescent="0.35">
      <c r="B7" s="7"/>
      <c r="U7" s="8"/>
    </row>
    <row r="8" spans="2:21" x14ac:dyDescent="0.35">
      <c r="B8" s="7"/>
      <c r="U8" s="8"/>
    </row>
    <row r="9" spans="2:21" x14ac:dyDescent="0.35">
      <c r="B9" s="7"/>
      <c r="U9" s="8"/>
    </row>
    <row r="10" spans="2:21" x14ac:dyDescent="0.35">
      <c r="B10" s="7"/>
      <c r="U10" s="8"/>
    </row>
    <row r="11" spans="2:21" x14ac:dyDescent="0.35">
      <c r="B11" s="7"/>
      <c r="U11" s="8"/>
    </row>
    <row r="12" spans="2:21" x14ac:dyDescent="0.35">
      <c r="B12" s="7"/>
      <c r="U12" s="8"/>
    </row>
    <row r="13" spans="2:21" x14ac:dyDescent="0.35">
      <c r="B13" s="7"/>
      <c r="U13" s="8"/>
    </row>
    <row r="14" spans="2:21" x14ac:dyDescent="0.35">
      <c r="B14" s="7"/>
      <c r="U14" s="8"/>
    </row>
    <row r="15" spans="2:21" x14ac:dyDescent="0.35">
      <c r="B15" s="7"/>
      <c r="U15" s="8"/>
    </row>
    <row r="16" spans="2:21" x14ac:dyDescent="0.35">
      <c r="B16" s="7"/>
      <c r="U16" s="8"/>
    </row>
    <row r="17" spans="2:21" x14ac:dyDescent="0.35">
      <c r="B17" s="7"/>
      <c r="U17" s="8"/>
    </row>
    <row r="18" spans="2:21" x14ac:dyDescent="0.35">
      <c r="B18" s="7"/>
      <c r="U18" s="8"/>
    </row>
    <row r="19" spans="2:21" x14ac:dyDescent="0.35">
      <c r="B19" s="7"/>
      <c r="U19" s="8"/>
    </row>
    <row r="20" spans="2:21" x14ac:dyDescent="0.35">
      <c r="B20" s="7"/>
      <c r="U20" s="8"/>
    </row>
    <row r="21" spans="2:21" x14ac:dyDescent="0.35">
      <c r="B21" s="7"/>
      <c r="U21" s="8"/>
    </row>
    <row r="22" spans="2:21" x14ac:dyDescent="0.35">
      <c r="B22" s="7"/>
      <c r="U22" s="8"/>
    </row>
    <row r="23" spans="2:21" ht="21" x14ac:dyDescent="0.5">
      <c r="B23" s="7"/>
      <c r="U23" s="28"/>
    </row>
    <row r="24" spans="2:21" ht="21" x14ac:dyDescent="0.5">
      <c r="B24" s="7"/>
      <c r="U24" s="28"/>
    </row>
    <row r="25" spans="2:21" ht="21" x14ac:dyDescent="0.5">
      <c r="B25" s="7"/>
      <c r="U25" s="28"/>
    </row>
    <row r="26" spans="2:21" ht="21" x14ac:dyDescent="0.5">
      <c r="B26" s="7"/>
      <c r="U26" s="28"/>
    </row>
    <row r="27" spans="2:21" ht="21" x14ac:dyDescent="0.5">
      <c r="B27" s="7"/>
      <c r="U27" s="28"/>
    </row>
    <row r="28" spans="2:21" ht="21" x14ac:dyDescent="0.5">
      <c r="B28" s="7"/>
      <c r="R28" s="27" t="s">
        <v>63</v>
      </c>
      <c r="S28" s="28" t="s">
        <v>66</v>
      </c>
      <c r="T28" s="28" t="s">
        <v>65</v>
      </c>
      <c r="U28" s="28" t="s">
        <v>67</v>
      </c>
    </row>
    <row r="29" spans="2:21" ht="21" x14ac:dyDescent="0.5">
      <c r="B29" s="7"/>
      <c r="R29" s="29" t="s">
        <v>48</v>
      </c>
      <c r="S29" s="30">
        <v>3046</v>
      </c>
      <c r="T29" s="30">
        <v>539</v>
      </c>
      <c r="U29" s="30">
        <v>3585</v>
      </c>
    </row>
    <row r="30" spans="2:21" ht="21" x14ac:dyDescent="0.5">
      <c r="B30" s="7"/>
      <c r="R30" s="29" t="s">
        <v>49</v>
      </c>
      <c r="S30" s="30">
        <v>2984</v>
      </c>
      <c r="T30" s="30">
        <v>429</v>
      </c>
      <c r="U30" s="30">
        <v>3413</v>
      </c>
    </row>
    <row r="31" spans="2:21" ht="21" x14ac:dyDescent="0.5">
      <c r="B31" s="7"/>
      <c r="R31" s="29" t="s">
        <v>50</v>
      </c>
      <c r="S31" s="30">
        <v>2994</v>
      </c>
      <c r="T31" s="30">
        <v>425</v>
      </c>
      <c r="U31" s="30">
        <v>3419</v>
      </c>
    </row>
    <row r="32" spans="2:21" ht="21" x14ac:dyDescent="0.5">
      <c r="B32" s="7"/>
      <c r="R32" s="29" t="s">
        <v>51</v>
      </c>
      <c r="S32" s="30">
        <v>3069</v>
      </c>
      <c r="T32" s="30">
        <v>533</v>
      </c>
      <c r="U32" s="30">
        <v>3602</v>
      </c>
    </row>
    <row r="33" spans="2:21" ht="21" x14ac:dyDescent="0.5">
      <c r="B33" s="7"/>
      <c r="R33" s="29" t="s">
        <v>52</v>
      </c>
      <c r="S33" s="30">
        <v>2661</v>
      </c>
      <c r="T33" s="30">
        <v>909</v>
      </c>
      <c r="U33" s="30">
        <v>3570</v>
      </c>
    </row>
    <row r="34" spans="2:21" ht="21" x14ac:dyDescent="0.5">
      <c r="B34" s="7"/>
      <c r="R34" s="29" t="s">
        <v>53</v>
      </c>
      <c r="S34" s="30">
        <v>2439</v>
      </c>
      <c r="T34" s="30">
        <v>1213</v>
      </c>
      <c r="U34" s="30">
        <v>3652</v>
      </c>
    </row>
    <row r="35" spans="2:21" ht="21" x14ac:dyDescent="0.5">
      <c r="B35" s="7"/>
      <c r="R35" s="29" t="s">
        <v>47</v>
      </c>
      <c r="S35" s="30">
        <v>2718</v>
      </c>
      <c r="T35" s="30">
        <v>899</v>
      </c>
      <c r="U35" s="30">
        <v>3617</v>
      </c>
    </row>
    <row r="36" spans="2:21" ht="21.5" thickBot="1" x14ac:dyDescent="0.55000000000000004">
      <c r="B36" s="9"/>
      <c r="C36" s="10"/>
      <c r="D36" s="10"/>
      <c r="E36" s="10"/>
      <c r="F36" s="10"/>
      <c r="G36" s="10"/>
      <c r="H36" s="10"/>
      <c r="I36" s="10"/>
      <c r="J36" s="10"/>
      <c r="K36" s="10"/>
      <c r="L36" s="10"/>
      <c r="M36" s="10"/>
      <c r="N36" s="10"/>
      <c r="O36" s="10"/>
      <c r="P36" s="10"/>
      <c r="Q36" s="10"/>
      <c r="R36" s="29" t="s">
        <v>64</v>
      </c>
      <c r="S36" s="30">
        <v>19911</v>
      </c>
      <c r="T36" s="30">
        <v>4947</v>
      </c>
      <c r="U36" s="30">
        <v>24858</v>
      </c>
    </row>
  </sheetData>
  <conditionalFormatting sqref="F5:I9">
    <cfRule type="colorScale" priority="22">
      <colorScale>
        <cfvo type="min"/>
        <cfvo type="percentile" val="50"/>
        <cfvo type="max"/>
        <color rgb="FFF8696B"/>
        <color rgb="FFFFEB84"/>
        <color rgb="FF63BE7B"/>
      </colorScale>
    </cfRule>
  </conditionalFormatting>
  <conditionalFormatting sqref="F5:I10">
    <cfRule type="colorScale" priority="21">
      <colorScale>
        <cfvo type="min"/>
        <cfvo type="percentile" val="50"/>
        <cfvo type="max"/>
        <color rgb="FFF8696B"/>
        <color rgb="FFFFEB84"/>
        <color rgb="FF63BE7B"/>
      </colorScale>
    </cfRule>
  </conditionalFormatting>
  <conditionalFormatting sqref="R28:U28 R29:R34">
    <cfRule type="colorScale" priority="17">
      <colorScale>
        <cfvo type="min"/>
        <cfvo type="percentile" val="50"/>
        <cfvo type="max"/>
        <color rgb="FFF8696B"/>
        <color rgb="FFFFEB84"/>
        <color rgb="FF63BE7B"/>
      </colorScale>
    </cfRule>
  </conditionalFormatting>
  <conditionalFormatting sqref="R28:U28 R29:R36">
    <cfRule type="colorScale" priority="16">
      <colorScale>
        <cfvo type="min"/>
        <cfvo type="percentile" val="50"/>
        <cfvo type="max"/>
        <color rgb="FFF8696B"/>
        <color rgb="FFFFEB84"/>
        <color rgb="FF63BE7B"/>
      </colorScale>
    </cfRule>
  </conditionalFormatting>
  <conditionalFormatting sqref="R28:U28 R29:R36">
    <cfRule type="colorScale" priority="15">
      <colorScale>
        <cfvo type="min"/>
        <cfvo type="percentile" val="50"/>
        <cfvo type="max"/>
        <color rgb="FFF8696B"/>
        <color rgb="FFFFEB84"/>
        <color rgb="FF63BE7B"/>
      </colorScale>
    </cfRule>
  </conditionalFormatting>
  <conditionalFormatting sqref="R28:U28 R29:R36">
    <cfRule type="colorScale" priority="14">
      <colorScale>
        <cfvo type="min"/>
        <cfvo type="percentile" val="50"/>
        <cfvo type="max"/>
        <color rgb="FFF8696B"/>
        <color rgb="FFFFEB84"/>
        <color rgb="FF63BE7B"/>
      </colorScale>
    </cfRule>
  </conditionalFormatting>
  <conditionalFormatting sqref="R28:U28 R29:R36">
    <cfRule type="colorScale" priority="13">
      <colorScale>
        <cfvo type="min"/>
        <cfvo type="percentile" val="50"/>
        <cfvo type="max"/>
        <color rgb="FFF8696B"/>
        <color rgb="FFFFEB84"/>
        <color rgb="FF63BE7B"/>
      </colorScale>
    </cfRule>
  </conditionalFormatting>
  <conditionalFormatting sqref="R28:U28 R29:R36">
    <cfRule type="dataBar" priority="12">
      <dataBar>
        <cfvo type="min"/>
        <cfvo type="max"/>
        <color rgb="FF638EC6"/>
      </dataBar>
      <extLst>
        <ext xmlns:x14="http://schemas.microsoft.com/office/spreadsheetml/2009/9/main" uri="{B025F937-C7B1-47D3-B67F-A62EFF666E3E}">
          <x14:id>{5F27F76D-31D8-47BB-8294-414580C30ED9}</x14:id>
        </ext>
      </extLst>
    </cfRule>
  </conditionalFormatting>
  <conditionalFormatting sqref="R28:U28 R29:R36">
    <cfRule type="colorScale" priority="11">
      <colorScale>
        <cfvo type="min"/>
        <cfvo type="percentile" val="50"/>
        <cfvo type="max"/>
        <color rgb="FFF8696B"/>
        <color rgb="FFFFEB84"/>
        <color rgb="FF63BE7B"/>
      </colorScale>
    </cfRule>
  </conditionalFormatting>
  <conditionalFormatting sqref="R28:U28 R29:R36">
    <cfRule type="colorScale" priority="10">
      <colorScale>
        <cfvo type="min"/>
        <cfvo type="percentile" val="50"/>
        <cfvo type="max"/>
        <color rgb="FFF8696B"/>
        <color rgb="FFFFEB84"/>
        <color rgb="FF63BE7B"/>
      </colorScale>
    </cfRule>
  </conditionalFormatting>
  <conditionalFormatting sqref="R28:U28 R29:R36">
    <cfRule type="colorScale" priority="9">
      <colorScale>
        <cfvo type="min"/>
        <cfvo type="percentile" val="50"/>
        <cfvo type="max"/>
        <color rgb="FFF8696B"/>
        <color rgb="FFFFEB84"/>
        <color rgb="FF63BE7B"/>
      </colorScale>
    </cfRule>
  </conditionalFormatting>
  <conditionalFormatting sqref="R29:R36">
    <cfRule type="colorScale" priority="8">
      <colorScale>
        <cfvo type="min"/>
        <cfvo type="percentile" val="50"/>
        <cfvo type="max"/>
        <color rgb="FFF8696B"/>
        <color rgb="FFFFEB84"/>
        <color rgb="FF63BE7B"/>
      </colorScale>
    </cfRule>
  </conditionalFormatting>
  <conditionalFormatting sqref="R28:V28 R37:V37 R29:R36 V29:V36">
    <cfRule type="colorScale" priority="7">
      <colorScale>
        <cfvo type="min"/>
        <cfvo type="percentile" val="50"/>
        <cfvo type="max"/>
        <color rgb="FFF8696B"/>
        <color rgb="FFFFEB84"/>
        <color rgb="FF63BE7B"/>
      </colorScale>
    </cfRule>
  </conditionalFormatting>
  <conditionalFormatting sqref="R28:U28 R29:R36">
    <cfRule type="colorScale" priority="6">
      <colorScale>
        <cfvo type="min"/>
        <cfvo type="percentile" val="50"/>
        <cfvo type="max"/>
        <color rgb="FFF8696B"/>
        <color rgb="FFFFEB84"/>
        <color rgb="FF63BE7B"/>
      </colorScale>
    </cfRule>
  </conditionalFormatting>
  <conditionalFormatting sqref="R28:U28 R29:R36">
    <cfRule type="colorScale" priority="4">
      <colorScale>
        <cfvo type="min"/>
        <cfvo type="percentile" val="50"/>
        <cfvo type="max"/>
        <color rgb="FFF8696B"/>
        <color rgb="FFFFEB84"/>
        <color rgb="FF63BE7B"/>
      </colorScale>
    </cfRule>
  </conditionalFormatting>
  <conditionalFormatting sqref="R28:U28 R29:R36">
    <cfRule type="colorScale" priority="3">
      <colorScale>
        <cfvo type="min"/>
        <cfvo type="percentile" val="50"/>
        <cfvo type="max"/>
        <color rgb="FFF8696B"/>
        <color rgb="FFFFEB84"/>
        <color rgb="FF63BE7B"/>
      </colorScale>
    </cfRule>
    <cfRule type="dataBar" priority="2">
      <dataBar>
        <cfvo type="min"/>
        <cfvo type="max"/>
        <color rgb="FFFFB628"/>
      </dataBar>
      <extLst>
        <ext xmlns:x14="http://schemas.microsoft.com/office/spreadsheetml/2009/9/main" uri="{B025F937-C7B1-47D3-B67F-A62EFF666E3E}">
          <x14:id>{542F81C1-B865-4ECF-955C-B8DA182775F6}</x14:id>
        </ext>
      </extLst>
    </cfRule>
  </conditionalFormatting>
  <conditionalFormatting sqref="R28:U3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5F27F76D-31D8-47BB-8294-414580C30ED9}">
            <x14:dataBar minLength="0" maxLength="100" gradient="0">
              <x14:cfvo type="autoMin"/>
              <x14:cfvo type="autoMax"/>
              <x14:negativeFillColor rgb="FFFF0000"/>
              <x14:axisColor rgb="FF000000"/>
            </x14:dataBar>
          </x14:cfRule>
          <xm:sqref>R28:U28 R29:R36</xm:sqref>
        </x14:conditionalFormatting>
        <x14:conditionalFormatting xmlns:xm="http://schemas.microsoft.com/office/excel/2006/main">
          <x14:cfRule type="dataBar" id="{542F81C1-B865-4ECF-955C-B8DA182775F6}">
            <x14:dataBar minLength="0" maxLength="100" border="1" negativeBarBorderColorSameAsPositive="0">
              <x14:cfvo type="autoMin"/>
              <x14:cfvo type="autoMax"/>
              <x14:borderColor rgb="FFFFB628"/>
              <x14:negativeFillColor rgb="FFFF0000"/>
              <x14:negativeBorderColor rgb="FFFF0000"/>
              <x14:axisColor rgb="FF000000"/>
            </x14:dataBar>
          </x14:cfRule>
          <xm:sqref>R28:U28 R29:R36</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AE95-158D-4616-AD94-070DDC7466B0}">
  <dimension ref="A3:N37"/>
  <sheetViews>
    <sheetView zoomScaleNormal="100" workbookViewId="0">
      <selection activeCell="N48" sqref="N48"/>
    </sheetView>
  </sheetViews>
  <sheetFormatPr defaultRowHeight="14.5" x14ac:dyDescent="0.35"/>
  <cols>
    <col min="1" max="1" width="12.08984375" bestFit="1" customWidth="1"/>
    <col min="2" max="3" width="11.08984375" bestFit="1" customWidth="1"/>
    <col min="4" max="4" width="15.36328125" bestFit="1" customWidth="1"/>
    <col min="5" max="5" width="15.1796875" bestFit="1" customWidth="1"/>
    <col min="6" max="6" width="14.54296875" bestFit="1" customWidth="1"/>
    <col min="7" max="7" width="14.90625" bestFit="1" customWidth="1"/>
    <col min="8" max="8" width="15.36328125" bestFit="1" customWidth="1"/>
    <col min="9" max="9" width="11.6328125" bestFit="1" customWidth="1"/>
    <col min="10" max="10" width="11.7265625" bestFit="1" customWidth="1"/>
    <col min="11" max="11" width="15.1796875" bestFit="1" customWidth="1"/>
    <col min="12" max="12" width="14.54296875" bestFit="1" customWidth="1"/>
    <col min="13" max="13" width="14.90625" bestFit="1" customWidth="1"/>
    <col min="14" max="14" width="15.36328125" bestFit="1" customWidth="1"/>
    <col min="15" max="15" width="15.54296875" bestFit="1" customWidth="1"/>
    <col min="16" max="16" width="10.36328125" bestFit="1" customWidth="1"/>
    <col min="17" max="17" width="5.90625" bestFit="1" customWidth="1"/>
    <col min="18" max="18" width="5.90625" customWidth="1"/>
    <col min="19" max="301" width="5.90625" bestFit="1" customWidth="1"/>
    <col min="302" max="302" width="11.6328125" bestFit="1" customWidth="1"/>
    <col min="303" max="595" width="5.90625" bestFit="1" customWidth="1"/>
    <col min="596" max="596" width="16.26953125" bestFit="1" customWidth="1"/>
    <col min="597" max="597" width="16.1796875" bestFit="1" customWidth="1"/>
  </cols>
  <sheetData>
    <row r="3" spans="1:13" ht="18.5" x14ac:dyDescent="0.45">
      <c r="A3" s="18" t="s">
        <v>63</v>
      </c>
      <c r="B3" t="s">
        <v>66</v>
      </c>
      <c r="C3" t="s">
        <v>65</v>
      </c>
      <c r="E3" s="26" t="s">
        <v>63</v>
      </c>
      <c r="F3" s="12" t="s">
        <v>108</v>
      </c>
      <c r="G3" s="12" t="s">
        <v>66</v>
      </c>
      <c r="H3" s="12" t="s">
        <v>67</v>
      </c>
    </row>
    <row r="4" spans="1:13" ht="21" x14ac:dyDescent="0.5">
      <c r="A4" s="19" t="s">
        <v>54</v>
      </c>
      <c r="B4" s="23">
        <v>12029</v>
      </c>
      <c r="C4" s="23">
        <v>2991</v>
      </c>
      <c r="E4" s="24" t="s">
        <v>14</v>
      </c>
      <c r="F4" s="25">
        <v>1365</v>
      </c>
      <c r="G4" s="25">
        <v>5799</v>
      </c>
      <c r="H4" s="25">
        <v>7164</v>
      </c>
    </row>
    <row r="5" spans="1:13" ht="21" x14ac:dyDescent="0.5">
      <c r="A5" s="19" t="s">
        <v>55</v>
      </c>
      <c r="B5" s="23">
        <v>6967</v>
      </c>
      <c r="C5" s="23">
        <v>1748</v>
      </c>
      <c r="E5" s="24" t="s">
        <v>16</v>
      </c>
      <c r="F5" s="25">
        <v>1322</v>
      </c>
      <c r="G5" s="25">
        <v>4567</v>
      </c>
      <c r="H5" s="25">
        <v>5889</v>
      </c>
    </row>
    <row r="6" spans="1:13" ht="21" x14ac:dyDescent="0.5">
      <c r="A6" s="19" t="s">
        <v>56</v>
      </c>
      <c r="B6" s="23">
        <v>915</v>
      </c>
      <c r="C6" s="23">
        <v>208</v>
      </c>
      <c r="E6" s="24" t="s">
        <v>13</v>
      </c>
      <c r="F6" s="25">
        <v>1893</v>
      </c>
      <c r="G6" s="25">
        <v>6358</v>
      </c>
      <c r="H6" s="25">
        <v>8251</v>
      </c>
    </row>
    <row r="7" spans="1:13" ht="21" x14ac:dyDescent="0.5">
      <c r="A7" s="19" t="s">
        <v>64</v>
      </c>
      <c r="B7" s="23">
        <v>19911</v>
      </c>
      <c r="C7" s="23">
        <v>4947</v>
      </c>
      <c r="E7" s="24" t="s">
        <v>15</v>
      </c>
      <c r="F7" s="25">
        <v>367</v>
      </c>
      <c r="G7" s="25">
        <v>3187</v>
      </c>
      <c r="H7" s="25">
        <v>3554</v>
      </c>
    </row>
    <row r="8" spans="1:13" ht="21" x14ac:dyDescent="0.5">
      <c r="E8" s="24" t="s">
        <v>64</v>
      </c>
      <c r="F8" s="25">
        <v>4947</v>
      </c>
      <c r="G8" s="25">
        <v>19911</v>
      </c>
      <c r="H8" s="25">
        <v>24858</v>
      </c>
    </row>
    <row r="10" spans="1:13" x14ac:dyDescent="0.35">
      <c r="A10" s="18" t="s">
        <v>0</v>
      </c>
      <c r="B10" t="s">
        <v>68</v>
      </c>
    </row>
    <row r="12" spans="1:13" x14ac:dyDescent="0.35">
      <c r="A12" s="18" t="s">
        <v>63</v>
      </c>
      <c r="B12" t="s">
        <v>65</v>
      </c>
      <c r="C12" t="s">
        <v>66</v>
      </c>
      <c r="M12" t="s">
        <v>69</v>
      </c>
    </row>
    <row r="13" spans="1:13" x14ac:dyDescent="0.35">
      <c r="A13" s="19" t="s">
        <v>33</v>
      </c>
      <c r="B13" s="23">
        <v>690</v>
      </c>
      <c r="C13" s="23">
        <v>2111</v>
      </c>
      <c r="M13" t="s">
        <v>70</v>
      </c>
    </row>
    <row r="14" spans="1:13" x14ac:dyDescent="0.35">
      <c r="A14" s="19" t="s">
        <v>34</v>
      </c>
      <c r="B14" s="23">
        <v>533</v>
      </c>
      <c r="C14" s="23">
        <v>1920</v>
      </c>
    </row>
    <row r="15" spans="1:13" x14ac:dyDescent="0.35">
      <c r="A15" s="19" t="s">
        <v>35</v>
      </c>
      <c r="B15" s="23">
        <v>549</v>
      </c>
      <c r="C15" s="23">
        <v>2105</v>
      </c>
      <c r="G15" s="18" t="s">
        <v>63</v>
      </c>
      <c r="H15" t="s">
        <v>65</v>
      </c>
      <c r="I15" t="s">
        <v>66</v>
      </c>
    </row>
    <row r="16" spans="1:13" x14ac:dyDescent="0.35">
      <c r="A16" s="19" t="s">
        <v>36</v>
      </c>
      <c r="B16" s="23">
        <v>498</v>
      </c>
      <c r="C16" s="23">
        <v>1897</v>
      </c>
      <c r="G16" s="19" t="s">
        <v>60</v>
      </c>
      <c r="H16" s="23">
        <v>2263</v>
      </c>
      <c r="I16" s="23">
        <v>5778</v>
      </c>
    </row>
    <row r="17" spans="1:10" x14ac:dyDescent="0.35">
      <c r="A17" s="19" t="s">
        <v>37</v>
      </c>
      <c r="B17" s="23">
        <v>318</v>
      </c>
      <c r="C17" s="23">
        <v>1797</v>
      </c>
      <c r="G17" s="19" t="s">
        <v>5</v>
      </c>
      <c r="H17" s="23">
        <v>2684</v>
      </c>
      <c r="I17" s="23">
        <v>14133</v>
      </c>
    </row>
    <row r="18" spans="1:10" x14ac:dyDescent="0.35">
      <c r="A18" s="19" t="s">
        <v>38</v>
      </c>
      <c r="B18" s="23">
        <v>158</v>
      </c>
      <c r="C18" s="23">
        <v>1539</v>
      </c>
      <c r="G18" s="19" t="s">
        <v>64</v>
      </c>
      <c r="H18" s="23">
        <v>4947</v>
      </c>
      <c r="I18" s="23">
        <v>19911</v>
      </c>
    </row>
    <row r="19" spans="1:10" x14ac:dyDescent="0.35">
      <c r="A19" s="19" t="s">
        <v>39</v>
      </c>
      <c r="B19" s="23">
        <v>76</v>
      </c>
      <c r="C19" s="23">
        <v>708</v>
      </c>
    </row>
    <row r="20" spans="1:10" x14ac:dyDescent="0.35">
      <c r="A20" s="19" t="s">
        <v>40</v>
      </c>
      <c r="B20" s="23">
        <v>133</v>
      </c>
      <c r="C20" s="23">
        <v>940</v>
      </c>
    </row>
    <row r="21" spans="1:10" x14ac:dyDescent="0.35">
      <c r="A21" s="19" t="s">
        <v>41</v>
      </c>
      <c r="B21" s="23">
        <v>252</v>
      </c>
      <c r="C21" s="23">
        <v>989</v>
      </c>
    </row>
    <row r="22" spans="1:10" x14ac:dyDescent="0.35">
      <c r="A22" s="19" t="s">
        <v>42</v>
      </c>
      <c r="B22" s="23">
        <v>479</v>
      </c>
      <c r="C22" s="23">
        <v>1529</v>
      </c>
      <c r="H22" s="18" t="s">
        <v>63</v>
      </c>
      <c r="I22" t="s">
        <v>65</v>
      </c>
      <c r="J22" t="s">
        <v>66</v>
      </c>
    </row>
    <row r="23" spans="1:10" x14ac:dyDescent="0.35">
      <c r="A23" s="19" t="s">
        <v>43</v>
      </c>
      <c r="B23" s="23">
        <v>591</v>
      </c>
      <c r="C23" s="23">
        <v>2049</v>
      </c>
      <c r="H23" s="19" t="s">
        <v>3</v>
      </c>
      <c r="I23" s="23">
        <v>151</v>
      </c>
      <c r="J23" s="23">
        <v>621</v>
      </c>
    </row>
    <row r="24" spans="1:10" x14ac:dyDescent="0.35">
      <c r="A24" s="19" t="s">
        <v>44</v>
      </c>
      <c r="B24" s="23">
        <v>670</v>
      </c>
      <c r="C24" s="23">
        <v>2327</v>
      </c>
      <c r="H24" s="19" t="s">
        <v>59</v>
      </c>
      <c r="I24" s="23">
        <v>4796</v>
      </c>
      <c r="J24" s="23">
        <v>19290</v>
      </c>
    </row>
    <row r="25" spans="1:10" x14ac:dyDescent="0.35">
      <c r="A25" s="19" t="s">
        <v>64</v>
      </c>
      <c r="B25" s="23">
        <v>4947</v>
      </c>
      <c r="C25" s="23">
        <v>19911</v>
      </c>
      <c r="H25" s="19" t="s">
        <v>64</v>
      </c>
      <c r="I25" s="23">
        <v>4947</v>
      </c>
      <c r="J25" s="23">
        <v>19911</v>
      </c>
    </row>
    <row r="29" spans="1:10" x14ac:dyDescent="0.35">
      <c r="A29" s="18" t="s">
        <v>63</v>
      </c>
      <c r="B29" t="s">
        <v>67</v>
      </c>
    </row>
    <row r="30" spans="1:10" x14ac:dyDescent="0.35">
      <c r="A30" s="19" t="s">
        <v>104</v>
      </c>
      <c r="B30" s="20">
        <v>0.16566095421996943</v>
      </c>
    </row>
    <row r="31" spans="1:10" x14ac:dyDescent="0.35">
      <c r="A31" s="19" t="s">
        <v>106</v>
      </c>
      <c r="B31" s="20">
        <v>0.56927347332850586</v>
      </c>
    </row>
    <row r="32" spans="1:10" x14ac:dyDescent="0.35">
      <c r="A32" s="19" t="s">
        <v>105</v>
      </c>
      <c r="B32" s="20">
        <v>0.17587899267841339</v>
      </c>
    </row>
    <row r="33" spans="1:14" x14ac:dyDescent="0.35">
      <c r="A33" s="19" t="s">
        <v>103</v>
      </c>
      <c r="B33" s="20">
        <v>8.9186579773111271E-2</v>
      </c>
    </row>
    <row r="34" spans="1:14" x14ac:dyDescent="0.35">
      <c r="A34" s="19" t="s">
        <v>64</v>
      </c>
      <c r="B34" s="20">
        <v>1</v>
      </c>
      <c r="N34" s="18" t="s">
        <v>63</v>
      </c>
    </row>
    <row r="35" spans="1:14" x14ac:dyDescent="0.35">
      <c r="N35" s="19" t="s">
        <v>97</v>
      </c>
    </row>
    <row r="36" spans="1:14" x14ac:dyDescent="0.35">
      <c r="N36" s="19" t="s">
        <v>98</v>
      </c>
    </row>
    <row r="37" spans="1:14" x14ac:dyDescent="0.35">
      <c r="N37" s="19" t="s">
        <v>64</v>
      </c>
    </row>
  </sheetData>
  <conditionalFormatting sqref="A3:C3 A7 A4:A5">
    <cfRule type="colorScale" priority="6">
      <colorScale>
        <cfvo type="min"/>
        <cfvo type="percentile" val="50"/>
        <cfvo type="max"/>
        <color rgb="FFF8696B"/>
        <color rgb="FFFFEB84"/>
        <color rgb="FF63BE7B"/>
      </colorScale>
    </cfRule>
  </conditionalFormatting>
  <conditionalFormatting sqref="E3:H3 E4:E8">
    <cfRule type="colorScale" priority="4">
      <colorScale>
        <cfvo type="min"/>
        <cfvo type="percentile" val="50"/>
        <cfvo type="max"/>
        <color rgb="FFF8696B"/>
        <color rgb="FFFFEB84"/>
        <color rgb="FF63BE7B"/>
      </colorScale>
    </cfRule>
  </conditionalFormatting>
  <conditionalFormatting sqref="E3:H3">
    <cfRule type="colorScale" priority="3">
      <colorScale>
        <cfvo type="min"/>
        <cfvo type="percentile" val="50"/>
        <cfvo type="max"/>
        <color rgb="FFF8696B"/>
        <color rgb="FFFFEB84"/>
        <color rgb="FF63BE7B"/>
      </colorScale>
    </cfRule>
  </conditionalFormatting>
  <conditionalFormatting sqref="E3:H3">
    <cfRule type="colorScale" priority="2">
      <colorScale>
        <cfvo type="min"/>
        <cfvo type="percentile" val="50"/>
        <cfvo type="max"/>
        <color rgb="FFF8696B"/>
        <color rgb="FFFFEB84"/>
        <color rgb="FF63BE7B"/>
      </colorScale>
    </cfRule>
  </conditionalFormatting>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8ACF-6C66-48F2-B887-7E0BD6D25F10}">
  <dimension ref="A2:T367"/>
  <sheetViews>
    <sheetView topLeftCell="Q1" zoomScale="85" workbookViewId="0">
      <selection activeCell="Y23" sqref="Y23"/>
    </sheetView>
  </sheetViews>
  <sheetFormatPr defaultRowHeight="14.5" x14ac:dyDescent="0.35"/>
  <cols>
    <col min="2" max="2" width="16.90625" customWidth="1"/>
    <col min="17" max="17" width="17.7265625" customWidth="1"/>
    <col min="18" max="18" width="17.81640625" customWidth="1"/>
    <col min="19" max="19" width="14.7265625" customWidth="1"/>
  </cols>
  <sheetData>
    <row r="2" spans="1:20" ht="15" thickBot="1" x14ac:dyDescent="0.4">
      <c r="A2" s="16" t="s">
        <v>17</v>
      </c>
      <c r="B2" s="16" t="s">
        <v>0</v>
      </c>
      <c r="C2" s="16" t="s">
        <v>1</v>
      </c>
      <c r="D2" s="16" t="s">
        <v>2</v>
      </c>
      <c r="E2" s="16" t="s">
        <v>3</v>
      </c>
      <c r="F2" s="16" t="s">
        <v>4</v>
      </c>
      <c r="G2" s="16" t="s">
        <v>5</v>
      </c>
      <c r="H2" s="16" t="s">
        <v>6</v>
      </c>
      <c r="I2" s="16" t="s">
        <v>7</v>
      </c>
      <c r="J2" s="16" t="s">
        <v>8</v>
      </c>
      <c r="K2" s="16" t="s">
        <v>9</v>
      </c>
      <c r="L2" s="16" t="s">
        <v>10</v>
      </c>
      <c r="M2" s="16" t="s">
        <v>11</v>
      </c>
      <c r="N2" s="16" t="s">
        <v>12</v>
      </c>
    </row>
    <row r="3" spans="1:20" x14ac:dyDescent="0.35">
      <c r="A3" s="2">
        <v>209</v>
      </c>
      <c r="B3" s="1">
        <v>44770</v>
      </c>
      <c r="C3" s="2" t="s">
        <v>15</v>
      </c>
      <c r="D3" s="2" t="s">
        <v>39</v>
      </c>
      <c r="E3" s="2" t="s">
        <v>59</v>
      </c>
      <c r="F3" s="2" t="s">
        <v>51</v>
      </c>
      <c r="G3" s="2" t="s">
        <v>5</v>
      </c>
      <c r="H3" s="2" t="s">
        <v>54</v>
      </c>
      <c r="I3" s="3">
        <v>8.7750000000000004</v>
      </c>
      <c r="J3" s="3">
        <v>58.333300000000001</v>
      </c>
      <c r="K3" s="3">
        <v>11.958093</v>
      </c>
      <c r="L3" s="2">
        <v>0</v>
      </c>
      <c r="M3" s="2">
        <v>8</v>
      </c>
      <c r="N3" s="2">
        <f t="shared" ref="N3:N66" si="0">L3+M3</f>
        <v>8</v>
      </c>
      <c r="Q3" s="21" t="s">
        <v>71</v>
      </c>
      <c r="R3" s="21" t="s">
        <v>84</v>
      </c>
      <c r="S3" s="21" t="s">
        <v>85</v>
      </c>
      <c r="T3" s="21"/>
    </row>
    <row r="4" spans="1:20" x14ac:dyDescent="0.35">
      <c r="A4" s="2">
        <v>200</v>
      </c>
      <c r="B4" s="1">
        <v>44761</v>
      </c>
      <c r="C4" s="2" t="s">
        <v>15</v>
      </c>
      <c r="D4" s="2" t="s">
        <v>39</v>
      </c>
      <c r="E4" s="2" t="s">
        <v>59</v>
      </c>
      <c r="F4" s="2" t="s">
        <v>49</v>
      </c>
      <c r="G4" s="2" t="s">
        <v>5</v>
      </c>
      <c r="H4" s="2" t="s">
        <v>54</v>
      </c>
      <c r="I4" s="3">
        <v>9.7500149999999994</v>
      </c>
      <c r="J4" s="3">
        <v>65.041700000000006</v>
      </c>
      <c r="K4" s="3">
        <v>8.7501999999999995</v>
      </c>
      <c r="L4" s="2">
        <v>0</v>
      </c>
      <c r="M4" s="2">
        <v>13</v>
      </c>
      <c r="N4" s="2">
        <f t="shared" si="0"/>
        <v>13</v>
      </c>
    </row>
    <row r="5" spans="1:20" x14ac:dyDescent="0.35">
      <c r="A5" s="2">
        <v>208</v>
      </c>
      <c r="B5" s="1">
        <v>44769</v>
      </c>
      <c r="C5" s="2" t="s">
        <v>15</v>
      </c>
      <c r="D5" s="2" t="s">
        <v>39</v>
      </c>
      <c r="E5" s="2" t="s">
        <v>59</v>
      </c>
      <c r="F5" s="2" t="s">
        <v>50</v>
      </c>
      <c r="G5" s="2" t="s">
        <v>5</v>
      </c>
      <c r="H5" s="2" t="s">
        <v>54</v>
      </c>
      <c r="I5" s="3">
        <v>9.7874999999999996</v>
      </c>
      <c r="J5" s="3">
        <v>40.291700000000006</v>
      </c>
      <c r="K5" s="3">
        <v>12.292020999999998</v>
      </c>
      <c r="L5" s="2">
        <v>1</v>
      </c>
      <c r="M5" s="2">
        <v>9</v>
      </c>
      <c r="N5" s="2">
        <f t="shared" si="0"/>
        <v>10</v>
      </c>
      <c r="Q5" t="s">
        <v>72</v>
      </c>
      <c r="R5">
        <v>13.553424657534247</v>
      </c>
      <c r="S5">
        <v>54.550684931506851</v>
      </c>
    </row>
    <row r="6" spans="1:20" x14ac:dyDescent="0.35">
      <c r="A6" s="2">
        <v>119</v>
      </c>
      <c r="B6" s="1">
        <v>44680</v>
      </c>
      <c r="C6" s="2" t="s">
        <v>14</v>
      </c>
      <c r="D6" s="2" t="s">
        <v>36</v>
      </c>
      <c r="E6" s="2" t="s">
        <v>59</v>
      </c>
      <c r="F6" s="2" t="s">
        <v>52</v>
      </c>
      <c r="G6" s="2" t="s">
        <v>5</v>
      </c>
      <c r="H6" s="2" t="s">
        <v>54</v>
      </c>
      <c r="I6" s="3">
        <v>11.437514999999999</v>
      </c>
      <c r="J6" s="3">
        <v>45.708300000000001</v>
      </c>
      <c r="K6" s="3">
        <v>16.084220999999999</v>
      </c>
      <c r="L6" s="2">
        <v>1</v>
      </c>
      <c r="M6" s="2">
        <v>11</v>
      </c>
      <c r="N6" s="2">
        <f t="shared" si="0"/>
        <v>12</v>
      </c>
      <c r="Q6" t="s">
        <v>73</v>
      </c>
      <c r="R6">
        <v>0.58249986977919144</v>
      </c>
      <c r="S6">
        <v>1.1106423191322541</v>
      </c>
    </row>
    <row r="7" spans="1:20" x14ac:dyDescent="0.35">
      <c r="A7" s="2">
        <v>251</v>
      </c>
      <c r="B7" s="1">
        <v>44812</v>
      </c>
      <c r="C7" s="2" t="s">
        <v>16</v>
      </c>
      <c r="D7" s="2" t="s">
        <v>41</v>
      </c>
      <c r="E7" s="2" t="s">
        <v>59</v>
      </c>
      <c r="F7" s="2" t="s">
        <v>51</v>
      </c>
      <c r="G7" s="2" t="s">
        <v>5</v>
      </c>
      <c r="H7" s="2" t="s">
        <v>56</v>
      </c>
      <c r="I7" s="3">
        <v>17.509095000000002</v>
      </c>
      <c r="J7" s="3">
        <v>93.956500000000005</v>
      </c>
      <c r="K7" s="3">
        <v>12.914116</v>
      </c>
      <c r="L7" s="2">
        <v>1</v>
      </c>
      <c r="M7" s="2">
        <v>12</v>
      </c>
      <c r="N7" s="2">
        <f t="shared" si="0"/>
        <v>13</v>
      </c>
      <c r="Q7" t="s">
        <v>74</v>
      </c>
      <c r="R7">
        <v>12</v>
      </c>
      <c r="S7">
        <v>58</v>
      </c>
    </row>
    <row r="8" spans="1:20" x14ac:dyDescent="0.35">
      <c r="A8" s="2">
        <v>158</v>
      </c>
      <c r="B8" s="1">
        <v>44719</v>
      </c>
      <c r="C8" s="2" t="s">
        <v>15</v>
      </c>
      <c r="D8" s="2" t="s">
        <v>38</v>
      </c>
      <c r="E8" s="2" t="s">
        <v>59</v>
      </c>
      <c r="F8" s="2" t="s">
        <v>49</v>
      </c>
      <c r="G8" s="2" t="s">
        <v>5</v>
      </c>
      <c r="H8" s="2" t="s">
        <v>54</v>
      </c>
      <c r="I8" s="3">
        <v>18.45</v>
      </c>
      <c r="J8" s="3">
        <v>59.791700000000006</v>
      </c>
      <c r="K8" s="3">
        <v>12.583136</v>
      </c>
      <c r="L8" s="2">
        <v>1</v>
      </c>
      <c r="M8" s="2">
        <v>13</v>
      </c>
      <c r="N8" s="2">
        <f t="shared" si="0"/>
        <v>14</v>
      </c>
      <c r="Q8" t="s">
        <v>75</v>
      </c>
      <c r="R8">
        <v>2</v>
      </c>
      <c r="S8">
        <v>77</v>
      </c>
    </row>
    <row r="9" spans="1:20" x14ac:dyDescent="0.35">
      <c r="A9" s="2">
        <v>191</v>
      </c>
      <c r="B9" s="1">
        <v>44752</v>
      </c>
      <c r="C9" s="2" t="s">
        <v>15</v>
      </c>
      <c r="D9" s="2" t="s">
        <v>39</v>
      </c>
      <c r="E9" s="2" t="s">
        <v>59</v>
      </c>
      <c r="F9" s="2" t="s">
        <v>47</v>
      </c>
      <c r="G9" s="2" t="s">
        <v>60</v>
      </c>
      <c r="H9" s="2" t="s">
        <v>54</v>
      </c>
      <c r="I9" s="3">
        <v>6.2249850000000002</v>
      </c>
      <c r="J9" s="3">
        <v>57.833300000000001</v>
      </c>
      <c r="K9" s="3">
        <v>12.292557</v>
      </c>
      <c r="L9" s="2">
        <v>1</v>
      </c>
      <c r="M9" s="2">
        <v>15</v>
      </c>
      <c r="N9" s="2">
        <f t="shared" si="0"/>
        <v>16</v>
      </c>
      <c r="Q9" t="s">
        <v>76</v>
      </c>
      <c r="R9">
        <v>11.128644386306126</v>
      </c>
      <c r="S9">
        <v>21.218791713533715</v>
      </c>
    </row>
    <row r="10" spans="1:20" x14ac:dyDescent="0.35">
      <c r="A10" s="2">
        <v>190</v>
      </c>
      <c r="B10" s="1">
        <v>44751</v>
      </c>
      <c r="C10" s="2" t="s">
        <v>15</v>
      </c>
      <c r="D10" s="2" t="s">
        <v>39</v>
      </c>
      <c r="E10" s="2" t="s">
        <v>59</v>
      </c>
      <c r="F10" s="2" t="s">
        <v>53</v>
      </c>
      <c r="G10" s="2" t="s">
        <v>60</v>
      </c>
      <c r="H10" s="2" t="s">
        <v>54</v>
      </c>
      <c r="I10" s="3">
        <v>7.4250000000000007</v>
      </c>
      <c r="J10" s="3">
        <v>60.916699999999999</v>
      </c>
      <c r="K10" s="3">
        <v>11.250104</v>
      </c>
      <c r="L10" s="2">
        <v>1</v>
      </c>
      <c r="M10" s="2">
        <v>18</v>
      </c>
      <c r="N10" s="2">
        <f t="shared" si="0"/>
        <v>19</v>
      </c>
      <c r="Q10" t="s">
        <v>77</v>
      </c>
      <c r="R10">
        <v>123.84672587686285</v>
      </c>
      <c r="S10">
        <v>450.23712178232699</v>
      </c>
    </row>
    <row r="11" spans="1:20" x14ac:dyDescent="0.35">
      <c r="A11" s="2">
        <v>194</v>
      </c>
      <c r="B11" s="1">
        <v>44755</v>
      </c>
      <c r="C11" s="2" t="s">
        <v>15</v>
      </c>
      <c r="D11" s="2" t="s">
        <v>39</v>
      </c>
      <c r="E11" s="2" t="s">
        <v>59</v>
      </c>
      <c r="F11" s="2" t="s">
        <v>50</v>
      </c>
      <c r="G11" s="2" t="s">
        <v>5</v>
      </c>
      <c r="H11" s="2" t="s">
        <v>54</v>
      </c>
      <c r="I11" s="3">
        <v>7.7727149999999998</v>
      </c>
      <c r="J11" s="3">
        <v>63.166699999999999</v>
      </c>
      <c r="K11" s="3">
        <v>9.7909110000000013</v>
      </c>
      <c r="L11" s="2">
        <v>1</v>
      </c>
      <c r="M11" s="2">
        <v>23</v>
      </c>
      <c r="N11" s="2">
        <f t="shared" si="0"/>
        <v>24</v>
      </c>
      <c r="Q11" t="s">
        <v>78</v>
      </c>
      <c r="R11">
        <v>1.4094062091322086</v>
      </c>
      <c r="S11">
        <v>-1.0670173018956308</v>
      </c>
    </row>
    <row r="12" spans="1:20" x14ac:dyDescent="0.35">
      <c r="A12" s="2">
        <v>210</v>
      </c>
      <c r="B12" s="1">
        <v>44771</v>
      </c>
      <c r="C12" s="2" t="s">
        <v>15</v>
      </c>
      <c r="D12" s="2" t="s">
        <v>39</v>
      </c>
      <c r="E12" s="2" t="s">
        <v>59</v>
      </c>
      <c r="F12" s="2" t="s">
        <v>52</v>
      </c>
      <c r="G12" s="2" t="s">
        <v>5</v>
      </c>
      <c r="H12" s="2" t="s">
        <v>54</v>
      </c>
      <c r="I12" s="3">
        <v>9.156509999999999</v>
      </c>
      <c r="J12" s="3">
        <v>54.25</v>
      </c>
      <c r="K12" s="3">
        <v>11.667245999999999</v>
      </c>
      <c r="L12" s="2">
        <v>1</v>
      </c>
      <c r="M12" s="2">
        <v>23</v>
      </c>
      <c r="N12" s="2">
        <f t="shared" si="0"/>
        <v>24</v>
      </c>
      <c r="Q12" t="s">
        <v>79</v>
      </c>
      <c r="R12">
        <v>1.2433594305982572</v>
      </c>
      <c r="S12">
        <v>-0.33185929270128511</v>
      </c>
    </row>
    <row r="13" spans="1:20" x14ac:dyDescent="0.35">
      <c r="A13" s="2">
        <v>193</v>
      </c>
      <c r="B13" s="1">
        <v>44754</v>
      </c>
      <c r="C13" s="2" t="s">
        <v>15</v>
      </c>
      <c r="D13" s="2" t="s">
        <v>39</v>
      </c>
      <c r="E13" s="2" t="s">
        <v>59</v>
      </c>
      <c r="F13" s="2" t="s">
        <v>49</v>
      </c>
      <c r="G13" s="2" t="s">
        <v>5</v>
      </c>
      <c r="H13" s="2" t="s">
        <v>54</v>
      </c>
      <c r="I13" s="3">
        <v>7.6090949999999999</v>
      </c>
      <c r="J13" s="3">
        <v>55.916699999999999</v>
      </c>
      <c r="K13" s="3">
        <v>13.417017999999999</v>
      </c>
      <c r="L13" s="2">
        <v>1</v>
      </c>
      <c r="M13" s="2">
        <v>24</v>
      </c>
      <c r="N13" s="2">
        <f t="shared" si="0"/>
        <v>25</v>
      </c>
      <c r="Q13" t="s">
        <v>80</v>
      </c>
      <c r="R13">
        <v>61</v>
      </c>
      <c r="S13">
        <v>84</v>
      </c>
    </row>
    <row r="14" spans="1:20" x14ac:dyDescent="0.35">
      <c r="A14" s="2">
        <v>192</v>
      </c>
      <c r="B14" s="1">
        <v>44753</v>
      </c>
      <c r="C14" s="2" t="s">
        <v>15</v>
      </c>
      <c r="D14" s="2" t="s">
        <v>39</v>
      </c>
      <c r="E14" s="2" t="s">
        <v>59</v>
      </c>
      <c r="F14" s="2" t="s">
        <v>48</v>
      </c>
      <c r="G14" s="2" t="s">
        <v>5</v>
      </c>
      <c r="H14" s="2" t="s">
        <v>54</v>
      </c>
      <c r="I14" s="3">
        <v>6.7874850000000002</v>
      </c>
      <c r="J14" s="3">
        <v>63.583300000000001</v>
      </c>
      <c r="K14" s="3">
        <v>18.916578999999999</v>
      </c>
      <c r="L14" s="2">
        <v>1</v>
      </c>
      <c r="M14" s="2">
        <v>26</v>
      </c>
      <c r="N14" s="2">
        <f t="shared" si="0"/>
        <v>27</v>
      </c>
      <c r="Q14" t="s">
        <v>81</v>
      </c>
      <c r="R14">
        <v>0</v>
      </c>
      <c r="S14">
        <v>8</v>
      </c>
    </row>
    <row r="15" spans="1:20" x14ac:dyDescent="0.35">
      <c r="A15" s="2">
        <v>214</v>
      </c>
      <c r="B15" s="1">
        <v>44775</v>
      </c>
      <c r="C15" s="2" t="s">
        <v>15</v>
      </c>
      <c r="D15" s="2" t="s">
        <v>40</v>
      </c>
      <c r="E15" s="2" t="s">
        <v>59</v>
      </c>
      <c r="F15" s="2" t="s">
        <v>49</v>
      </c>
      <c r="G15" s="2" t="s">
        <v>5</v>
      </c>
      <c r="H15" s="2" t="s">
        <v>54</v>
      </c>
      <c r="I15" s="3">
        <v>8.6478300000000008</v>
      </c>
      <c r="J15" s="3">
        <v>49.125</v>
      </c>
      <c r="K15" s="3">
        <v>13.79195</v>
      </c>
      <c r="L15" s="2">
        <v>1</v>
      </c>
      <c r="M15" s="2">
        <v>26</v>
      </c>
      <c r="N15" s="2">
        <f t="shared" si="0"/>
        <v>27</v>
      </c>
      <c r="Q15" t="s">
        <v>82</v>
      </c>
      <c r="R15">
        <v>61</v>
      </c>
      <c r="S15">
        <v>92</v>
      </c>
    </row>
    <row r="16" spans="1:20" x14ac:dyDescent="0.35">
      <c r="A16" s="2">
        <v>195</v>
      </c>
      <c r="B16" s="1">
        <v>44756</v>
      </c>
      <c r="C16" s="2" t="s">
        <v>15</v>
      </c>
      <c r="D16" s="2" t="s">
        <v>39</v>
      </c>
      <c r="E16" s="2" t="s">
        <v>59</v>
      </c>
      <c r="F16" s="2" t="s">
        <v>51</v>
      </c>
      <c r="G16" s="2" t="s">
        <v>5</v>
      </c>
      <c r="H16" s="2" t="s">
        <v>54</v>
      </c>
      <c r="I16" s="3">
        <v>7.4250000000000007</v>
      </c>
      <c r="J16" s="3">
        <v>47.625</v>
      </c>
      <c r="K16" s="3">
        <v>16.124689</v>
      </c>
      <c r="L16" s="2">
        <v>1</v>
      </c>
      <c r="M16" s="2">
        <v>27</v>
      </c>
      <c r="N16" s="2">
        <f t="shared" si="0"/>
        <v>28</v>
      </c>
      <c r="Q16" t="s">
        <v>83</v>
      </c>
      <c r="R16">
        <v>4947</v>
      </c>
      <c r="S16">
        <v>19911</v>
      </c>
    </row>
    <row r="17" spans="1:19" ht="15" thickBot="1" x14ac:dyDescent="0.4">
      <c r="A17" s="2">
        <v>196</v>
      </c>
      <c r="B17" s="1">
        <v>44757</v>
      </c>
      <c r="C17" s="2" t="s">
        <v>15</v>
      </c>
      <c r="D17" s="2" t="s">
        <v>39</v>
      </c>
      <c r="E17" s="2" t="s">
        <v>59</v>
      </c>
      <c r="F17" s="2" t="s">
        <v>52</v>
      </c>
      <c r="G17" s="2" t="s">
        <v>5</v>
      </c>
      <c r="H17" s="2" t="s">
        <v>54</v>
      </c>
      <c r="I17" s="3">
        <v>7.2391500000000004</v>
      </c>
      <c r="J17" s="3">
        <v>59.125000000000007</v>
      </c>
      <c r="K17" s="3">
        <v>12.249810999999999</v>
      </c>
      <c r="L17" s="2">
        <v>1</v>
      </c>
      <c r="M17" s="2">
        <v>27</v>
      </c>
      <c r="N17" s="2">
        <f t="shared" si="0"/>
        <v>28</v>
      </c>
      <c r="Q17" s="10" t="s">
        <v>12</v>
      </c>
      <c r="R17" s="10">
        <v>365</v>
      </c>
      <c r="S17" s="10">
        <v>365</v>
      </c>
    </row>
    <row r="18" spans="1:19" x14ac:dyDescent="0.35">
      <c r="A18" s="2">
        <v>235</v>
      </c>
      <c r="B18" s="1">
        <v>44796</v>
      </c>
      <c r="C18" s="2" t="s">
        <v>15</v>
      </c>
      <c r="D18" s="2" t="s">
        <v>40</v>
      </c>
      <c r="E18" s="2" t="s">
        <v>59</v>
      </c>
      <c r="F18" s="2" t="s">
        <v>49</v>
      </c>
      <c r="G18" s="2" t="s">
        <v>5</v>
      </c>
      <c r="H18" s="2" t="s">
        <v>54</v>
      </c>
      <c r="I18" s="3">
        <v>8.1999899999999997</v>
      </c>
      <c r="J18" s="3">
        <v>45.541699999999999</v>
      </c>
      <c r="K18" s="3">
        <v>9.8331210000000002</v>
      </c>
      <c r="L18" s="2">
        <v>1</v>
      </c>
      <c r="M18" s="2">
        <v>28</v>
      </c>
      <c r="N18" s="2">
        <f t="shared" si="0"/>
        <v>29</v>
      </c>
    </row>
    <row r="19" spans="1:19" x14ac:dyDescent="0.35">
      <c r="A19" s="2">
        <v>213</v>
      </c>
      <c r="B19" s="1">
        <v>44774</v>
      </c>
      <c r="C19" s="2" t="s">
        <v>15</v>
      </c>
      <c r="D19" s="2" t="s">
        <v>40</v>
      </c>
      <c r="E19" s="2" t="s">
        <v>59</v>
      </c>
      <c r="F19" s="2" t="s">
        <v>48</v>
      </c>
      <c r="G19" s="2" t="s">
        <v>5</v>
      </c>
      <c r="H19" s="2" t="s">
        <v>54</v>
      </c>
      <c r="I19" s="3">
        <v>8.1374849999999999</v>
      </c>
      <c r="J19" s="3">
        <v>55.083300000000001</v>
      </c>
      <c r="K19" s="3">
        <v>10.500038999999999</v>
      </c>
      <c r="L19" s="2">
        <v>1</v>
      </c>
      <c r="M19" s="2">
        <v>29</v>
      </c>
      <c r="N19" s="2">
        <f t="shared" si="0"/>
        <v>30</v>
      </c>
    </row>
    <row r="20" spans="1:19" x14ac:dyDescent="0.35">
      <c r="A20" s="2">
        <v>215</v>
      </c>
      <c r="B20" s="1">
        <v>44776</v>
      </c>
      <c r="C20" s="2" t="s">
        <v>15</v>
      </c>
      <c r="D20" s="2" t="s">
        <v>40</v>
      </c>
      <c r="E20" s="2" t="s">
        <v>59</v>
      </c>
      <c r="F20" s="2" t="s">
        <v>50</v>
      </c>
      <c r="G20" s="2" t="s">
        <v>5</v>
      </c>
      <c r="H20" s="2" t="s">
        <v>55</v>
      </c>
      <c r="I20" s="3">
        <v>11.700000000000001</v>
      </c>
      <c r="J20" s="3">
        <v>65.75</v>
      </c>
      <c r="K20" s="3">
        <v>9.0840610000000002</v>
      </c>
      <c r="L20" s="2">
        <v>1</v>
      </c>
      <c r="M20" s="2">
        <v>29</v>
      </c>
      <c r="N20" s="2">
        <f t="shared" si="0"/>
        <v>30</v>
      </c>
      <c r="Q20" t="s">
        <v>86</v>
      </c>
      <c r="R20">
        <f>_xlfn.QUARTILE.INC(L:L,1)</f>
        <v>4</v>
      </c>
      <c r="S20">
        <f>_xlfn.QUARTILE.INC(M:M,1)</f>
        <v>35</v>
      </c>
    </row>
    <row r="21" spans="1:19" x14ac:dyDescent="0.35">
      <c r="A21" s="2">
        <v>221</v>
      </c>
      <c r="B21" s="1">
        <v>44782</v>
      </c>
      <c r="C21" s="2" t="s">
        <v>15</v>
      </c>
      <c r="D21" s="2" t="s">
        <v>40</v>
      </c>
      <c r="E21" s="2" t="s">
        <v>59</v>
      </c>
      <c r="F21" s="2" t="s">
        <v>49</v>
      </c>
      <c r="G21" s="2" t="s">
        <v>5</v>
      </c>
      <c r="H21" s="2" t="s">
        <v>54</v>
      </c>
      <c r="I21" s="3">
        <v>9.9374850000000006</v>
      </c>
      <c r="J21" s="3">
        <v>57.041699999999992</v>
      </c>
      <c r="K21" s="3">
        <v>10.125107</v>
      </c>
      <c r="L21" s="2">
        <v>1</v>
      </c>
      <c r="M21" s="2">
        <v>29</v>
      </c>
      <c r="N21" s="2">
        <f t="shared" si="0"/>
        <v>30</v>
      </c>
      <c r="Q21" t="s">
        <v>88</v>
      </c>
      <c r="R21">
        <f>_xlfn.QUARTILE.INC(L:L,2)</f>
        <v>12</v>
      </c>
      <c r="S21">
        <f>_xlfn.QUARTILE.INC(M:M,2)</f>
        <v>58</v>
      </c>
    </row>
    <row r="22" spans="1:19" x14ac:dyDescent="0.35">
      <c r="A22" s="2">
        <v>216</v>
      </c>
      <c r="B22" s="1">
        <v>44777</v>
      </c>
      <c r="C22" s="2" t="s">
        <v>15</v>
      </c>
      <c r="D22" s="2" t="s">
        <v>40</v>
      </c>
      <c r="E22" s="2" t="s">
        <v>59</v>
      </c>
      <c r="F22" s="2" t="s">
        <v>51</v>
      </c>
      <c r="G22" s="2" t="s">
        <v>5</v>
      </c>
      <c r="H22" s="2" t="s">
        <v>55</v>
      </c>
      <c r="I22" s="3">
        <v>8.4130650000000013</v>
      </c>
      <c r="J22" s="3">
        <v>75.75</v>
      </c>
      <c r="K22" s="3">
        <v>13.20905</v>
      </c>
      <c r="L22" s="2">
        <v>1</v>
      </c>
      <c r="M22" s="2">
        <v>30</v>
      </c>
      <c r="N22" s="2">
        <f t="shared" si="0"/>
        <v>31</v>
      </c>
      <c r="Q22" t="s">
        <v>87</v>
      </c>
      <c r="R22">
        <f>_xlfn.QUARTILE.INC(L:L,3)</f>
        <v>17</v>
      </c>
      <c r="S22">
        <f>_xlfn.QUARTILE.INC(M:M,3)</f>
        <v>73</v>
      </c>
    </row>
    <row r="23" spans="1:19" x14ac:dyDescent="0.35">
      <c r="A23" s="2">
        <v>223</v>
      </c>
      <c r="B23" s="1">
        <v>44784</v>
      </c>
      <c r="C23" s="2" t="s">
        <v>15</v>
      </c>
      <c r="D23" s="2" t="s">
        <v>40</v>
      </c>
      <c r="E23" s="2" t="s">
        <v>59</v>
      </c>
      <c r="F23" s="2" t="s">
        <v>51</v>
      </c>
      <c r="G23" s="2" t="s">
        <v>5</v>
      </c>
      <c r="H23" s="2" t="s">
        <v>54</v>
      </c>
      <c r="I23" s="3">
        <v>6.49566</v>
      </c>
      <c r="J23" s="3">
        <v>42.375</v>
      </c>
      <c r="K23" s="3">
        <v>11.041332000000001</v>
      </c>
      <c r="L23" s="2">
        <v>1</v>
      </c>
      <c r="M23" s="2">
        <v>30</v>
      </c>
      <c r="N23" s="2">
        <f t="shared" si="0"/>
        <v>31</v>
      </c>
      <c r="Q23" t="s">
        <v>89</v>
      </c>
      <c r="R23">
        <f>_xlfn.QUARTILE.INC(L:L,4)</f>
        <v>61</v>
      </c>
      <c r="S23">
        <f>_xlfn.QUARTILE.INC(M:M,4)</f>
        <v>92</v>
      </c>
    </row>
    <row r="24" spans="1:19" x14ac:dyDescent="0.35">
      <c r="A24" s="2">
        <v>143</v>
      </c>
      <c r="B24" s="1">
        <v>44704</v>
      </c>
      <c r="C24" s="2" t="s">
        <v>14</v>
      </c>
      <c r="D24" s="2" t="s">
        <v>37</v>
      </c>
      <c r="E24" s="2" t="s">
        <v>59</v>
      </c>
      <c r="F24" s="2" t="s">
        <v>48</v>
      </c>
      <c r="G24" s="2" t="s">
        <v>5</v>
      </c>
      <c r="H24" s="2" t="s">
        <v>55</v>
      </c>
      <c r="I24" s="3">
        <v>18.750015000000001</v>
      </c>
      <c r="J24" s="3">
        <v>81</v>
      </c>
      <c r="K24" s="3">
        <v>15.667413999999999</v>
      </c>
      <c r="L24" s="2">
        <v>1</v>
      </c>
      <c r="M24" s="2">
        <v>31</v>
      </c>
      <c r="N24" s="2">
        <f t="shared" si="0"/>
        <v>32</v>
      </c>
      <c r="Q24" t="s">
        <v>95</v>
      </c>
      <c r="R24">
        <f>R22-R20</f>
        <v>13</v>
      </c>
      <c r="S24">
        <f>S22-S20</f>
        <v>38</v>
      </c>
    </row>
    <row r="25" spans="1:19" x14ac:dyDescent="0.35">
      <c r="A25" s="2">
        <v>222</v>
      </c>
      <c r="B25" s="1">
        <v>44783</v>
      </c>
      <c r="C25" s="2" t="s">
        <v>15</v>
      </c>
      <c r="D25" s="2" t="s">
        <v>40</v>
      </c>
      <c r="E25" s="2" t="s">
        <v>59</v>
      </c>
      <c r="F25" s="2" t="s">
        <v>50</v>
      </c>
      <c r="G25" s="2" t="s">
        <v>5</v>
      </c>
      <c r="H25" s="2" t="s">
        <v>54</v>
      </c>
      <c r="I25" s="3">
        <v>6.0652349999999995</v>
      </c>
      <c r="J25" s="3">
        <v>42.416699999999999</v>
      </c>
      <c r="K25" s="3">
        <v>13.417285999999999</v>
      </c>
      <c r="L25" s="2">
        <v>1</v>
      </c>
      <c r="M25" s="2">
        <v>31</v>
      </c>
      <c r="N25" s="2">
        <f t="shared" si="0"/>
        <v>32</v>
      </c>
      <c r="Q25" t="s">
        <v>96</v>
      </c>
      <c r="R25" s="22">
        <f>R9/R5</f>
        <v>0.82109464342060556</v>
      </c>
      <c r="S25" s="22">
        <f>S9/S5</f>
        <v>0.38897388254933485</v>
      </c>
    </row>
    <row r="26" spans="1:19" x14ac:dyDescent="0.35">
      <c r="A26" s="2">
        <v>247</v>
      </c>
      <c r="B26" s="1">
        <v>44808</v>
      </c>
      <c r="C26" s="2" t="s">
        <v>16</v>
      </c>
      <c r="D26" s="2" t="s">
        <v>41</v>
      </c>
      <c r="E26" s="2" t="s">
        <v>59</v>
      </c>
      <c r="F26" s="2" t="s">
        <v>47</v>
      </c>
      <c r="G26" s="2" t="s">
        <v>60</v>
      </c>
      <c r="H26" s="2" t="s">
        <v>54</v>
      </c>
      <c r="I26" s="3">
        <v>16.943490000000001</v>
      </c>
      <c r="J26" s="3">
        <v>74.208300000000008</v>
      </c>
      <c r="K26" s="3">
        <v>13.833289000000001</v>
      </c>
      <c r="L26" s="2">
        <v>2</v>
      </c>
      <c r="M26" s="2">
        <v>10</v>
      </c>
      <c r="N26" s="2">
        <f t="shared" si="0"/>
        <v>12</v>
      </c>
    </row>
    <row r="27" spans="1:19" x14ac:dyDescent="0.35">
      <c r="A27" s="2">
        <v>288</v>
      </c>
      <c r="B27" s="1">
        <v>44849</v>
      </c>
      <c r="C27" s="2" t="s">
        <v>16</v>
      </c>
      <c r="D27" s="2" t="s">
        <v>42</v>
      </c>
      <c r="E27" s="2" t="s">
        <v>59</v>
      </c>
      <c r="F27" s="2" t="s">
        <v>53</v>
      </c>
      <c r="G27" s="2" t="s">
        <v>60</v>
      </c>
      <c r="H27" s="2" t="s">
        <v>54</v>
      </c>
      <c r="I27" s="3">
        <v>19.387485000000002</v>
      </c>
      <c r="J27" s="3">
        <v>48.333300000000001</v>
      </c>
      <c r="K27" s="3">
        <v>17.291561000000002</v>
      </c>
      <c r="L27" s="2">
        <v>2</v>
      </c>
      <c r="M27" s="2">
        <v>13</v>
      </c>
      <c r="N27" s="2">
        <f t="shared" si="0"/>
        <v>15</v>
      </c>
      <c r="Q27" t="s">
        <v>90</v>
      </c>
    </row>
    <row r="28" spans="1:19" x14ac:dyDescent="0.35">
      <c r="A28" s="2">
        <v>199</v>
      </c>
      <c r="B28" s="1">
        <v>44760</v>
      </c>
      <c r="C28" s="2" t="s">
        <v>15</v>
      </c>
      <c r="D28" s="2" t="s">
        <v>39</v>
      </c>
      <c r="E28" s="2" t="s">
        <v>59</v>
      </c>
      <c r="F28" s="2" t="s">
        <v>48</v>
      </c>
      <c r="G28" s="2" t="s">
        <v>5</v>
      </c>
      <c r="H28" s="2" t="s">
        <v>54</v>
      </c>
      <c r="I28" s="3">
        <v>7.9124849999999993</v>
      </c>
      <c r="J28" s="3">
        <v>65.125</v>
      </c>
      <c r="K28" s="3">
        <v>14.458867999999999</v>
      </c>
      <c r="L28" s="2">
        <v>2</v>
      </c>
      <c r="M28" s="2">
        <v>18</v>
      </c>
      <c r="N28" s="2">
        <f t="shared" si="0"/>
        <v>20</v>
      </c>
      <c r="Q28" t="s">
        <v>91</v>
      </c>
    </row>
    <row r="29" spans="1:19" x14ac:dyDescent="0.35">
      <c r="A29" s="2">
        <v>204</v>
      </c>
      <c r="B29" s="1">
        <v>44765</v>
      </c>
      <c r="C29" s="2" t="s">
        <v>15</v>
      </c>
      <c r="D29" s="2" t="s">
        <v>39</v>
      </c>
      <c r="E29" s="2" t="s">
        <v>59</v>
      </c>
      <c r="F29" s="2" t="s">
        <v>53</v>
      </c>
      <c r="G29" s="2" t="s">
        <v>60</v>
      </c>
      <c r="H29" s="2" t="s">
        <v>54</v>
      </c>
      <c r="I29" s="3">
        <v>2.6608679999999998</v>
      </c>
      <c r="J29" s="3">
        <v>50</v>
      </c>
      <c r="K29" s="3">
        <v>8.7918070000000004</v>
      </c>
      <c r="L29" s="2">
        <v>2</v>
      </c>
      <c r="M29" s="2">
        <v>18</v>
      </c>
      <c r="N29" s="2">
        <f t="shared" si="0"/>
        <v>20</v>
      </c>
      <c r="Q29" t="s">
        <v>93</v>
      </c>
      <c r="R29">
        <f>R5-3</f>
        <v>10.553424657534247</v>
      </c>
      <c r="S29">
        <f t="shared" ref="S29" si="1">S5-3</f>
        <v>51.550684931506851</v>
      </c>
    </row>
    <row r="30" spans="1:19" x14ac:dyDescent="0.35">
      <c r="A30" s="2">
        <v>218</v>
      </c>
      <c r="B30" s="1">
        <v>44779</v>
      </c>
      <c r="C30" s="2" t="s">
        <v>15</v>
      </c>
      <c r="D30" s="2" t="s">
        <v>40</v>
      </c>
      <c r="E30" s="2" t="s">
        <v>59</v>
      </c>
      <c r="F30" s="2" t="s">
        <v>53</v>
      </c>
      <c r="G30" s="2" t="s">
        <v>60</v>
      </c>
      <c r="H30" s="2" t="s">
        <v>55</v>
      </c>
      <c r="I30" s="3">
        <v>10.499985000000001</v>
      </c>
      <c r="J30" s="3">
        <v>75.5</v>
      </c>
      <c r="K30" s="3">
        <v>15.29275</v>
      </c>
      <c r="L30" s="2">
        <v>2</v>
      </c>
      <c r="M30" s="2">
        <v>18</v>
      </c>
      <c r="N30" s="2">
        <f t="shared" si="0"/>
        <v>20</v>
      </c>
      <c r="Q30" t="s">
        <v>92</v>
      </c>
      <c r="R30">
        <f>R5+3*R9</f>
        <v>46.939357816452628</v>
      </c>
      <c r="S30">
        <f t="shared" ref="S30" si="2">S5+3*S9</f>
        <v>118.20706007210799</v>
      </c>
    </row>
    <row r="31" spans="1:19" x14ac:dyDescent="0.35">
      <c r="A31" s="2">
        <v>211</v>
      </c>
      <c r="B31" s="1">
        <v>44772</v>
      </c>
      <c r="C31" s="2" t="s">
        <v>15</v>
      </c>
      <c r="D31" s="2" t="s">
        <v>39</v>
      </c>
      <c r="E31" s="2" t="s">
        <v>59</v>
      </c>
      <c r="F31" s="2" t="s">
        <v>53</v>
      </c>
      <c r="G31" s="2" t="s">
        <v>60</v>
      </c>
      <c r="H31" s="2" t="s">
        <v>54</v>
      </c>
      <c r="I31" s="3">
        <v>8.843490000000001</v>
      </c>
      <c r="J31" s="3">
        <v>46.583300000000001</v>
      </c>
      <c r="K31" s="3">
        <v>11.291979</v>
      </c>
      <c r="L31" s="2">
        <v>2</v>
      </c>
      <c r="M31" s="2">
        <v>20</v>
      </c>
      <c r="N31" s="2">
        <f t="shared" si="0"/>
        <v>22</v>
      </c>
      <c r="Q31" t="s">
        <v>94</v>
      </c>
    </row>
    <row r="32" spans="1:19" x14ac:dyDescent="0.35">
      <c r="A32" s="2">
        <v>178</v>
      </c>
      <c r="B32" s="1">
        <v>44739</v>
      </c>
      <c r="C32" s="2" t="s">
        <v>15</v>
      </c>
      <c r="D32" s="2" t="s">
        <v>38</v>
      </c>
      <c r="E32" s="2" t="s">
        <v>59</v>
      </c>
      <c r="F32" s="2" t="s">
        <v>48</v>
      </c>
      <c r="G32" s="2" t="s">
        <v>5</v>
      </c>
      <c r="H32" s="2" t="s">
        <v>55</v>
      </c>
      <c r="I32" s="3">
        <v>14.625</v>
      </c>
      <c r="J32" s="3">
        <v>65.833299999999994</v>
      </c>
      <c r="K32" s="3">
        <v>7.2083960000000005</v>
      </c>
      <c r="L32" s="2">
        <v>2</v>
      </c>
      <c r="M32" s="2">
        <v>21</v>
      </c>
      <c r="N32" s="2">
        <f t="shared" si="0"/>
        <v>23</v>
      </c>
      <c r="Q32" t="s">
        <v>93</v>
      </c>
      <c r="R32">
        <f>R20-1.5*R24</f>
        <v>-15.5</v>
      </c>
      <c r="S32">
        <f>S20-1.5*S24</f>
        <v>-22</v>
      </c>
    </row>
    <row r="33" spans="1:19" x14ac:dyDescent="0.35">
      <c r="A33" s="2">
        <v>185</v>
      </c>
      <c r="B33" s="1">
        <v>44746</v>
      </c>
      <c r="C33" s="2" t="s">
        <v>15</v>
      </c>
      <c r="D33" s="2" t="s">
        <v>39</v>
      </c>
      <c r="E33" s="2" t="s">
        <v>3</v>
      </c>
      <c r="F33" s="2" t="s">
        <v>48</v>
      </c>
      <c r="G33" s="2" t="s">
        <v>60</v>
      </c>
      <c r="H33" s="2" t="s">
        <v>55</v>
      </c>
      <c r="I33" s="3">
        <v>8.8363800000000001</v>
      </c>
      <c r="J33" s="3">
        <v>63.791699999999999</v>
      </c>
      <c r="K33" s="3">
        <v>5.4591064000000005</v>
      </c>
      <c r="L33" s="2">
        <v>2</v>
      </c>
      <c r="M33" s="2">
        <v>25</v>
      </c>
      <c r="N33" s="2">
        <f t="shared" si="0"/>
        <v>27</v>
      </c>
      <c r="Q33" t="s">
        <v>92</v>
      </c>
      <c r="R33">
        <f>R20+1.5*R24</f>
        <v>23.5</v>
      </c>
      <c r="S33">
        <f>S20+1.5*S24</f>
        <v>92</v>
      </c>
    </row>
    <row r="34" spans="1:19" x14ac:dyDescent="0.35">
      <c r="A34" s="2">
        <v>206</v>
      </c>
      <c r="B34" s="1">
        <v>44767</v>
      </c>
      <c r="C34" s="2" t="s">
        <v>15</v>
      </c>
      <c r="D34" s="2" t="s">
        <v>39</v>
      </c>
      <c r="E34" s="2" t="s">
        <v>59</v>
      </c>
      <c r="F34" s="2" t="s">
        <v>48</v>
      </c>
      <c r="G34" s="2" t="s">
        <v>5</v>
      </c>
      <c r="H34" s="2" t="s">
        <v>54</v>
      </c>
      <c r="I34" s="3">
        <v>4.3826084999999999</v>
      </c>
      <c r="J34" s="3">
        <v>75.708299999999994</v>
      </c>
      <c r="K34" s="3">
        <v>6.0841560999999995</v>
      </c>
      <c r="L34" s="2">
        <v>2</v>
      </c>
      <c r="M34" s="2">
        <v>27</v>
      </c>
      <c r="N34" s="2">
        <f t="shared" si="0"/>
        <v>29</v>
      </c>
    </row>
    <row r="35" spans="1:19" x14ac:dyDescent="0.35">
      <c r="A35" s="2">
        <v>238</v>
      </c>
      <c r="B35" s="1">
        <v>44799</v>
      </c>
      <c r="C35" s="2" t="s">
        <v>15</v>
      </c>
      <c r="D35" s="2" t="s">
        <v>40</v>
      </c>
      <c r="E35" s="2" t="s">
        <v>59</v>
      </c>
      <c r="F35" s="2" t="s">
        <v>52</v>
      </c>
      <c r="G35" s="2" t="s">
        <v>5</v>
      </c>
      <c r="H35" s="2" t="s">
        <v>54</v>
      </c>
      <c r="I35" s="3">
        <v>16.395659999999999</v>
      </c>
      <c r="J35" s="3">
        <v>76.125</v>
      </c>
      <c r="K35" s="3">
        <v>5.6254874999999993</v>
      </c>
      <c r="L35" s="2">
        <v>2</v>
      </c>
      <c r="M35" s="2">
        <v>27</v>
      </c>
      <c r="N35" s="2">
        <f t="shared" si="0"/>
        <v>29</v>
      </c>
    </row>
    <row r="36" spans="1:19" x14ac:dyDescent="0.35">
      <c r="A36" s="2">
        <v>241</v>
      </c>
      <c r="B36" s="1">
        <v>44802</v>
      </c>
      <c r="C36" s="2" t="s">
        <v>15</v>
      </c>
      <c r="D36" s="2" t="s">
        <v>40</v>
      </c>
      <c r="E36" s="2" t="s">
        <v>59</v>
      </c>
      <c r="F36" s="2" t="s">
        <v>48</v>
      </c>
      <c r="G36" s="2" t="s">
        <v>5</v>
      </c>
      <c r="H36" s="2" t="s">
        <v>54</v>
      </c>
      <c r="I36" s="3">
        <v>18.327285</v>
      </c>
      <c r="J36" s="3">
        <v>55.458300000000008</v>
      </c>
      <c r="K36" s="3">
        <v>10.708275</v>
      </c>
      <c r="L36" s="2">
        <v>2</v>
      </c>
      <c r="M36" s="2">
        <v>27</v>
      </c>
      <c r="N36" s="2">
        <f t="shared" si="0"/>
        <v>29</v>
      </c>
    </row>
    <row r="37" spans="1:19" x14ac:dyDescent="0.35">
      <c r="A37" s="2">
        <v>186</v>
      </c>
      <c r="B37" s="1">
        <v>44747</v>
      </c>
      <c r="C37" s="2" t="s">
        <v>15</v>
      </c>
      <c r="D37" s="2" t="s">
        <v>39</v>
      </c>
      <c r="E37" s="2" t="s">
        <v>59</v>
      </c>
      <c r="F37" s="2" t="s">
        <v>49</v>
      </c>
      <c r="G37" s="2" t="s">
        <v>5</v>
      </c>
      <c r="H37" s="2" t="s">
        <v>54</v>
      </c>
      <c r="I37" s="3">
        <v>9</v>
      </c>
      <c r="J37" s="3">
        <v>59.041699999999999</v>
      </c>
      <c r="K37" s="3">
        <v>8.4592860000000005</v>
      </c>
      <c r="L37" s="2">
        <v>2</v>
      </c>
      <c r="M37" s="2">
        <v>29</v>
      </c>
      <c r="N37" s="2">
        <f t="shared" si="0"/>
        <v>31</v>
      </c>
    </row>
    <row r="38" spans="1:19" x14ac:dyDescent="0.35">
      <c r="A38" s="2">
        <v>203</v>
      </c>
      <c r="B38" s="1">
        <v>44764</v>
      </c>
      <c r="C38" s="2" t="s">
        <v>15</v>
      </c>
      <c r="D38" s="2" t="s">
        <v>39</v>
      </c>
      <c r="E38" s="2" t="s">
        <v>59</v>
      </c>
      <c r="F38" s="2" t="s">
        <v>52</v>
      </c>
      <c r="G38" s="2" t="s">
        <v>5</v>
      </c>
      <c r="H38" s="2" t="s">
        <v>54</v>
      </c>
      <c r="I38" s="3">
        <v>7.9874999999999998</v>
      </c>
      <c r="J38" s="3">
        <v>58.041699999999999</v>
      </c>
      <c r="K38" s="3">
        <v>8.9177</v>
      </c>
      <c r="L38" s="2">
        <v>2</v>
      </c>
      <c r="M38" s="2">
        <v>29</v>
      </c>
      <c r="N38" s="2">
        <f t="shared" si="0"/>
        <v>31</v>
      </c>
    </row>
    <row r="39" spans="1:19" x14ac:dyDescent="0.35">
      <c r="A39" s="2">
        <v>187</v>
      </c>
      <c r="B39" s="1">
        <v>44748</v>
      </c>
      <c r="C39" s="2" t="s">
        <v>15</v>
      </c>
      <c r="D39" s="2" t="s">
        <v>39</v>
      </c>
      <c r="E39" s="2" t="s">
        <v>59</v>
      </c>
      <c r="F39" s="2" t="s">
        <v>50</v>
      </c>
      <c r="G39" s="2" t="s">
        <v>5</v>
      </c>
      <c r="H39" s="2" t="s">
        <v>54</v>
      </c>
      <c r="I39" s="3">
        <v>10.213065</v>
      </c>
      <c r="J39" s="3">
        <v>74.333300000000008</v>
      </c>
      <c r="K39" s="3">
        <v>10.042161</v>
      </c>
      <c r="L39" s="2">
        <v>2</v>
      </c>
      <c r="M39" s="2">
        <v>30</v>
      </c>
      <c r="N39" s="2">
        <f t="shared" si="0"/>
        <v>32</v>
      </c>
    </row>
    <row r="40" spans="1:19" x14ac:dyDescent="0.35">
      <c r="A40" s="2">
        <v>188</v>
      </c>
      <c r="B40" s="1">
        <v>44749</v>
      </c>
      <c r="C40" s="2" t="s">
        <v>15</v>
      </c>
      <c r="D40" s="2" t="s">
        <v>39</v>
      </c>
      <c r="E40" s="2" t="s">
        <v>59</v>
      </c>
      <c r="F40" s="2" t="s">
        <v>51</v>
      </c>
      <c r="G40" s="2" t="s">
        <v>5</v>
      </c>
      <c r="H40" s="2" t="s">
        <v>54</v>
      </c>
      <c r="I40" s="3">
        <v>9.1956600000000002</v>
      </c>
      <c r="J40" s="3">
        <v>65.125</v>
      </c>
      <c r="K40" s="3">
        <v>10.666400000000001</v>
      </c>
      <c r="L40" s="2">
        <v>2</v>
      </c>
      <c r="M40" s="2">
        <v>30</v>
      </c>
      <c r="N40" s="2">
        <f t="shared" si="0"/>
        <v>32</v>
      </c>
    </row>
    <row r="41" spans="1:19" x14ac:dyDescent="0.35">
      <c r="A41" s="2">
        <v>201</v>
      </c>
      <c r="B41" s="1">
        <v>44762</v>
      </c>
      <c r="C41" s="2" t="s">
        <v>15</v>
      </c>
      <c r="D41" s="2" t="s">
        <v>39</v>
      </c>
      <c r="E41" s="2" t="s">
        <v>59</v>
      </c>
      <c r="F41" s="2" t="s">
        <v>50</v>
      </c>
      <c r="G41" s="2" t="s">
        <v>5</v>
      </c>
      <c r="H41" s="2" t="s">
        <v>54</v>
      </c>
      <c r="I41" s="3">
        <v>13.147829999999999</v>
      </c>
      <c r="J41" s="3">
        <v>70.708300000000008</v>
      </c>
      <c r="K41" s="3">
        <v>7.6257390000000003</v>
      </c>
      <c r="L41" s="2">
        <v>2</v>
      </c>
      <c r="M41" s="2">
        <v>31</v>
      </c>
      <c r="N41" s="2">
        <f t="shared" si="0"/>
        <v>33</v>
      </c>
    </row>
    <row r="42" spans="1:19" x14ac:dyDescent="0.35">
      <c r="A42" s="2">
        <v>244</v>
      </c>
      <c r="B42" s="1">
        <v>44805</v>
      </c>
      <c r="C42" s="2" t="s">
        <v>16</v>
      </c>
      <c r="D42" s="2" t="s">
        <v>41</v>
      </c>
      <c r="E42" s="2" t="s">
        <v>59</v>
      </c>
      <c r="F42" s="2" t="s">
        <v>51</v>
      </c>
      <c r="G42" s="2" t="s">
        <v>5</v>
      </c>
      <c r="H42" s="2" t="s">
        <v>54</v>
      </c>
      <c r="I42" s="3">
        <v>8.9249850000000013</v>
      </c>
      <c r="J42" s="3">
        <v>63.916700000000006</v>
      </c>
      <c r="K42" s="3">
        <v>9.5003320000000002</v>
      </c>
      <c r="L42" s="2">
        <v>2</v>
      </c>
      <c r="M42" s="2">
        <v>31</v>
      </c>
      <c r="N42" s="2">
        <f t="shared" si="0"/>
        <v>33</v>
      </c>
    </row>
    <row r="43" spans="1:19" x14ac:dyDescent="0.35">
      <c r="A43" s="2">
        <v>217</v>
      </c>
      <c r="B43" s="1">
        <v>44778</v>
      </c>
      <c r="C43" s="2" t="s">
        <v>15</v>
      </c>
      <c r="D43" s="2" t="s">
        <v>40</v>
      </c>
      <c r="E43" s="2" t="s">
        <v>59</v>
      </c>
      <c r="F43" s="2" t="s">
        <v>52</v>
      </c>
      <c r="G43" s="2" t="s">
        <v>5</v>
      </c>
      <c r="H43" s="2" t="s">
        <v>54</v>
      </c>
      <c r="I43" s="3">
        <v>9.50868</v>
      </c>
      <c r="J43" s="3">
        <v>63.083299999999994</v>
      </c>
      <c r="K43" s="3">
        <v>12.374632</v>
      </c>
      <c r="L43" s="2">
        <v>2</v>
      </c>
      <c r="M43" s="2">
        <v>32</v>
      </c>
      <c r="N43" s="2">
        <f t="shared" si="0"/>
        <v>34</v>
      </c>
    </row>
    <row r="44" spans="1:19" x14ac:dyDescent="0.35">
      <c r="A44" s="2">
        <v>220</v>
      </c>
      <c r="B44" s="1">
        <v>44781</v>
      </c>
      <c r="C44" s="2" t="s">
        <v>15</v>
      </c>
      <c r="D44" s="2" t="s">
        <v>40</v>
      </c>
      <c r="E44" s="2" t="s">
        <v>59</v>
      </c>
      <c r="F44" s="2" t="s">
        <v>48</v>
      </c>
      <c r="G44" s="2" t="s">
        <v>5</v>
      </c>
      <c r="H44" s="2" t="s">
        <v>54</v>
      </c>
      <c r="I44" s="3">
        <v>12.225014999999999</v>
      </c>
      <c r="J44" s="3">
        <v>59.208300000000001</v>
      </c>
      <c r="K44" s="3">
        <v>12.875725000000001</v>
      </c>
      <c r="L44" s="2">
        <v>2</v>
      </c>
      <c r="M44" s="2">
        <v>32</v>
      </c>
      <c r="N44" s="2">
        <f t="shared" si="0"/>
        <v>34</v>
      </c>
    </row>
    <row r="45" spans="1:19" x14ac:dyDescent="0.35">
      <c r="A45" s="2">
        <v>237</v>
      </c>
      <c r="B45" s="1">
        <v>44798</v>
      </c>
      <c r="C45" s="2" t="s">
        <v>15</v>
      </c>
      <c r="D45" s="2" t="s">
        <v>40</v>
      </c>
      <c r="E45" s="2" t="s">
        <v>59</v>
      </c>
      <c r="F45" s="2" t="s">
        <v>51</v>
      </c>
      <c r="G45" s="2" t="s">
        <v>5</v>
      </c>
      <c r="H45" s="2" t="s">
        <v>55</v>
      </c>
      <c r="I45" s="3">
        <v>13.304340000000002</v>
      </c>
      <c r="J45" s="3">
        <v>77.166700000000006</v>
      </c>
      <c r="K45" s="3">
        <v>14.125810999999999</v>
      </c>
      <c r="L45" s="2">
        <v>2</v>
      </c>
      <c r="M45" s="2">
        <v>34</v>
      </c>
      <c r="N45" s="2">
        <f t="shared" si="0"/>
        <v>36</v>
      </c>
    </row>
    <row r="46" spans="1:19" x14ac:dyDescent="0.35">
      <c r="A46" s="2">
        <v>202</v>
      </c>
      <c r="B46" s="1">
        <v>44763</v>
      </c>
      <c r="C46" s="2" t="s">
        <v>15</v>
      </c>
      <c r="D46" s="2" t="s">
        <v>39</v>
      </c>
      <c r="E46" s="2" t="s">
        <v>59</v>
      </c>
      <c r="F46" s="2" t="s">
        <v>51</v>
      </c>
      <c r="G46" s="2" t="s">
        <v>5</v>
      </c>
      <c r="H46" s="2" t="s">
        <v>55</v>
      </c>
      <c r="I46" s="3">
        <v>11.775015</v>
      </c>
      <c r="J46" s="3">
        <v>69.125</v>
      </c>
      <c r="K46" s="3">
        <v>14.875406999999999</v>
      </c>
      <c r="L46" s="2">
        <v>2</v>
      </c>
      <c r="M46" s="2">
        <v>37</v>
      </c>
      <c r="N46" s="2">
        <f t="shared" si="0"/>
        <v>39</v>
      </c>
    </row>
    <row r="47" spans="1:19" x14ac:dyDescent="0.35">
      <c r="A47" s="2">
        <v>67</v>
      </c>
      <c r="B47" s="1">
        <v>44628</v>
      </c>
      <c r="C47" s="2" t="s">
        <v>14</v>
      </c>
      <c r="D47" s="2" t="s">
        <v>35</v>
      </c>
      <c r="E47" s="2" t="s">
        <v>59</v>
      </c>
      <c r="F47" s="2" t="s">
        <v>49</v>
      </c>
      <c r="G47" s="2" t="s">
        <v>5</v>
      </c>
      <c r="H47" s="2" t="s">
        <v>54</v>
      </c>
      <c r="I47" s="3">
        <v>26.962515</v>
      </c>
      <c r="J47" s="3">
        <v>42.083300000000001</v>
      </c>
      <c r="K47" s="3">
        <v>8.0835499999999989</v>
      </c>
      <c r="L47" s="2">
        <v>2</v>
      </c>
      <c r="M47" s="2">
        <v>38</v>
      </c>
      <c r="N47" s="2">
        <f t="shared" si="0"/>
        <v>40</v>
      </c>
    </row>
    <row r="48" spans="1:19" x14ac:dyDescent="0.35">
      <c r="A48" s="2">
        <v>144</v>
      </c>
      <c r="B48" s="1">
        <v>44705</v>
      </c>
      <c r="C48" s="2" t="s">
        <v>14</v>
      </c>
      <c r="D48" s="2" t="s">
        <v>37</v>
      </c>
      <c r="E48" s="2" t="s">
        <v>59</v>
      </c>
      <c r="F48" s="2" t="s">
        <v>49</v>
      </c>
      <c r="G48" s="2" t="s">
        <v>5</v>
      </c>
      <c r="H48" s="2" t="s">
        <v>55</v>
      </c>
      <c r="I48" s="3">
        <v>19.837484999999997</v>
      </c>
      <c r="J48" s="3">
        <v>74.083299999999994</v>
      </c>
      <c r="K48" s="3">
        <v>13.875164</v>
      </c>
      <c r="L48" s="2">
        <v>2</v>
      </c>
      <c r="M48" s="2">
        <v>49</v>
      </c>
      <c r="N48" s="2">
        <f t="shared" si="0"/>
        <v>51</v>
      </c>
    </row>
    <row r="49" spans="1:14" x14ac:dyDescent="0.35">
      <c r="A49" s="2">
        <v>172</v>
      </c>
      <c r="B49" s="1">
        <v>44733</v>
      </c>
      <c r="C49" s="2" t="s">
        <v>15</v>
      </c>
      <c r="D49" s="2" t="s">
        <v>38</v>
      </c>
      <c r="E49" s="2" t="s">
        <v>59</v>
      </c>
      <c r="F49" s="2" t="s">
        <v>49</v>
      </c>
      <c r="G49" s="2" t="s">
        <v>5</v>
      </c>
      <c r="H49" s="2" t="s">
        <v>55</v>
      </c>
      <c r="I49" s="3">
        <v>19.274985000000001</v>
      </c>
      <c r="J49" s="3">
        <v>77.041700000000006</v>
      </c>
      <c r="K49" s="3">
        <v>11.458675000000001</v>
      </c>
      <c r="L49" s="2">
        <v>2</v>
      </c>
      <c r="M49" s="2">
        <v>51</v>
      </c>
      <c r="N49" s="2">
        <f t="shared" si="0"/>
        <v>53</v>
      </c>
    </row>
    <row r="50" spans="1:14" x14ac:dyDescent="0.35">
      <c r="A50" s="2">
        <v>150</v>
      </c>
      <c r="B50" s="1">
        <v>44711</v>
      </c>
      <c r="C50" s="2" t="s">
        <v>14</v>
      </c>
      <c r="D50" s="2" t="s">
        <v>37</v>
      </c>
      <c r="E50" s="2" t="s">
        <v>3</v>
      </c>
      <c r="F50" s="2" t="s">
        <v>48</v>
      </c>
      <c r="G50" s="2" t="s">
        <v>60</v>
      </c>
      <c r="H50" s="2" t="s">
        <v>54</v>
      </c>
      <c r="I50" s="3">
        <v>20.624984999999999</v>
      </c>
      <c r="J50" s="3">
        <v>68.5</v>
      </c>
      <c r="K50" s="3">
        <v>8.7920750000000005</v>
      </c>
      <c r="L50" s="2">
        <v>2</v>
      </c>
      <c r="M50" s="2">
        <v>56</v>
      </c>
      <c r="N50" s="2">
        <f t="shared" si="0"/>
        <v>58</v>
      </c>
    </row>
    <row r="51" spans="1:14" x14ac:dyDescent="0.35">
      <c r="A51" s="2">
        <v>184</v>
      </c>
      <c r="B51" s="1">
        <v>44745</v>
      </c>
      <c r="C51" s="2" t="s">
        <v>15</v>
      </c>
      <c r="D51" s="2" t="s">
        <v>39</v>
      </c>
      <c r="E51" s="2" t="s">
        <v>59</v>
      </c>
      <c r="F51" s="2" t="s">
        <v>47</v>
      </c>
      <c r="G51" s="2" t="s">
        <v>60</v>
      </c>
      <c r="H51" s="2" t="s">
        <v>55</v>
      </c>
      <c r="I51" s="3">
        <v>16.35651</v>
      </c>
      <c r="J51" s="3">
        <v>68.25</v>
      </c>
      <c r="K51" s="3">
        <v>15.333486000000001</v>
      </c>
      <c r="L51" s="2">
        <v>3</v>
      </c>
      <c r="M51" s="2">
        <v>13</v>
      </c>
      <c r="N51" s="2">
        <f t="shared" si="0"/>
        <v>16</v>
      </c>
    </row>
    <row r="52" spans="1:14" x14ac:dyDescent="0.35">
      <c r="A52" s="2">
        <v>175</v>
      </c>
      <c r="B52" s="1">
        <v>44736</v>
      </c>
      <c r="C52" s="2" t="s">
        <v>15</v>
      </c>
      <c r="D52" s="2" t="s">
        <v>38</v>
      </c>
      <c r="E52" s="2" t="s">
        <v>59</v>
      </c>
      <c r="F52" s="2" t="s">
        <v>52</v>
      </c>
      <c r="G52" s="2" t="s">
        <v>5</v>
      </c>
      <c r="H52" s="2" t="s">
        <v>54</v>
      </c>
      <c r="I52" s="3">
        <v>13.612499999999999</v>
      </c>
      <c r="J52" s="3">
        <v>57.333300000000001</v>
      </c>
      <c r="K52" s="3">
        <v>14.875674999999999</v>
      </c>
      <c r="L52" s="2">
        <v>3</v>
      </c>
      <c r="M52" s="2">
        <v>17</v>
      </c>
      <c r="N52" s="2">
        <f t="shared" si="0"/>
        <v>20</v>
      </c>
    </row>
    <row r="53" spans="1:14" x14ac:dyDescent="0.35">
      <c r="A53" s="2">
        <v>205</v>
      </c>
      <c r="B53" s="1">
        <v>44766</v>
      </c>
      <c r="C53" s="2" t="s">
        <v>15</v>
      </c>
      <c r="D53" s="2" t="s">
        <v>39</v>
      </c>
      <c r="E53" s="2" t="s">
        <v>59</v>
      </c>
      <c r="F53" s="2" t="s">
        <v>47</v>
      </c>
      <c r="G53" s="2" t="s">
        <v>60</v>
      </c>
      <c r="H53" s="2" t="s">
        <v>54</v>
      </c>
      <c r="I53" s="3">
        <v>4.3434765000000004</v>
      </c>
      <c r="J53" s="3">
        <v>55.083300000000001</v>
      </c>
      <c r="K53" s="3">
        <v>11.334456999999999</v>
      </c>
      <c r="L53" s="2">
        <v>3</v>
      </c>
      <c r="M53" s="2">
        <v>17</v>
      </c>
      <c r="N53" s="2">
        <f t="shared" si="0"/>
        <v>20</v>
      </c>
    </row>
    <row r="54" spans="1:14" x14ac:dyDescent="0.35">
      <c r="A54" s="2">
        <v>212</v>
      </c>
      <c r="B54" s="1">
        <v>44773</v>
      </c>
      <c r="C54" s="2" t="s">
        <v>15</v>
      </c>
      <c r="D54" s="2" t="s">
        <v>39</v>
      </c>
      <c r="E54" s="2" t="s">
        <v>59</v>
      </c>
      <c r="F54" s="2" t="s">
        <v>47</v>
      </c>
      <c r="G54" s="2" t="s">
        <v>60</v>
      </c>
      <c r="H54" s="2" t="s">
        <v>54</v>
      </c>
      <c r="I54" s="3">
        <v>9.7434899999999995</v>
      </c>
      <c r="J54" s="3">
        <v>48.083300000000001</v>
      </c>
      <c r="K54" s="3">
        <v>11.042470999999999</v>
      </c>
      <c r="L54" s="2">
        <v>3</v>
      </c>
      <c r="M54" s="2">
        <v>19</v>
      </c>
      <c r="N54" s="2">
        <f t="shared" si="0"/>
        <v>22</v>
      </c>
    </row>
    <row r="55" spans="1:14" x14ac:dyDescent="0.35">
      <c r="A55" s="2">
        <v>280</v>
      </c>
      <c r="B55" s="1">
        <v>44841</v>
      </c>
      <c r="C55" s="2" t="s">
        <v>16</v>
      </c>
      <c r="D55" s="2" t="s">
        <v>42</v>
      </c>
      <c r="E55" s="2" t="s">
        <v>59</v>
      </c>
      <c r="F55" s="2" t="s">
        <v>52</v>
      </c>
      <c r="G55" s="2" t="s">
        <v>5</v>
      </c>
      <c r="H55" s="2" t="s">
        <v>54</v>
      </c>
      <c r="I55" s="3">
        <v>15.112485</v>
      </c>
      <c r="J55" s="3">
        <v>68.416699999999992</v>
      </c>
      <c r="K55" s="3">
        <v>1.5002439000000001</v>
      </c>
      <c r="L55" s="2">
        <v>3</v>
      </c>
      <c r="M55" s="2">
        <v>26</v>
      </c>
      <c r="N55" s="2">
        <f t="shared" si="0"/>
        <v>29</v>
      </c>
    </row>
    <row r="56" spans="1:14" x14ac:dyDescent="0.35">
      <c r="A56" s="2">
        <v>189</v>
      </c>
      <c r="B56" s="1">
        <v>44750</v>
      </c>
      <c r="C56" s="2" t="s">
        <v>15</v>
      </c>
      <c r="D56" s="2" t="s">
        <v>39</v>
      </c>
      <c r="E56" s="2" t="s">
        <v>59</v>
      </c>
      <c r="F56" s="2" t="s">
        <v>52</v>
      </c>
      <c r="G56" s="2" t="s">
        <v>5</v>
      </c>
      <c r="H56" s="2" t="s">
        <v>55</v>
      </c>
      <c r="I56" s="3">
        <v>8.843490000000001</v>
      </c>
      <c r="J56" s="3">
        <v>75.791699999999992</v>
      </c>
      <c r="K56" s="3">
        <v>15.083643</v>
      </c>
      <c r="L56" s="2">
        <v>3</v>
      </c>
      <c r="M56" s="2">
        <v>27</v>
      </c>
      <c r="N56" s="2">
        <f t="shared" si="0"/>
        <v>30</v>
      </c>
    </row>
    <row r="57" spans="1:14" x14ac:dyDescent="0.35">
      <c r="A57" s="2">
        <v>271</v>
      </c>
      <c r="B57" s="1">
        <v>44832</v>
      </c>
      <c r="C57" s="2" t="s">
        <v>16</v>
      </c>
      <c r="D57" s="2" t="s">
        <v>41</v>
      </c>
      <c r="E57" s="2" t="s">
        <v>59</v>
      </c>
      <c r="F57" s="2" t="s">
        <v>50</v>
      </c>
      <c r="G57" s="2" t="s">
        <v>5</v>
      </c>
      <c r="H57" s="2" t="s">
        <v>55</v>
      </c>
      <c r="I57" s="3">
        <v>13.5</v>
      </c>
      <c r="J57" s="3">
        <v>84.875</v>
      </c>
      <c r="K57" s="3">
        <v>9.9581430000000015</v>
      </c>
      <c r="L57" s="2">
        <v>3</v>
      </c>
      <c r="M57" s="2">
        <v>27</v>
      </c>
      <c r="N57" s="2">
        <f t="shared" si="0"/>
        <v>30</v>
      </c>
    </row>
    <row r="58" spans="1:14" x14ac:dyDescent="0.35">
      <c r="A58" s="2">
        <v>224</v>
      </c>
      <c r="B58" s="1">
        <v>44785</v>
      </c>
      <c r="C58" s="2" t="s">
        <v>15</v>
      </c>
      <c r="D58" s="2" t="s">
        <v>40</v>
      </c>
      <c r="E58" s="2" t="s">
        <v>59</v>
      </c>
      <c r="F58" s="2" t="s">
        <v>52</v>
      </c>
      <c r="G58" s="2" t="s">
        <v>5</v>
      </c>
      <c r="H58" s="2" t="s">
        <v>54</v>
      </c>
      <c r="I58" s="3">
        <v>8.5090950000000003</v>
      </c>
      <c r="J58" s="3">
        <v>41.5</v>
      </c>
      <c r="K58" s="3">
        <v>8.4166070000000008</v>
      </c>
      <c r="L58" s="2">
        <v>3</v>
      </c>
      <c r="M58" s="2">
        <v>32</v>
      </c>
      <c r="N58" s="2">
        <f t="shared" si="0"/>
        <v>35</v>
      </c>
    </row>
    <row r="59" spans="1:14" x14ac:dyDescent="0.35">
      <c r="A59" s="2">
        <v>137</v>
      </c>
      <c r="B59" s="1">
        <v>44698</v>
      </c>
      <c r="C59" s="2" t="s">
        <v>14</v>
      </c>
      <c r="D59" s="2" t="s">
        <v>37</v>
      </c>
      <c r="E59" s="2" t="s">
        <v>59</v>
      </c>
      <c r="F59" s="2" t="s">
        <v>49</v>
      </c>
      <c r="G59" s="2" t="s">
        <v>5</v>
      </c>
      <c r="H59" s="2" t="s">
        <v>55</v>
      </c>
      <c r="I59" s="3">
        <v>20.550014999999998</v>
      </c>
      <c r="J59" s="3">
        <v>83.791700000000006</v>
      </c>
      <c r="K59" s="3">
        <v>18.582718</v>
      </c>
      <c r="L59" s="2">
        <v>3</v>
      </c>
      <c r="M59" s="2">
        <v>33</v>
      </c>
      <c r="N59" s="2">
        <f t="shared" si="0"/>
        <v>36</v>
      </c>
    </row>
    <row r="60" spans="1:14" x14ac:dyDescent="0.35">
      <c r="A60" s="2">
        <v>277</v>
      </c>
      <c r="B60" s="1">
        <v>44838</v>
      </c>
      <c r="C60" s="2" t="s">
        <v>16</v>
      </c>
      <c r="D60" s="2" t="s">
        <v>42</v>
      </c>
      <c r="E60" s="2" t="s">
        <v>59</v>
      </c>
      <c r="F60" s="2" t="s">
        <v>49</v>
      </c>
      <c r="G60" s="2" t="s">
        <v>5</v>
      </c>
      <c r="H60" s="2" t="s">
        <v>54</v>
      </c>
      <c r="I60" s="3">
        <v>18.637515</v>
      </c>
      <c r="J60" s="3">
        <v>71</v>
      </c>
      <c r="K60" s="3">
        <v>13.792218</v>
      </c>
      <c r="L60" s="2">
        <v>3</v>
      </c>
      <c r="M60" s="2">
        <v>33</v>
      </c>
      <c r="N60" s="2">
        <f t="shared" si="0"/>
        <v>36</v>
      </c>
    </row>
    <row r="61" spans="1:14" x14ac:dyDescent="0.35">
      <c r="A61" s="2">
        <v>68</v>
      </c>
      <c r="B61" s="1">
        <v>44629</v>
      </c>
      <c r="C61" s="2" t="s">
        <v>14</v>
      </c>
      <c r="D61" s="2" t="s">
        <v>35</v>
      </c>
      <c r="E61" s="2" t="s">
        <v>59</v>
      </c>
      <c r="F61" s="2" t="s">
        <v>50</v>
      </c>
      <c r="G61" s="2" t="s">
        <v>5</v>
      </c>
      <c r="H61" s="2" t="s">
        <v>55</v>
      </c>
      <c r="I61" s="3">
        <v>28.526084999999998</v>
      </c>
      <c r="J61" s="3">
        <v>77.541700000000006</v>
      </c>
      <c r="K61" s="3">
        <v>14.750050000000002</v>
      </c>
      <c r="L61" s="2">
        <v>3</v>
      </c>
      <c r="M61" s="2">
        <v>34</v>
      </c>
      <c r="N61" s="2">
        <f t="shared" si="0"/>
        <v>37</v>
      </c>
    </row>
    <row r="62" spans="1:14" x14ac:dyDescent="0.35">
      <c r="A62" s="2">
        <v>228</v>
      </c>
      <c r="B62" s="1">
        <v>44789</v>
      </c>
      <c r="C62" s="2" t="s">
        <v>15</v>
      </c>
      <c r="D62" s="2" t="s">
        <v>40</v>
      </c>
      <c r="E62" s="2" t="s">
        <v>59</v>
      </c>
      <c r="F62" s="2" t="s">
        <v>49</v>
      </c>
      <c r="G62" s="2" t="s">
        <v>5</v>
      </c>
      <c r="H62" s="2" t="s">
        <v>54</v>
      </c>
      <c r="I62" s="3">
        <v>11.973915000000002</v>
      </c>
      <c r="J62" s="3">
        <v>57.833300000000001</v>
      </c>
      <c r="K62" s="3">
        <v>15.834043000000001</v>
      </c>
      <c r="L62" s="2">
        <v>3</v>
      </c>
      <c r="M62" s="2">
        <v>34</v>
      </c>
      <c r="N62" s="2">
        <f t="shared" si="0"/>
        <v>37</v>
      </c>
    </row>
    <row r="63" spans="1:14" x14ac:dyDescent="0.35">
      <c r="A63" s="2">
        <v>242</v>
      </c>
      <c r="B63" s="1">
        <v>44803</v>
      </c>
      <c r="C63" s="2" t="s">
        <v>15</v>
      </c>
      <c r="D63" s="2" t="s">
        <v>40</v>
      </c>
      <c r="E63" s="2" t="s">
        <v>59</v>
      </c>
      <c r="F63" s="2" t="s">
        <v>49</v>
      </c>
      <c r="G63" s="2" t="s">
        <v>5</v>
      </c>
      <c r="H63" s="2" t="s">
        <v>54</v>
      </c>
      <c r="I63" s="3">
        <v>12.000014999999999</v>
      </c>
      <c r="J63" s="3">
        <v>54.833299999999994</v>
      </c>
      <c r="K63" s="3">
        <v>8.3755360000000003</v>
      </c>
      <c r="L63" s="2">
        <v>3</v>
      </c>
      <c r="M63" s="2">
        <v>34</v>
      </c>
      <c r="N63" s="2">
        <f t="shared" si="0"/>
        <v>37</v>
      </c>
    </row>
    <row r="64" spans="1:14" x14ac:dyDescent="0.35">
      <c r="A64" s="2">
        <v>265</v>
      </c>
      <c r="B64" s="1">
        <v>44826</v>
      </c>
      <c r="C64" s="2" t="s">
        <v>16</v>
      </c>
      <c r="D64" s="2" t="s">
        <v>41</v>
      </c>
      <c r="E64" s="2" t="s">
        <v>59</v>
      </c>
      <c r="F64" s="2" t="s">
        <v>51</v>
      </c>
      <c r="G64" s="2" t="s">
        <v>5</v>
      </c>
      <c r="H64" s="2" t="s">
        <v>55</v>
      </c>
      <c r="I64" s="3">
        <v>12.824999999999999</v>
      </c>
      <c r="J64" s="3">
        <v>90.208299999999994</v>
      </c>
      <c r="K64" s="3">
        <v>8.5843749999999996</v>
      </c>
      <c r="L64" s="2">
        <v>3</v>
      </c>
      <c r="M64" s="2">
        <v>34</v>
      </c>
      <c r="N64" s="2">
        <f t="shared" si="0"/>
        <v>37</v>
      </c>
    </row>
    <row r="65" spans="1:14" x14ac:dyDescent="0.35">
      <c r="A65" s="2">
        <v>236</v>
      </c>
      <c r="B65" s="1">
        <v>44797</v>
      </c>
      <c r="C65" s="2" t="s">
        <v>15</v>
      </c>
      <c r="D65" s="2" t="s">
        <v>40</v>
      </c>
      <c r="E65" s="2" t="s">
        <v>59</v>
      </c>
      <c r="F65" s="2" t="s">
        <v>50</v>
      </c>
      <c r="G65" s="2" t="s">
        <v>5</v>
      </c>
      <c r="H65" s="2" t="s">
        <v>54</v>
      </c>
      <c r="I65" s="3">
        <v>9.978254999999999</v>
      </c>
      <c r="J65" s="3">
        <v>60.5</v>
      </c>
      <c r="K65" s="3">
        <v>16.958235999999999</v>
      </c>
      <c r="L65" s="2">
        <v>3</v>
      </c>
      <c r="M65" s="2">
        <v>36</v>
      </c>
      <c r="N65" s="2">
        <f t="shared" si="0"/>
        <v>39</v>
      </c>
    </row>
    <row r="66" spans="1:14" x14ac:dyDescent="0.35">
      <c r="A66" s="2">
        <v>174</v>
      </c>
      <c r="B66" s="1">
        <v>44735</v>
      </c>
      <c r="C66" s="2" t="s">
        <v>15</v>
      </c>
      <c r="D66" s="2" t="s">
        <v>38</v>
      </c>
      <c r="E66" s="2" t="s">
        <v>59</v>
      </c>
      <c r="F66" s="2" t="s">
        <v>51</v>
      </c>
      <c r="G66" s="2" t="s">
        <v>5</v>
      </c>
      <c r="H66" s="2" t="s">
        <v>55</v>
      </c>
      <c r="I66" s="3">
        <v>16.799985</v>
      </c>
      <c r="J66" s="3">
        <v>70.333299999999994</v>
      </c>
      <c r="K66" s="3">
        <v>15.999867999999999</v>
      </c>
      <c r="L66" s="2">
        <v>3</v>
      </c>
      <c r="M66" s="2">
        <v>41</v>
      </c>
      <c r="N66" s="2">
        <f t="shared" si="0"/>
        <v>44</v>
      </c>
    </row>
    <row r="67" spans="1:14" x14ac:dyDescent="0.35">
      <c r="A67" s="2">
        <v>157</v>
      </c>
      <c r="B67" s="1">
        <v>44718</v>
      </c>
      <c r="C67" s="2" t="s">
        <v>15</v>
      </c>
      <c r="D67" s="2" t="s">
        <v>38</v>
      </c>
      <c r="E67" s="2" t="s">
        <v>59</v>
      </c>
      <c r="F67" s="2" t="s">
        <v>48</v>
      </c>
      <c r="G67" s="2" t="s">
        <v>5</v>
      </c>
      <c r="H67" s="2" t="s">
        <v>54</v>
      </c>
      <c r="I67" s="3">
        <v>20.8125</v>
      </c>
      <c r="J67" s="3">
        <v>60</v>
      </c>
      <c r="K67" s="3">
        <v>8.1670320000000007</v>
      </c>
      <c r="L67" s="2">
        <v>3</v>
      </c>
      <c r="M67" s="2">
        <v>49</v>
      </c>
      <c r="N67" s="2">
        <f t="shared" ref="N67:N130" si="3">L67+M67</f>
        <v>52</v>
      </c>
    </row>
    <row r="68" spans="1:14" x14ac:dyDescent="0.35">
      <c r="A68" s="2">
        <v>138</v>
      </c>
      <c r="B68" s="1">
        <v>44699</v>
      </c>
      <c r="C68" s="2" t="s">
        <v>14</v>
      </c>
      <c r="D68" s="2" t="s">
        <v>37</v>
      </c>
      <c r="E68" s="2" t="s">
        <v>59</v>
      </c>
      <c r="F68" s="2" t="s">
        <v>50</v>
      </c>
      <c r="G68" s="2" t="s">
        <v>5</v>
      </c>
      <c r="H68" s="2" t="s">
        <v>55</v>
      </c>
      <c r="I68" s="3">
        <v>15.375014999999999</v>
      </c>
      <c r="J68" s="3">
        <v>87</v>
      </c>
      <c r="K68" s="3">
        <v>13.499964</v>
      </c>
      <c r="L68" s="2">
        <v>3</v>
      </c>
      <c r="M68" s="2">
        <v>58</v>
      </c>
      <c r="N68" s="2">
        <f t="shared" si="3"/>
        <v>61</v>
      </c>
    </row>
    <row r="69" spans="1:14" x14ac:dyDescent="0.35">
      <c r="A69" s="2">
        <v>159</v>
      </c>
      <c r="B69" s="1">
        <v>44720</v>
      </c>
      <c r="C69" s="2" t="s">
        <v>15</v>
      </c>
      <c r="D69" s="2" t="s">
        <v>38</v>
      </c>
      <c r="E69" s="2" t="s">
        <v>59</v>
      </c>
      <c r="F69" s="2" t="s">
        <v>50</v>
      </c>
      <c r="G69" s="2" t="s">
        <v>5</v>
      </c>
      <c r="H69" s="2" t="s">
        <v>54</v>
      </c>
      <c r="I69" s="3">
        <v>11.962484999999999</v>
      </c>
      <c r="J69" s="3">
        <v>62.208300000000008</v>
      </c>
      <c r="K69" s="3">
        <v>9.1667389999999997</v>
      </c>
      <c r="L69" s="2">
        <v>3</v>
      </c>
      <c r="M69" s="2">
        <v>63</v>
      </c>
      <c r="N69" s="2">
        <f t="shared" si="3"/>
        <v>66</v>
      </c>
    </row>
    <row r="70" spans="1:14" x14ac:dyDescent="0.35">
      <c r="A70" s="2">
        <v>163</v>
      </c>
      <c r="B70" s="1">
        <v>44724</v>
      </c>
      <c r="C70" s="2" t="s">
        <v>15</v>
      </c>
      <c r="D70" s="2" t="s">
        <v>38</v>
      </c>
      <c r="E70" s="2" t="s">
        <v>59</v>
      </c>
      <c r="F70" s="2" t="s">
        <v>47</v>
      </c>
      <c r="G70" s="2" t="s">
        <v>60</v>
      </c>
      <c r="H70" s="2" t="s">
        <v>54</v>
      </c>
      <c r="I70" s="3">
        <v>10.724985</v>
      </c>
      <c r="J70" s="3">
        <v>74.791700000000006</v>
      </c>
      <c r="K70" s="3">
        <v>10.958988999999999</v>
      </c>
      <c r="L70" s="2">
        <v>3</v>
      </c>
      <c r="M70" s="2">
        <v>63</v>
      </c>
      <c r="N70" s="2">
        <f t="shared" si="3"/>
        <v>66</v>
      </c>
    </row>
    <row r="71" spans="1:14" x14ac:dyDescent="0.35">
      <c r="A71" s="2">
        <v>164</v>
      </c>
      <c r="B71" s="1">
        <v>44725</v>
      </c>
      <c r="C71" s="2" t="s">
        <v>15</v>
      </c>
      <c r="D71" s="2" t="s">
        <v>38</v>
      </c>
      <c r="E71" s="2" t="s">
        <v>59</v>
      </c>
      <c r="F71" s="2" t="s">
        <v>48</v>
      </c>
      <c r="G71" s="2" t="s">
        <v>5</v>
      </c>
      <c r="H71" s="2" t="s">
        <v>54</v>
      </c>
      <c r="I71" s="3">
        <v>12.712499999999999</v>
      </c>
      <c r="J71" s="3">
        <v>49.458300000000001</v>
      </c>
      <c r="K71" s="3">
        <v>20.458449999999999</v>
      </c>
      <c r="L71" s="2">
        <v>3</v>
      </c>
      <c r="M71" s="2">
        <v>67</v>
      </c>
      <c r="N71" s="2">
        <f t="shared" si="3"/>
        <v>70</v>
      </c>
    </row>
    <row r="72" spans="1:14" x14ac:dyDescent="0.35">
      <c r="A72" s="2">
        <v>234</v>
      </c>
      <c r="B72" s="1">
        <v>44795</v>
      </c>
      <c r="C72" s="2" t="s">
        <v>15</v>
      </c>
      <c r="D72" s="2" t="s">
        <v>40</v>
      </c>
      <c r="E72" s="2" t="s">
        <v>59</v>
      </c>
      <c r="F72" s="2" t="s">
        <v>48</v>
      </c>
      <c r="G72" s="2" t="s">
        <v>5</v>
      </c>
      <c r="H72" s="2" t="s">
        <v>54</v>
      </c>
      <c r="I72" s="3">
        <v>13.649985000000001</v>
      </c>
      <c r="J72" s="3">
        <v>47</v>
      </c>
      <c r="K72" s="3">
        <v>18.542249999999999</v>
      </c>
      <c r="L72" s="2">
        <v>4</v>
      </c>
      <c r="M72" s="2">
        <v>18</v>
      </c>
      <c r="N72" s="2">
        <f t="shared" si="3"/>
        <v>22</v>
      </c>
    </row>
    <row r="73" spans="1:14" x14ac:dyDescent="0.35">
      <c r="A73" s="2">
        <v>197</v>
      </c>
      <c r="B73" s="1">
        <v>44758</v>
      </c>
      <c r="C73" s="2" t="s">
        <v>15</v>
      </c>
      <c r="D73" s="2" t="s">
        <v>39</v>
      </c>
      <c r="E73" s="2" t="s">
        <v>59</v>
      </c>
      <c r="F73" s="2" t="s">
        <v>53</v>
      </c>
      <c r="G73" s="2" t="s">
        <v>60</v>
      </c>
      <c r="H73" s="2" t="s">
        <v>54</v>
      </c>
      <c r="I73" s="3">
        <v>10.499985000000001</v>
      </c>
      <c r="J73" s="3">
        <v>58.5</v>
      </c>
      <c r="K73" s="3">
        <v>13.958914</v>
      </c>
      <c r="L73" s="2">
        <v>4</v>
      </c>
      <c r="M73" s="2">
        <v>21</v>
      </c>
      <c r="N73" s="2">
        <f t="shared" si="3"/>
        <v>25</v>
      </c>
    </row>
    <row r="74" spans="1:14" x14ac:dyDescent="0.35">
      <c r="A74" s="2">
        <v>272</v>
      </c>
      <c r="B74" s="1">
        <v>44833</v>
      </c>
      <c r="C74" s="2" t="s">
        <v>16</v>
      </c>
      <c r="D74" s="2" t="s">
        <v>41</v>
      </c>
      <c r="E74" s="2" t="s">
        <v>59</v>
      </c>
      <c r="F74" s="2" t="s">
        <v>51</v>
      </c>
      <c r="G74" s="2" t="s">
        <v>5</v>
      </c>
      <c r="H74" s="2" t="s">
        <v>54</v>
      </c>
      <c r="I74" s="3">
        <v>12.074985</v>
      </c>
      <c r="J74" s="3">
        <v>69.916699999999992</v>
      </c>
      <c r="K74" s="3">
        <v>11.583161</v>
      </c>
      <c r="L74" s="2">
        <v>4</v>
      </c>
      <c r="M74" s="2">
        <v>30</v>
      </c>
      <c r="N74" s="2">
        <f t="shared" si="3"/>
        <v>34</v>
      </c>
    </row>
    <row r="75" spans="1:14" x14ac:dyDescent="0.35">
      <c r="A75" s="2">
        <v>294</v>
      </c>
      <c r="B75" s="1">
        <v>44855</v>
      </c>
      <c r="C75" s="2" t="s">
        <v>16</v>
      </c>
      <c r="D75" s="2" t="s">
        <v>42</v>
      </c>
      <c r="E75" s="2" t="s">
        <v>59</v>
      </c>
      <c r="F75" s="2" t="s">
        <v>52</v>
      </c>
      <c r="G75" s="2" t="s">
        <v>5</v>
      </c>
      <c r="H75" s="2" t="s">
        <v>54</v>
      </c>
      <c r="I75" s="3">
        <v>15.150015</v>
      </c>
      <c r="J75" s="3">
        <v>57.416699999999999</v>
      </c>
      <c r="K75" s="3">
        <v>14.833532</v>
      </c>
      <c r="L75" s="2">
        <v>4</v>
      </c>
      <c r="M75" s="2">
        <v>30</v>
      </c>
      <c r="N75" s="2">
        <f t="shared" si="3"/>
        <v>34</v>
      </c>
    </row>
    <row r="76" spans="1:14" x14ac:dyDescent="0.35">
      <c r="A76" s="2">
        <v>227</v>
      </c>
      <c r="B76" s="1">
        <v>44788</v>
      </c>
      <c r="C76" s="2" t="s">
        <v>15</v>
      </c>
      <c r="D76" s="2" t="s">
        <v>40</v>
      </c>
      <c r="E76" s="2" t="s">
        <v>59</v>
      </c>
      <c r="F76" s="2" t="s">
        <v>48</v>
      </c>
      <c r="G76" s="2" t="s">
        <v>5</v>
      </c>
      <c r="H76" s="2" t="s">
        <v>54</v>
      </c>
      <c r="I76" s="3">
        <v>18.675000000000001</v>
      </c>
      <c r="J76" s="3">
        <v>71.208300000000008</v>
      </c>
      <c r="K76" s="3">
        <v>13.999917999999999</v>
      </c>
      <c r="L76" s="2">
        <v>4</v>
      </c>
      <c r="M76" s="2">
        <v>34</v>
      </c>
      <c r="N76" s="2">
        <f t="shared" si="3"/>
        <v>38</v>
      </c>
    </row>
    <row r="77" spans="1:14" x14ac:dyDescent="0.35">
      <c r="A77" s="2">
        <v>250</v>
      </c>
      <c r="B77" s="1">
        <v>44811</v>
      </c>
      <c r="C77" s="2" t="s">
        <v>16</v>
      </c>
      <c r="D77" s="2" t="s">
        <v>41</v>
      </c>
      <c r="E77" s="2" t="s">
        <v>59</v>
      </c>
      <c r="F77" s="2" t="s">
        <v>50</v>
      </c>
      <c r="G77" s="2" t="s">
        <v>5</v>
      </c>
      <c r="H77" s="2" t="s">
        <v>56</v>
      </c>
      <c r="I77" s="3">
        <v>13.312485000000001</v>
      </c>
      <c r="J77" s="3">
        <v>91.708299999999994</v>
      </c>
      <c r="K77" s="3">
        <v>6.5003936000000007</v>
      </c>
      <c r="L77" s="2">
        <v>4</v>
      </c>
      <c r="M77" s="2">
        <v>34</v>
      </c>
      <c r="N77" s="2">
        <f t="shared" si="3"/>
        <v>38</v>
      </c>
    </row>
    <row r="78" spans="1:14" x14ac:dyDescent="0.35">
      <c r="A78" s="2">
        <v>245</v>
      </c>
      <c r="B78" s="1">
        <v>44806</v>
      </c>
      <c r="C78" s="2" t="s">
        <v>16</v>
      </c>
      <c r="D78" s="2" t="s">
        <v>41</v>
      </c>
      <c r="E78" s="2" t="s">
        <v>59</v>
      </c>
      <c r="F78" s="2" t="s">
        <v>52</v>
      </c>
      <c r="G78" s="2" t="s">
        <v>5</v>
      </c>
      <c r="H78" s="2" t="s">
        <v>55</v>
      </c>
      <c r="I78" s="3">
        <v>11.775015</v>
      </c>
      <c r="J78" s="3">
        <v>72.708300000000008</v>
      </c>
      <c r="K78" s="3">
        <v>9.3752429999999993</v>
      </c>
      <c r="L78" s="2">
        <v>4</v>
      </c>
      <c r="M78" s="2">
        <v>35</v>
      </c>
      <c r="N78" s="2">
        <f t="shared" si="3"/>
        <v>39</v>
      </c>
    </row>
    <row r="79" spans="1:14" x14ac:dyDescent="0.35">
      <c r="A79" s="2">
        <v>207</v>
      </c>
      <c r="B79" s="1">
        <v>44768</v>
      </c>
      <c r="C79" s="2" t="s">
        <v>15</v>
      </c>
      <c r="D79" s="2" t="s">
        <v>39</v>
      </c>
      <c r="E79" s="2" t="s">
        <v>59</v>
      </c>
      <c r="F79" s="2" t="s">
        <v>49</v>
      </c>
      <c r="G79" s="2" t="s">
        <v>5</v>
      </c>
      <c r="H79" s="2" t="s">
        <v>54</v>
      </c>
      <c r="I79" s="3">
        <v>10.056510000000001</v>
      </c>
      <c r="J79" s="3">
        <v>54.083300000000001</v>
      </c>
      <c r="K79" s="3">
        <v>13.417285999999999</v>
      </c>
      <c r="L79" s="2">
        <v>4</v>
      </c>
      <c r="M79" s="2">
        <v>36</v>
      </c>
      <c r="N79" s="2">
        <f t="shared" si="3"/>
        <v>40</v>
      </c>
    </row>
    <row r="80" spans="1:14" x14ac:dyDescent="0.35">
      <c r="A80" s="2">
        <v>269</v>
      </c>
      <c r="B80" s="1">
        <v>44830</v>
      </c>
      <c r="C80" s="2" t="s">
        <v>16</v>
      </c>
      <c r="D80" s="2" t="s">
        <v>41</v>
      </c>
      <c r="E80" s="2" t="s">
        <v>59</v>
      </c>
      <c r="F80" s="2" t="s">
        <v>48</v>
      </c>
      <c r="G80" s="2" t="s">
        <v>5</v>
      </c>
      <c r="H80" s="2" t="s">
        <v>55</v>
      </c>
      <c r="I80" s="3">
        <v>11.895660000000001</v>
      </c>
      <c r="J80" s="3">
        <v>84.833299999999994</v>
      </c>
      <c r="K80" s="3">
        <v>7.4169</v>
      </c>
      <c r="L80" s="2">
        <v>4</v>
      </c>
      <c r="M80" s="2">
        <v>36</v>
      </c>
      <c r="N80" s="2">
        <f t="shared" si="3"/>
        <v>40</v>
      </c>
    </row>
    <row r="81" spans="1:14" x14ac:dyDescent="0.35">
      <c r="A81" s="2">
        <v>229</v>
      </c>
      <c r="B81" s="1">
        <v>44790</v>
      </c>
      <c r="C81" s="2" t="s">
        <v>15</v>
      </c>
      <c r="D81" s="2" t="s">
        <v>40</v>
      </c>
      <c r="E81" s="2" t="s">
        <v>59</v>
      </c>
      <c r="F81" s="2" t="s">
        <v>50</v>
      </c>
      <c r="G81" s="2" t="s">
        <v>5</v>
      </c>
      <c r="H81" s="2" t="s">
        <v>54</v>
      </c>
      <c r="I81" s="3">
        <v>14.321745</v>
      </c>
      <c r="J81" s="3">
        <v>57.541699999999999</v>
      </c>
      <c r="K81" s="3">
        <v>9.6256889999999995</v>
      </c>
      <c r="L81" s="2">
        <v>4</v>
      </c>
      <c r="M81" s="2">
        <v>38</v>
      </c>
      <c r="N81" s="2">
        <f t="shared" si="3"/>
        <v>42</v>
      </c>
    </row>
    <row r="82" spans="1:14" x14ac:dyDescent="0.35">
      <c r="A82" s="2">
        <v>264</v>
      </c>
      <c r="B82" s="1">
        <v>44825</v>
      </c>
      <c r="C82" s="2" t="s">
        <v>16</v>
      </c>
      <c r="D82" s="2" t="s">
        <v>41</v>
      </c>
      <c r="E82" s="2" t="s">
        <v>59</v>
      </c>
      <c r="F82" s="2" t="s">
        <v>50</v>
      </c>
      <c r="G82" s="2" t="s">
        <v>5</v>
      </c>
      <c r="H82" s="2" t="s">
        <v>55</v>
      </c>
      <c r="I82" s="3">
        <v>15.613065000000001</v>
      </c>
      <c r="J82" s="3">
        <v>90</v>
      </c>
      <c r="K82" s="3">
        <v>6.4590813999999996</v>
      </c>
      <c r="L82" s="2">
        <v>4</v>
      </c>
      <c r="M82" s="2">
        <v>38</v>
      </c>
      <c r="N82" s="2">
        <f t="shared" si="3"/>
        <v>42</v>
      </c>
    </row>
    <row r="83" spans="1:14" x14ac:dyDescent="0.35">
      <c r="A83" s="2">
        <v>285</v>
      </c>
      <c r="B83" s="1">
        <v>44846</v>
      </c>
      <c r="C83" s="2" t="s">
        <v>16</v>
      </c>
      <c r="D83" s="2" t="s">
        <v>42</v>
      </c>
      <c r="E83" s="2" t="s">
        <v>59</v>
      </c>
      <c r="F83" s="2" t="s">
        <v>50</v>
      </c>
      <c r="G83" s="2" t="s">
        <v>5</v>
      </c>
      <c r="H83" s="2" t="s">
        <v>56</v>
      </c>
      <c r="I83" s="3">
        <v>18.5625</v>
      </c>
      <c r="J83" s="3">
        <v>90.625</v>
      </c>
      <c r="K83" s="3">
        <v>16.626049999999999</v>
      </c>
      <c r="L83" s="2">
        <v>4</v>
      </c>
      <c r="M83" s="2">
        <v>39</v>
      </c>
      <c r="N83" s="2">
        <f t="shared" si="3"/>
        <v>43</v>
      </c>
    </row>
    <row r="84" spans="1:14" x14ac:dyDescent="0.35">
      <c r="A84" s="2">
        <v>102</v>
      </c>
      <c r="B84" s="1">
        <v>44663</v>
      </c>
      <c r="C84" s="2" t="s">
        <v>14</v>
      </c>
      <c r="D84" s="2" t="s">
        <v>36</v>
      </c>
      <c r="E84" s="2" t="s">
        <v>59</v>
      </c>
      <c r="F84" s="2" t="s">
        <v>49</v>
      </c>
      <c r="G84" s="2" t="s">
        <v>5</v>
      </c>
      <c r="H84" s="2" t="s">
        <v>55</v>
      </c>
      <c r="I84" s="3">
        <v>24.449984999999998</v>
      </c>
      <c r="J84" s="3">
        <v>73.916700000000006</v>
      </c>
      <c r="K84" s="3">
        <v>18.416892999999998</v>
      </c>
      <c r="L84" s="2">
        <v>4</v>
      </c>
      <c r="M84" s="2">
        <v>44</v>
      </c>
      <c r="N84" s="2">
        <f t="shared" si="3"/>
        <v>48</v>
      </c>
    </row>
    <row r="85" spans="1:14" x14ac:dyDescent="0.35">
      <c r="A85" s="2">
        <v>169</v>
      </c>
      <c r="B85" s="1">
        <v>44730</v>
      </c>
      <c r="C85" s="2" t="s">
        <v>15</v>
      </c>
      <c r="D85" s="2" t="s">
        <v>38</v>
      </c>
      <c r="E85" s="2" t="s">
        <v>59</v>
      </c>
      <c r="F85" s="2" t="s">
        <v>53</v>
      </c>
      <c r="G85" s="2" t="s">
        <v>60</v>
      </c>
      <c r="H85" s="2" t="s">
        <v>54</v>
      </c>
      <c r="I85" s="3">
        <v>10.724985</v>
      </c>
      <c r="J85" s="3">
        <v>67.041700000000006</v>
      </c>
      <c r="K85" s="3">
        <v>8.0003360000000008</v>
      </c>
      <c r="L85" s="2">
        <v>4</v>
      </c>
      <c r="M85" s="2">
        <v>44</v>
      </c>
      <c r="N85" s="2">
        <f t="shared" si="3"/>
        <v>48</v>
      </c>
    </row>
    <row r="86" spans="1:14" x14ac:dyDescent="0.35">
      <c r="A86" s="2">
        <v>66</v>
      </c>
      <c r="B86" s="1">
        <v>44627</v>
      </c>
      <c r="C86" s="2" t="s">
        <v>14</v>
      </c>
      <c r="D86" s="2" t="s">
        <v>35</v>
      </c>
      <c r="E86" s="2" t="s">
        <v>59</v>
      </c>
      <c r="F86" s="2" t="s">
        <v>48</v>
      </c>
      <c r="G86" s="2" t="s">
        <v>5</v>
      </c>
      <c r="H86" s="2" t="s">
        <v>54</v>
      </c>
      <c r="I86" s="3">
        <v>24.3</v>
      </c>
      <c r="J86" s="3">
        <v>55.130400000000002</v>
      </c>
      <c r="K86" s="3">
        <v>22.870584000000001</v>
      </c>
      <c r="L86" s="2">
        <v>4</v>
      </c>
      <c r="M86" s="2">
        <v>50</v>
      </c>
      <c r="N86" s="2">
        <f t="shared" si="3"/>
        <v>54</v>
      </c>
    </row>
    <row r="87" spans="1:14" x14ac:dyDescent="0.35">
      <c r="A87" s="2">
        <v>142</v>
      </c>
      <c r="B87" s="1">
        <v>44703</v>
      </c>
      <c r="C87" s="2" t="s">
        <v>14</v>
      </c>
      <c r="D87" s="2" t="s">
        <v>37</v>
      </c>
      <c r="E87" s="2" t="s">
        <v>59</v>
      </c>
      <c r="F87" s="2" t="s">
        <v>47</v>
      </c>
      <c r="G87" s="2" t="s">
        <v>60</v>
      </c>
      <c r="H87" s="2" t="s">
        <v>54</v>
      </c>
      <c r="I87" s="3">
        <v>20.137499999999999</v>
      </c>
      <c r="J87" s="3">
        <v>74.958299999999994</v>
      </c>
      <c r="K87" s="3">
        <v>9.9165360000000007</v>
      </c>
      <c r="L87" s="2">
        <v>4</v>
      </c>
      <c r="M87" s="2">
        <v>51</v>
      </c>
      <c r="N87" s="2">
        <f t="shared" si="3"/>
        <v>55</v>
      </c>
    </row>
    <row r="88" spans="1:14" x14ac:dyDescent="0.35">
      <c r="A88" s="2">
        <v>131</v>
      </c>
      <c r="B88" s="1">
        <v>44692</v>
      </c>
      <c r="C88" s="2" t="s">
        <v>14</v>
      </c>
      <c r="D88" s="2" t="s">
        <v>37</v>
      </c>
      <c r="E88" s="2" t="s">
        <v>59</v>
      </c>
      <c r="F88" s="2" t="s">
        <v>50</v>
      </c>
      <c r="G88" s="2" t="s">
        <v>5</v>
      </c>
      <c r="H88" s="2" t="s">
        <v>54</v>
      </c>
      <c r="I88" s="3">
        <v>17.100000000000001</v>
      </c>
      <c r="J88" s="3">
        <v>63.291699999999992</v>
      </c>
      <c r="K88" s="3">
        <v>8.0830140000000004</v>
      </c>
      <c r="L88" s="2">
        <v>4</v>
      </c>
      <c r="M88" s="2">
        <v>55</v>
      </c>
      <c r="N88" s="2">
        <f t="shared" si="3"/>
        <v>59</v>
      </c>
    </row>
    <row r="89" spans="1:14" x14ac:dyDescent="0.35">
      <c r="A89" s="2">
        <v>167</v>
      </c>
      <c r="B89" s="1">
        <v>44728</v>
      </c>
      <c r="C89" s="2" t="s">
        <v>15</v>
      </c>
      <c r="D89" s="2" t="s">
        <v>38</v>
      </c>
      <c r="E89" s="2" t="s">
        <v>59</v>
      </c>
      <c r="F89" s="2" t="s">
        <v>51</v>
      </c>
      <c r="G89" s="2" t="s">
        <v>5</v>
      </c>
      <c r="H89" s="2" t="s">
        <v>55</v>
      </c>
      <c r="I89" s="3">
        <v>16.875</v>
      </c>
      <c r="J89" s="3">
        <v>68.833299999999994</v>
      </c>
      <c r="K89" s="3">
        <v>13.833556999999999</v>
      </c>
      <c r="L89" s="2">
        <v>4</v>
      </c>
      <c r="M89" s="2">
        <v>68</v>
      </c>
      <c r="N89" s="2">
        <f t="shared" si="3"/>
        <v>72</v>
      </c>
    </row>
    <row r="90" spans="1:14" x14ac:dyDescent="0.35">
      <c r="A90" s="2">
        <v>151</v>
      </c>
      <c r="B90" s="1">
        <v>44712</v>
      </c>
      <c r="C90" s="2" t="s">
        <v>14</v>
      </c>
      <c r="D90" s="2" t="s">
        <v>37</v>
      </c>
      <c r="E90" s="2" t="s">
        <v>59</v>
      </c>
      <c r="F90" s="2" t="s">
        <v>49</v>
      </c>
      <c r="G90" s="2" t="s">
        <v>5</v>
      </c>
      <c r="H90" s="2" t="s">
        <v>54</v>
      </c>
      <c r="I90" s="3">
        <v>14.625</v>
      </c>
      <c r="J90" s="3">
        <v>63.666699999999999</v>
      </c>
      <c r="K90" s="3">
        <v>7.4590429999999994</v>
      </c>
      <c r="L90" s="2">
        <v>4</v>
      </c>
      <c r="M90" s="2">
        <v>69</v>
      </c>
      <c r="N90" s="2">
        <f t="shared" si="3"/>
        <v>73</v>
      </c>
    </row>
    <row r="91" spans="1:14" x14ac:dyDescent="0.35">
      <c r="A91" s="2">
        <v>152</v>
      </c>
      <c r="B91" s="1">
        <v>44713</v>
      </c>
      <c r="C91" s="2" t="s">
        <v>15</v>
      </c>
      <c r="D91" s="2" t="s">
        <v>38</v>
      </c>
      <c r="E91" s="2" t="s">
        <v>59</v>
      </c>
      <c r="F91" s="2" t="s">
        <v>50</v>
      </c>
      <c r="G91" s="2" t="s">
        <v>5</v>
      </c>
      <c r="H91" s="2" t="s">
        <v>55</v>
      </c>
      <c r="I91" s="3">
        <v>14.0625</v>
      </c>
      <c r="J91" s="3">
        <v>67.708299999999994</v>
      </c>
      <c r="K91" s="3">
        <v>13.875164</v>
      </c>
      <c r="L91" s="2">
        <v>4</v>
      </c>
      <c r="M91" s="2">
        <v>71</v>
      </c>
      <c r="N91" s="2">
        <f t="shared" si="3"/>
        <v>75</v>
      </c>
    </row>
    <row r="92" spans="1:14" x14ac:dyDescent="0.35">
      <c r="A92" s="2">
        <v>165</v>
      </c>
      <c r="B92" s="1">
        <v>44726</v>
      </c>
      <c r="C92" s="2" t="s">
        <v>15</v>
      </c>
      <c r="D92" s="2" t="s">
        <v>38</v>
      </c>
      <c r="E92" s="2" t="s">
        <v>59</v>
      </c>
      <c r="F92" s="2" t="s">
        <v>49</v>
      </c>
      <c r="G92" s="2" t="s">
        <v>5</v>
      </c>
      <c r="H92" s="2" t="s">
        <v>54</v>
      </c>
      <c r="I92" s="3">
        <v>14.2875</v>
      </c>
      <c r="J92" s="3">
        <v>50.708299999999994</v>
      </c>
      <c r="K92" s="3">
        <v>18.041961000000001</v>
      </c>
      <c r="L92" s="2">
        <v>4</v>
      </c>
      <c r="M92" s="2">
        <v>71</v>
      </c>
      <c r="N92" s="2">
        <f t="shared" si="3"/>
        <v>75</v>
      </c>
    </row>
    <row r="93" spans="1:14" x14ac:dyDescent="0.35">
      <c r="A93" s="2">
        <v>166</v>
      </c>
      <c r="B93" s="1">
        <v>44727</v>
      </c>
      <c r="C93" s="2" t="s">
        <v>15</v>
      </c>
      <c r="D93" s="2" t="s">
        <v>38</v>
      </c>
      <c r="E93" s="2" t="s">
        <v>59</v>
      </c>
      <c r="F93" s="2" t="s">
        <v>50</v>
      </c>
      <c r="G93" s="2" t="s">
        <v>5</v>
      </c>
      <c r="H93" s="2" t="s">
        <v>54</v>
      </c>
      <c r="I93" s="3">
        <v>19.012499999999999</v>
      </c>
      <c r="J93" s="3">
        <v>47.166699999999999</v>
      </c>
      <c r="K93" s="3">
        <v>11.250104</v>
      </c>
      <c r="L93" s="2">
        <v>4</v>
      </c>
      <c r="M93" s="2">
        <v>71</v>
      </c>
      <c r="N93" s="2">
        <f t="shared" si="3"/>
        <v>75</v>
      </c>
    </row>
    <row r="94" spans="1:14" x14ac:dyDescent="0.35">
      <c r="A94" s="2">
        <v>171</v>
      </c>
      <c r="B94" s="1">
        <v>44732</v>
      </c>
      <c r="C94" s="2" t="s">
        <v>15</v>
      </c>
      <c r="D94" s="2" t="s">
        <v>38</v>
      </c>
      <c r="E94" s="2" t="s">
        <v>59</v>
      </c>
      <c r="F94" s="2" t="s">
        <v>48</v>
      </c>
      <c r="G94" s="2" t="s">
        <v>5</v>
      </c>
      <c r="H94" s="2" t="s">
        <v>55</v>
      </c>
      <c r="I94" s="3">
        <v>17.362485</v>
      </c>
      <c r="J94" s="3">
        <v>74.625</v>
      </c>
      <c r="K94" s="3">
        <v>10.416824999999999</v>
      </c>
      <c r="L94" s="2">
        <v>4</v>
      </c>
      <c r="M94" s="2">
        <v>71</v>
      </c>
      <c r="N94" s="2">
        <f t="shared" si="3"/>
        <v>75</v>
      </c>
    </row>
    <row r="95" spans="1:14" x14ac:dyDescent="0.35">
      <c r="A95" s="2">
        <v>56</v>
      </c>
      <c r="B95" s="1">
        <v>44617</v>
      </c>
      <c r="C95" s="2" t="s">
        <v>13</v>
      </c>
      <c r="D95" s="2" t="s">
        <v>34</v>
      </c>
      <c r="E95" s="2" t="s">
        <v>59</v>
      </c>
      <c r="F95" s="2" t="s">
        <v>52</v>
      </c>
      <c r="G95" s="2" t="s">
        <v>5</v>
      </c>
      <c r="H95" s="2" t="s">
        <v>55</v>
      </c>
      <c r="I95" s="3">
        <v>30.6</v>
      </c>
      <c r="J95" s="3">
        <v>71.217399999999998</v>
      </c>
      <c r="K95" s="3">
        <v>23.218112999999999</v>
      </c>
      <c r="L95" s="2">
        <v>5</v>
      </c>
      <c r="M95" s="2">
        <v>18</v>
      </c>
      <c r="N95" s="2">
        <f t="shared" si="3"/>
        <v>23</v>
      </c>
    </row>
    <row r="96" spans="1:14" x14ac:dyDescent="0.35">
      <c r="A96" s="2">
        <v>198</v>
      </c>
      <c r="B96" s="1">
        <v>44759</v>
      </c>
      <c r="C96" s="2" t="s">
        <v>15</v>
      </c>
      <c r="D96" s="2" t="s">
        <v>39</v>
      </c>
      <c r="E96" s="2" t="s">
        <v>59</v>
      </c>
      <c r="F96" s="2" t="s">
        <v>47</v>
      </c>
      <c r="G96" s="2" t="s">
        <v>60</v>
      </c>
      <c r="H96" s="2" t="s">
        <v>54</v>
      </c>
      <c r="I96" s="3">
        <v>10.425015</v>
      </c>
      <c r="J96" s="3">
        <v>60.416699999999999</v>
      </c>
      <c r="K96" s="3">
        <v>16.417211000000002</v>
      </c>
      <c r="L96" s="2">
        <v>5</v>
      </c>
      <c r="M96" s="2">
        <v>19</v>
      </c>
      <c r="N96" s="2">
        <f t="shared" si="3"/>
        <v>24</v>
      </c>
    </row>
    <row r="97" spans="1:14" x14ac:dyDescent="0.35">
      <c r="A97" s="2">
        <v>248</v>
      </c>
      <c r="B97" s="1">
        <v>44809</v>
      </c>
      <c r="C97" s="2" t="s">
        <v>16</v>
      </c>
      <c r="D97" s="2" t="s">
        <v>41</v>
      </c>
      <c r="E97" s="2" t="s">
        <v>3</v>
      </c>
      <c r="F97" s="2" t="s">
        <v>48</v>
      </c>
      <c r="G97" s="2" t="s">
        <v>60</v>
      </c>
      <c r="H97" s="2" t="s">
        <v>55</v>
      </c>
      <c r="I97" s="3">
        <v>11.778255</v>
      </c>
      <c r="J97" s="3">
        <v>79.041700000000006</v>
      </c>
      <c r="K97" s="3">
        <v>14.250632</v>
      </c>
      <c r="L97" s="2">
        <v>5</v>
      </c>
      <c r="M97" s="2">
        <v>33</v>
      </c>
      <c r="N97" s="2">
        <f t="shared" si="3"/>
        <v>38</v>
      </c>
    </row>
    <row r="98" spans="1:14" x14ac:dyDescent="0.35">
      <c r="A98" s="2">
        <v>252</v>
      </c>
      <c r="B98" s="1">
        <v>44813</v>
      </c>
      <c r="C98" s="2" t="s">
        <v>16</v>
      </c>
      <c r="D98" s="2" t="s">
        <v>41</v>
      </c>
      <c r="E98" s="2" t="s">
        <v>59</v>
      </c>
      <c r="F98" s="2" t="s">
        <v>52</v>
      </c>
      <c r="G98" s="2" t="s">
        <v>5</v>
      </c>
      <c r="H98" s="2" t="s">
        <v>55</v>
      </c>
      <c r="I98" s="3">
        <v>14.243490000000001</v>
      </c>
      <c r="J98" s="3">
        <v>89.791699999999992</v>
      </c>
      <c r="K98" s="3">
        <v>8.3333930000000009</v>
      </c>
      <c r="L98" s="2">
        <v>5</v>
      </c>
      <c r="M98" s="2">
        <v>35</v>
      </c>
      <c r="N98" s="2">
        <f t="shared" si="3"/>
        <v>40</v>
      </c>
    </row>
    <row r="99" spans="1:14" x14ac:dyDescent="0.35">
      <c r="A99" s="2">
        <v>284</v>
      </c>
      <c r="B99" s="1">
        <v>44845</v>
      </c>
      <c r="C99" s="2" t="s">
        <v>16</v>
      </c>
      <c r="D99" s="2" t="s">
        <v>42</v>
      </c>
      <c r="E99" s="2" t="s">
        <v>59</v>
      </c>
      <c r="F99" s="2" t="s">
        <v>49</v>
      </c>
      <c r="G99" s="2" t="s">
        <v>5</v>
      </c>
      <c r="H99" s="2" t="s">
        <v>55</v>
      </c>
      <c r="I99" s="3">
        <v>22.612499999999997</v>
      </c>
      <c r="J99" s="3">
        <v>80.875</v>
      </c>
      <c r="K99" s="3">
        <v>9.5838140000000003</v>
      </c>
      <c r="L99" s="2">
        <v>5</v>
      </c>
      <c r="M99" s="2">
        <v>36</v>
      </c>
      <c r="N99" s="2">
        <f t="shared" si="3"/>
        <v>41</v>
      </c>
    </row>
    <row r="100" spans="1:14" x14ac:dyDescent="0.35">
      <c r="A100" s="2">
        <v>243</v>
      </c>
      <c r="B100" s="1">
        <v>44804</v>
      </c>
      <c r="C100" s="2" t="s">
        <v>15</v>
      </c>
      <c r="D100" s="2" t="s">
        <v>40</v>
      </c>
      <c r="E100" s="2" t="s">
        <v>59</v>
      </c>
      <c r="F100" s="2" t="s">
        <v>50</v>
      </c>
      <c r="G100" s="2" t="s">
        <v>5</v>
      </c>
      <c r="H100" s="2" t="s">
        <v>54</v>
      </c>
      <c r="I100" s="3">
        <v>15.075000000000001</v>
      </c>
      <c r="J100" s="3">
        <v>59.791700000000006</v>
      </c>
      <c r="K100" s="3">
        <v>5.5833310999999997</v>
      </c>
      <c r="L100" s="2">
        <v>5</v>
      </c>
      <c r="M100" s="2">
        <v>38</v>
      </c>
      <c r="N100" s="2">
        <f t="shared" si="3"/>
        <v>43</v>
      </c>
    </row>
    <row r="101" spans="1:14" x14ac:dyDescent="0.35">
      <c r="A101" s="2">
        <v>179</v>
      </c>
      <c r="B101" s="1">
        <v>44740</v>
      </c>
      <c r="C101" s="2" t="s">
        <v>15</v>
      </c>
      <c r="D101" s="2" t="s">
        <v>38</v>
      </c>
      <c r="E101" s="2" t="s">
        <v>59</v>
      </c>
      <c r="F101" s="2" t="s">
        <v>49</v>
      </c>
      <c r="G101" s="2" t="s">
        <v>5</v>
      </c>
      <c r="H101" s="2" t="s">
        <v>54</v>
      </c>
      <c r="I101" s="3">
        <v>13.460850000000001</v>
      </c>
      <c r="J101" s="3">
        <v>63.416700000000006</v>
      </c>
      <c r="K101" s="3">
        <v>9.6669609999999988</v>
      </c>
      <c r="L101" s="2">
        <v>5</v>
      </c>
      <c r="M101" s="2">
        <v>41</v>
      </c>
      <c r="N101" s="2">
        <f t="shared" si="3"/>
        <v>46</v>
      </c>
    </row>
    <row r="102" spans="1:14" x14ac:dyDescent="0.35">
      <c r="A102" s="2">
        <v>83</v>
      </c>
      <c r="B102" s="1">
        <v>44644</v>
      </c>
      <c r="C102" s="2" t="s">
        <v>14</v>
      </c>
      <c r="D102" s="2" t="s">
        <v>35</v>
      </c>
      <c r="E102" s="2" t="s">
        <v>59</v>
      </c>
      <c r="F102" s="2" t="s">
        <v>51</v>
      </c>
      <c r="G102" s="2" t="s">
        <v>5</v>
      </c>
      <c r="H102" s="2" t="s">
        <v>55</v>
      </c>
      <c r="I102" s="3">
        <v>27.412514999999999</v>
      </c>
      <c r="J102" s="3">
        <v>80.583300000000008</v>
      </c>
      <c r="K102" s="3">
        <v>16.333729000000002</v>
      </c>
      <c r="L102" s="2">
        <v>5</v>
      </c>
      <c r="M102" s="2">
        <v>43</v>
      </c>
      <c r="N102" s="2">
        <f t="shared" si="3"/>
        <v>48</v>
      </c>
    </row>
    <row r="103" spans="1:14" x14ac:dyDescent="0.35">
      <c r="A103" s="2">
        <v>109</v>
      </c>
      <c r="B103" s="1">
        <v>44670</v>
      </c>
      <c r="C103" s="2" t="s">
        <v>14</v>
      </c>
      <c r="D103" s="2" t="s">
        <v>36</v>
      </c>
      <c r="E103" s="2" t="s">
        <v>59</v>
      </c>
      <c r="F103" s="2" t="s">
        <v>49</v>
      </c>
      <c r="G103" s="2" t="s">
        <v>5</v>
      </c>
      <c r="H103" s="2" t="s">
        <v>55</v>
      </c>
      <c r="I103" s="3">
        <v>24.378254999999999</v>
      </c>
      <c r="J103" s="3">
        <v>66.583299999999994</v>
      </c>
      <c r="K103" s="3">
        <v>10.584057</v>
      </c>
      <c r="L103" s="2">
        <v>5</v>
      </c>
      <c r="M103" s="2">
        <v>43</v>
      </c>
      <c r="N103" s="2">
        <f t="shared" si="3"/>
        <v>48</v>
      </c>
    </row>
    <row r="104" spans="1:14" x14ac:dyDescent="0.35">
      <c r="A104" s="2">
        <v>180</v>
      </c>
      <c r="B104" s="1">
        <v>44741</v>
      </c>
      <c r="C104" s="2" t="s">
        <v>15</v>
      </c>
      <c r="D104" s="2" t="s">
        <v>38</v>
      </c>
      <c r="E104" s="2" t="s">
        <v>59</v>
      </c>
      <c r="F104" s="2" t="s">
        <v>50</v>
      </c>
      <c r="G104" s="2" t="s">
        <v>5</v>
      </c>
      <c r="H104" s="2" t="s">
        <v>54</v>
      </c>
      <c r="I104" s="3">
        <v>11.174985</v>
      </c>
      <c r="J104" s="3">
        <v>49.791699999999999</v>
      </c>
      <c r="K104" s="3">
        <v>17.542007000000002</v>
      </c>
      <c r="L104" s="2">
        <v>5</v>
      </c>
      <c r="M104" s="2">
        <v>43</v>
      </c>
      <c r="N104" s="2">
        <f t="shared" si="3"/>
        <v>48</v>
      </c>
    </row>
    <row r="105" spans="1:14" x14ac:dyDescent="0.35">
      <c r="A105" s="2">
        <v>230</v>
      </c>
      <c r="B105" s="1">
        <v>44791</v>
      </c>
      <c r="C105" s="2" t="s">
        <v>15</v>
      </c>
      <c r="D105" s="2" t="s">
        <v>40</v>
      </c>
      <c r="E105" s="2" t="s">
        <v>59</v>
      </c>
      <c r="F105" s="2" t="s">
        <v>51</v>
      </c>
      <c r="G105" s="2" t="s">
        <v>5</v>
      </c>
      <c r="H105" s="2" t="s">
        <v>54</v>
      </c>
      <c r="I105" s="3">
        <v>19.612485</v>
      </c>
      <c r="J105" s="3">
        <v>65.458300000000008</v>
      </c>
      <c r="K105" s="3">
        <v>15.624936</v>
      </c>
      <c r="L105" s="2">
        <v>5</v>
      </c>
      <c r="M105" s="2">
        <v>44</v>
      </c>
      <c r="N105" s="2">
        <f t="shared" si="3"/>
        <v>49</v>
      </c>
    </row>
    <row r="106" spans="1:14" x14ac:dyDescent="0.35">
      <c r="A106" s="2">
        <v>117</v>
      </c>
      <c r="B106" s="1">
        <v>44678</v>
      </c>
      <c r="C106" s="2" t="s">
        <v>14</v>
      </c>
      <c r="D106" s="2" t="s">
        <v>36</v>
      </c>
      <c r="E106" s="2" t="s">
        <v>59</v>
      </c>
      <c r="F106" s="2" t="s">
        <v>50</v>
      </c>
      <c r="G106" s="2" t="s">
        <v>5</v>
      </c>
      <c r="H106" s="2" t="s">
        <v>55</v>
      </c>
      <c r="I106" s="3">
        <v>21.15</v>
      </c>
      <c r="J106" s="3">
        <v>83.541699999999992</v>
      </c>
      <c r="K106" s="3">
        <v>20.917399999999997</v>
      </c>
      <c r="L106" s="2">
        <v>5</v>
      </c>
      <c r="M106" s="2">
        <v>48</v>
      </c>
      <c r="N106" s="2">
        <f t="shared" si="3"/>
        <v>53</v>
      </c>
    </row>
    <row r="107" spans="1:14" x14ac:dyDescent="0.35">
      <c r="A107" s="2">
        <v>306</v>
      </c>
      <c r="B107" s="1">
        <v>44867</v>
      </c>
      <c r="C107" s="2" t="s">
        <v>16</v>
      </c>
      <c r="D107" s="2" t="s">
        <v>43</v>
      </c>
      <c r="E107" s="2" t="s">
        <v>59</v>
      </c>
      <c r="F107" s="2" t="s">
        <v>50</v>
      </c>
      <c r="G107" s="2" t="s">
        <v>5</v>
      </c>
      <c r="H107" s="2" t="s">
        <v>54</v>
      </c>
      <c r="I107" s="3">
        <v>18.637515</v>
      </c>
      <c r="J107" s="3">
        <v>71.875</v>
      </c>
      <c r="K107" s="3">
        <v>5.5001439000000003</v>
      </c>
      <c r="L107" s="2">
        <v>5</v>
      </c>
      <c r="M107" s="2">
        <v>48</v>
      </c>
      <c r="N107" s="2">
        <f t="shared" si="3"/>
        <v>53</v>
      </c>
    </row>
    <row r="108" spans="1:14" x14ac:dyDescent="0.35">
      <c r="A108" s="2">
        <v>173</v>
      </c>
      <c r="B108" s="1">
        <v>44734</v>
      </c>
      <c r="C108" s="2" t="s">
        <v>15</v>
      </c>
      <c r="D108" s="2" t="s">
        <v>38</v>
      </c>
      <c r="E108" s="2" t="s">
        <v>59</v>
      </c>
      <c r="F108" s="2" t="s">
        <v>50</v>
      </c>
      <c r="G108" s="2" t="s">
        <v>5</v>
      </c>
      <c r="H108" s="2" t="s">
        <v>54</v>
      </c>
      <c r="I108" s="3">
        <v>19.049985</v>
      </c>
      <c r="J108" s="3">
        <v>70.75</v>
      </c>
      <c r="K108" s="3">
        <v>11.541554</v>
      </c>
      <c r="L108" s="2">
        <v>5</v>
      </c>
      <c r="M108" s="2">
        <v>57</v>
      </c>
      <c r="N108" s="2">
        <f t="shared" si="3"/>
        <v>62</v>
      </c>
    </row>
    <row r="109" spans="1:14" x14ac:dyDescent="0.35">
      <c r="A109" s="2">
        <v>139</v>
      </c>
      <c r="B109" s="1">
        <v>44700</v>
      </c>
      <c r="C109" s="2" t="s">
        <v>14</v>
      </c>
      <c r="D109" s="2" t="s">
        <v>37</v>
      </c>
      <c r="E109" s="2" t="s">
        <v>59</v>
      </c>
      <c r="F109" s="2" t="s">
        <v>51</v>
      </c>
      <c r="G109" s="2" t="s">
        <v>5</v>
      </c>
      <c r="H109" s="2" t="s">
        <v>55</v>
      </c>
      <c r="I109" s="3">
        <v>12.337515</v>
      </c>
      <c r="J109" s="3">
        <v>82.958299999999994</v>
      </c>
      <c r="K109" s="3">
        <v>7.2502710000000006</v>
      </c>
      <c r="L109" s="2">
        <v>5</v>
      </c>
      <c r="M109" s="2">
        <v>63</v>
      </c>
      <c r="N109" s="2">
        <f t="shared" si="3"/>
        <v>68</v>
      </c>
    </row>
    <row r="110" spans="1:14" x14ac:dyDescent="0.35">
      <c r="A110" s="2">
        <v>170</v>
      </c>
      <c r="B110" s="1">
        <v>44731</v>
      </c>
      <c r="C110" s="2" t="s">
        <v>15</v>
      </c>
      <c r="D110" s="2" t="s">
        <v>38</v>
      </c>
      <c r="E110" s="2" t="s">
        <v>59</v>
      </c>
      <c r="F110" s="2" t="s">
        <v>47</v>
      </c>
      <c r="G110" s="2" t="s">
        <v>60</v>
      </c>
      <c r="H110" s="2" t="s">
        <v>55</v>
      </c>
      <c r="I110" s="3">
        <v>12.450015</v>
      </c>
      <c r="J110" s="3">
        <v>66.666700000000006</v>
      </c>
      <c r="K110" s="3">
        <v>6.8339999999999996</v>
      </c>
      <c r="L110" s="2">
        <v>5</v>
      </c>
      <c r="M110" s="2">
        <v>63</v>
      </c>
      <c r="N110" s="2">
        <f t="shared" si="3"/>
        <v>68</v>
      </c>
    </row>
    <row r="111" spans="1:14" x14ac:dyDescent="0.35">
      <c r="A111" s="2">
        <v>160</v>
      </c>
      <c r="B111" s="1">
        <v>44721</v>
      </c>
      <c r="C111" s="2" t="s">
        <v>15</v>
      </c>
      <c r="D111" s="2" t="s">
        <v>38</v>
      </c>
      <c r="E111" s="2" t="s">
        <v>59</v>
      </c>
      <c r="F111" s="2" t="s">
        <v>51</v>
      </c>
      <c r="G111" s="2" t="s">
        <v>5</v>
      </c>
      <c r="H111" s="2" t="s">
        <v>55</v>
      </c>
      <c r="I111" s="3">
        <v>13.087485000000001</v>
      </c>
      <c r="J111" s="3">
        <v>56.833299999999994</v>
      </c>
      <c r="K111" s="3">
        <v>10.042161</v>
      </c>
      <c r="L111" s="2">
        <v>5</v>
      </c>
      <c r="M111" s="2">
        <v>67</v>
      </c>
      <c r="N111" s="2">
        <f t="shared" si="3"/>
        <v>72</v>
      </c>
    </row>
    <row r="112" spans="1:14" x14ac:dyDescent="0.35">
      <c r="A112" s="2">
        <v>149</v>
      </c>
      <c r="B112" s="1">
        <v>44710</v>
      </c>
      <c r="C112" s="2" t="s">
        <v>14</v>
      </c>
      <c r="D112" s="2" t="s">
        <v>37</v>
      </c>
      <c r="E112" s="2" t="s">
        <v>59</v>
      </c>
      <c r="F112" s="2" t="s">
        <v>47</v>
      </c>
      <c r="G112" s="2" t="s">
        <v>60</v>
      </c>
      <c r="H112" s="2" t="s">
        <v>54</v>
      </c>
      <c r="I112" s="3">
        <v>22.656510000000001</v>
      </c>
      <c r="J112" s="3">
        <v>81.875</v>
      </c>
      <c r="K112" s="3">
        <v>14.333845999999999</v>
      </c>
      <c r="L112" s="2">
        <v>5</v>
      </c>
      <c r="M112" s="2">
        <v>72</v>
      </c>
      <c r="N112" s="2">
        <f t="shared" si="3"/>
        <v>77</v>
      </c>
    </row>
    <row r="113" spans="1:14" x14ac:dyDescent="0.35">
      <c r="A113" s="2">
        <v>156</v>
      </c>
      <c r="B113" s="1">
        <v>44717</v>
      </c>
      <c r="C113" s="2" t="s">
        <v>15</v>
      </c>
      <c r="D113" s="2" t="s">
        <v>38</v>
      </c>
      <c r="E113" s="2" t="s">
        <v>59</v>
      </c>
      <c r="F113" s="2" t="s">
        <v>47</v>
      </c>
      <c r="G113" s="2" t="s">
        <v>60</v>
      </c>
      <c r="H113" s="2" t="s">
        <v>55</v>
      </c>
      <c r="I113" s="3">
        <v>17.362485</v>
      </c>
      <c r="J113" s="3">
        <v>65.25</v>
      </c>
      <c r="K113" s="3">
        <v>9.292364000000001</v>
      </c>
      <c r="L113" s="2">
        <v>5</v>
      </c>
      <c r="M113" s="2">
        <v>72</v>
      </c>
      <c r="N113" s="2">
        <f t="shared" si="3"/>
        <v>77</v>
      </c>
    </row>
    <row r="114" spans="1:14" x14ac:dyDescent="0.35">
      <c r="A114" s="2">
        <v>153</v>
      </c>
      <c r="B114" s="1">
        <v>44714</v>
      </c>
      <c r="C114" s="2" t="s">
        <v>15</v>
      </c>
      <c r="D114" s="2" t="s">
        <v>38</v>
      </c>
      <c r="E114" s="2" t="s">
        <v>59</v>
      </c>
      <c r="F114" s="2" t="s">
        <v>51</v>
      </c>
      <c r="G114" s="2" t="s">
        <v>5</v>
      </c>
      <c r="H114" s="2" t="s">
        <v>54</v>
      </c>
      <c r="I114" s="3">
        <v>14.137514999999999</v>
      </c>
      <c r="J114" s="3">
        <v>30.5</v>
      </c>
      <c r="K114" s="3">
        <v>19.583229000000003</v>
      </c>
      <c r="L114" s="2">
        <v>5</v>
      </c>
      <c r="M114" s="2">
        <v>73</v>
      </c>
      <c r="N114" s="2">
        <f t="shared" si="3"/>
        <v>78</v>
      </c>
    </row>
    <row r="115" spans="1:14" x14ac:dyDescent="0.35">
      <c r="A115" s="2">
        <v>176</v>
      </c>
      <c r="B115" s="1">
        <v>44737</v>
      </c>
      <c r="C115" s="2" t="s">
        <v>15</v>
      </c>
      <c r="D115" s="2" t="s">
        <v>38</v>
      </c>
      <c r="E115" s="2" t="s">
        <v>59</v>
      </c>
      <c r="F115" s="2" t="s">
        <v>53</v>
      </c>
      <c r="G115" s="2" t="s">
        <v>60</v>
      </c>
      <c r="H115" s="2" t="s">
        <v>54</v>
      </c>
      <c r="I115" s="3">
        <v>12.365235</v>
      </c>
      <c r="J115" s="3">
        <v>48.333300000000001</v>
      </c>
      <c r="K115" s="3">
        <v>14.041257</v>
      </c>
      <c r="L115" s="2">
        <v>6</v>
      </c>
      <c r="M115" s="2">
        <v>9</v>
      </c>
      <c r="N115" s="2">
        <f t="shared" si="3"/>
        <v>15</v>
      </c>
    </row>
    <row r="116" spans="1:14" x14ac:dyDescent="0.35">
      <c r="A116" s="2">
        <v>225</v>
      </c>
      <c r="B116" s="1">
        <v>44786</v>
      </c>
      <c r="C116" s="2" t="s">
        <v>15</v>
      </c>
      <c r="D116" s="2" t="s">
        <v>40</v>
      </c>
      <c r="E116" s="2" t="s">
        <v>59</v>
      </c>
      <c r="F116" s="2" t="s">
        <v>53</v>
      </c>
      <c r="G116" s="2" t="s">
        <v>60</v>
      </c>
      <c r="H116" s="2" t="s">
        <v>55</v>
      </c>
      <c r="I116" s="3">
        <v>10.012499999999999</v>
      </c>
      <c r="J116" s="3">
        <v>72.958299999999994</v>
      </c>
      <c r="K116" s="3">
        <v>14.167418</v>
      </c>
      <c r="L116" s="2">
        <v>6</v>
      </c>
      <c r="M116" s="2">
        <v>24</v>
      </c>
      <c r="N116" s="2">
        <f t="shared" si="3"/>
        <v>30</v>
      </c>
    </row>
    <row r="117" spans="1:14" x14ac:dyDescent="0.35">
      <c r="A117" s="2">
        <v>256</v>
      </c>
      <c r="B117" s="1">
        <v>44817</v>
      </c>
      <c r="C117" s="2" t="s">
        <v>16</v>
      </c>
      <c r="D117" s="2" t="s">
        <v>41</v>
      </c>
      <c r="E117" s="2" t="s">
        <v>59</v>
      </c>
      <c r="F117" s="2" t="s">
        <v>49</v>
      </c>
      <c r="G117" s="2" t="s">
        <v>5</v>
      </c>
      <c r="H117" s="2" t="s">
        <v>54</v>
      </c>
      <c r="I117" s="3">
        <v>14.282594999999999</v>
      </c>
      <c r="J117" s="3">
        <v>71.25</v>
      </c>
      <c r="K117" s="3">
        <v>9.5008680000000005</v>
      </c>
      <c r="L117" s="2">
        <v>6</v>
      </c>
      <c r="M117" s="2">
        <v>35</v>
      </c>
      <c r="N117" s="2">
        <f t="shared" si="3"/>
        <v>41</v>
      </c>
    </row>
    <row r="118" spans="1:14" x14ac:dyDescent="0.35">
      <c r="A118" s="2">
        <v>249</v>
      </c>
      <c r="B118" s="1">
        <v>44810</v>
      </c>
      <c r="C118" s="2" t="s">
        <v>16</v>
      </c>
      <c r="D118" s="2" t="s">
        <v>41</v>
      </c>
      <c r="E118" s="2" t="s">
        <v>59</v>
      </c>
      <c r="F118" s="2" t="s">
        <v>49</v>
      </c>
      <c r="G118" s="2" t="s">
        <v>5</v>
      </c>
      <c r="H118" s="2" t="s">
        <v>56</v>
      </c>
      <c r="I118" s="3">
        <v>13.1625</v>
      </c>
      <c r="J118" s="3">
        <v>88.695700000000002</v>
      </c>
      <c r="K118" s="3">
        <v>23.044180999999998</v>
      </c>
      <c r="L118" s="2">
        <v>6</v>
      </c>
      <c r="M118" s="2">
        <v>36</v>
      </c>
      <c r="N118" s="2">
        <f t="shared" si="3"/>
        <v>42</v>
      </c>
    </row>
    <row r="119" spans="1:14" x14ac:dyDescent="0.35">
      <c r="A119" s="2">
        <v>257</v>
      </c>
      <c r="B119" s="1">
        <v>44818</v>
      </c>
      <c r="C119" s="2" t="s">
        <v>16</v>
      </c>
      <c r="D119" s="2" t="s">
        <v>41</v>
      </c>
      <c r="E119" s="2" t="s">
        <v>59</v>
      </c>
      <c r="F119" s="2" t="s">
        <v>50</v>
      </c>
      <c r="G119" s="2" t="s">
        <v>5</v>
      </c>
      <c r="H119" s="2" t="s">
        <v>54</v>
      </c>
      <c r="I119" s="3">
        <v>16.434765000000002</v>
      </c>
      <c r="J119" s="3">
        <v>69.708299999999994</v>
      </c>
      <c r="K119" s="3">
        <v>11.209099999999999</v>
      </c>
      <c r="L119" s="2">
        <v>6</v>
      </c>
      <c r="M119" s="2">
        <v>37</v>
      </c>
      <c r="N119" s="2">
        <f t="shared" si="3"/>
        <v>43</v>
      </c>
    </row>
    <row r="120" spans="1:14" x14ac:dyDescent="0.35">
      <c r="A120" s="2">
        <v>266</v>
      </c>
      <c r="B120" s="1">
        <v>44827</v>
      </c>
      <c r="C120" s="2" t="s">
        <v>16</v>
      </c>
      <c r="D120" s="2" t="s">
        <v>41</v>
      </c>
      <c r="E120" s="2" t="s">
        <v>59</v>
      </c>
      <c r="F120" s="2" t="s">
        <v>52</v>
      </c>
      <c r="G120" s="2" t="s">
        <v>5</v>
      </c>
      <c r="H120" s="2" t="s">
        <v>55</v>
      </c>
      <c r="I120" s="3">
        <v>11.887514999999999</v>
      </c>
      <c r="J120" s="3">
        <v>97.25</v>
      </c>
      <c r="K120" s="3">
        <v>5.2505689000000002</v>
      </c>
      <c r="L120" s="2">
        <v>6</v>
      </c>
      <c r="M120" s="2">
        <v>38</v>
      </c>
      <c r="N120" s="2">
        <f t="shared" si="3"/>
        <v>44</v>
      </c>
    </row>
    <row r="121" spans="1:14" x14ac:dyDescent="0.35">
      <c r="A121" s="2">
        <v>273</v>
      </c>
      <c r="B121" s="1">
        <v>44834</v>
      </c>
      <c r="C121" s="2" t="s">
        <v>16</v>
      </c>
      <c r="D121" s="2" t="s">
        <v>41</v>
      </c>
      <c r="E121" s="2" t="s">
        <v>59</v>
      </c>
      <c r="F121" s="2" t="s">
        <v>52</v>
      </c>
      <c r="G121" s="2" t="s">
        <v>5</v>
      </c>
      <c r="H121" s="2" t="s">
        <v>54</v>
      </c>
      <c r="I121" s="3">
        <v>13.5</v>
      </c>
      <c r="J121" s="3">
        <v>64.75</v>
      </c>
      <c r="K121" s="3">
        <v>13.833824999999999</v>
      </c>
      <c r="L121" s="2">
        <v>6</v>
      </c>
      <c r="M121" s="2">
        <v>38</v>
      </c>
      <c r="N121" s="2">
        <f t="shared" si="3"/>
        <v>44</v>
      </c>
    </row>
    <row r="122" spans="1:14" x14ac:dyDescent="0.35">
      <c r="A122" s="2">
        <v>270</v>
      </c>
      <c r="B122" s="1">
        <v>44831</v>
      </c>
      <c r="C122" s="2" t="s">
        <v>16</v>
      </c>
      <c r="D122" s="2" t="s">
        <v>41</v>
      </c>
      <c r="E122" s="2" t="s">
        <v>59</v>
      </c>
      <c r="F122" s="2" t="s">
        <v>49</v>
      </c>
      <c r="G122" s="2" t="s">
        <v>5</v>
      </c>
      <c r="H122" s="2" t="s">
        <v>55</v>
      </c>
      <c r="I122" s="3">
        <v>13.612499999999999</v>
      </c>
      <c r="J122" s="3">
        <v>88.541700000000006</v>
      </c>
      <c r="K122" s="3">
        <v>7.9174569999999997</v>
      </c>
      <c r="L122" s="2">
        <v>6</v>
      </c>
      <c r="M122" s="2">
        <v>42</v>
      </c>
      <c r="N122" s="2">
        <f t="shared" si="3"/>
        <v>48</v>
      </c>
    </row>
    <row r="123" spans="1:14" x14ac:dyDescent="0.35">
      <c r="A123" s="2">
        <v>168</v>
      </c>
      <c r="B123" s="1">
        <v>44729</v>
      </c>
      <c r="C123" s="2" t="s">
        <v>15</v>
      </c>
      <c r="D123" s="2" t="s">
        <v>38</v>
      </c>
      <c r="E123" s="2" t="s">
        <v>59</v>
      </c>
      <c r="F123" s="2" t="s">
        <v>52</v>
      </c>
      <c r="G123" s="2" t="s">
        <v>5</v>
      </c>
      <c r="H123" s="2" t="s">
        <v>54</v>
      </c>
      <c r="I123" s="3">
        <v>11.624984999999999</v>
      </c>
      <c r="J123" s="3">
        <v>73.583299999999994</v>
      </c>
      <c r="K123" s="3">
        <v>9.5829429999999984</v>
      </c>
      <c r="L123" s="2">
        <v>6</v>
      </c>
      <c r="M123" s="2">
        <v>49</v>
      </c>
      <c r="N123" s="2">
        <f t="shared" si="3"/>
        <v>55</v>
      </c>
    </row>
    <row r="124" spans="1:14" x14ac:dyDescent="0.35">
      <c r="A124" s="2">
        <v>103</v>
      </c>
      <c r="B124" s="1">
        <v>44664</v>
      </c>
      <c r="C124" s="2" t="s">
        <v>14</v>
      </c>
      <c r="D124" s="2" t="s">
        <v>36</v>
      </c>
      <c r="E124" s="2" t="s">
        <v>59</v>
      </c>
      <c r="F124" s="2" t="s">
        <v>50</v>
      </c>
      <c r="G124" s="2" t="s">
        <v>5</v>
      </c>
      <c r="H124" s="2" t="s">
        <v>55</v>
      </c>
      <c r="I124" s="3">
        <v>26.512515</v>
      </c>
      <c r="J124" s="3">
        <v>81.916699999999992</v>
      </c>
      <c r="K124" s="3">
        <v>16.791338999999997</v>
      </c>
      <c r="L124" s="2">
        <v>6</v>
      </c>
      <c r="M124" s="2">
        <v>52</v>
      </c>
      <c r="N124" s="2">
        <f t="shared" si="3"/>
        <v>58</v>
      </c>
    </row>
    <row r="125" spans="1:14" x14ac:dyDescent="0.35">
      <c r="A125" s="2">
        <v>124</v>
      </c>
      <c r="B125" s="1">
        <v>44685</v>
      </c>
      <c r="C125" s="2" t="s">
        <v>14</v>
      </c>
      <c r="D125" s="2" t="s">
        <v>37</v>
      </c>
      <c r="E125" s="2" t="s">
        <v>59</v>
      </c>
      <c r="F125" s="2" t="s">
        <v>50</v>
      </c>
      <c r="G125" s="2" t="s">
        <v>5</v>
      </c>
      <c r="H125" s="2" t="s">
        <v>55</v>
      </c>
      <c r="I125" s="3">
        <v>18.374984999999999</v>
      </c>
      <c r="J125" s="3">
        <v>73.708300000000008</v>
      </c>
      <c r="K125" s="3">
        <v>22.042732000000001</v>
      </c>
      <c r="L125" s="2">
        <v>6</v>
      </c>
      <c r="M125" s="2">
        <v>73</v>
      </c>
      <c r="N125" s="2">
        <f t="shared" si="3"/>
        <v>79</v>
      </c>
    </row>
    <row r="126" spans="1:14" x14ac:dyDescent="0.35">
      <c r="A126" s="2">
        <v>130</v>
      </c>
      <c r="B126" s="1">
        <v>44691</v>
      </c>
      <c r="C126" s="2" t="s">
        <v>14</v>
      </c>
      <c r="D126" s="2" t="s">
        <v>37</v>
      </c>
      <c r="E126" s="2" t="s">
        <v>59</v>
      </c>
      <c r="F126" s="2" t="s">
        <v>49</v>
      </c>
      <c r="G126" s="2" t="s">
        <v>5</v>
      </c>
      <c r="H126" s="2" t="s">
        <v>54</v>
      </c>
      <c r="I126" s="3">
        <v>18</v>
      </c>
      <c r="J126" s="3">
        <v>48.916699999999999</v>
      </c>
      <c r="K126" s="3">
        <v>7.7499569999999993</v>
      </c>
      <c r="L126" s="2">
        <v>6</v>
      </c>
      <c r="M126" s="2">
        <v>76</v>
      </c>
      <c r="N126" s="2">
        <f t="shared" si="3"/>
        <v>82</v>
      </c>
    </row>
    <row r="127" spans="1:14" x14ac:dyDescent="0.35">
      <c r="A127" s="2">
        <v>183</v>
      </c>
      <c r="B127" s="1">
        <v>44744</v>
      </c>
      <c r="C127" s="2" t="s">
        <v>15</v>
      </c>
      <c r="D127" s="2" t="s">
        <v>39</v>
      </c>
      <c r="E127" s="2" t="s">
        <v>59</v>
      </c>
      <c r="F127" s="2" t="s">
        <v>53</v>
      </c>
      <c r="G127" s="2" t="s">
        <v>60</v>
      </c>
      <c r="H127" s="2" t="s">
        <v>54</v>
      </c>
      <c r="I127" s="3">
        <v>15.487515</v>
      </c>
      <c r="J127" s="3">
        <v>44.458300000000001</v>
      </c>
      <c r="K127" s="3">
        <v>7.7091539999999998</v>
      </c>
      <c r="L127" s="2">
        <v>7</v>
      </c>
      <c r="M127" s="2">
        <v>13</v>
      </c>
      <c r="N127" s="2">
        <f t="shared" si="3"/>
        <v>20</v>
      </c>
    </row>
    <row r="128" spans="1:14" x14ac:dyDescent="0.35">
      <c r="A128" s="2">
        <v>219</v>
      </c>
      <c r="B128" s="1">
        <v>44780</v>
      </c>
      <c r="C128" s="2" t="s">
        <v>15</v>
      </c>
      <c r="D128" s="2" t="s">
        <v>40</v>
      </c>
      <c r="E128" s="2" t="s">
        <v>59</v>
      </c>
      <c r="F128" s="2" t="s">
        <v>47</v>
      </c>
      <c r="G128" s="2" t="s">
        <v>60</v>
      </c>
      <c r="H128" s="2" t="s">
        <v>54</v>
      </c>
      <c r="I128" s="3">
        <v>12.862485</v>
      </c>
      <c r="J128" s="3">
        <v>75.291699999999992</v>
      </c>
      <c r="K128" s="3">
        <v>13.499629000000001</v>
      </c>
      <c r="L128" s="2">
        <v>7</v>
      </c>
      <c r="M128" s="2">
        <v>25</v>
      </c>
      <c r="N128" s="2">
        <f t="shared" si="3"/>
        <v>32</v>
      </c>
    </row>
    <row r="129" spans="1:14" x14ac:dyDescent="0.35">
      <c r="A129" s="2">
        <v>255</v>
      </c>
      <c r="B129" s="1">
        <v>44816</v>
      </c>
      <c r="C129" s="2" t="s">
        <v>16</v>
      </c>
      <c r="D129" s="2" t="s">
        <v>41</v>
      </c>
      <c r="E129" s="2" t="s">
        <v>59</v>
      </c>
      <c r="F129" s="2" t="s">
        <v>48</v>
      </c>
      <c r="G129" s="2" t="s">
        <v>5</v>
      </c>
      <c r="H129" s="2" t="s">
        <v>54</v>
      </c>
      <c r="I129" s="3">
        <v>14.634765</v>
      </c>
      <c r="J129" s="3">
        <v>69.217399999999998</v>
      </c>
      <c r="K129" s="3">
        <v>5.9571710000000007</v>
      </c>
      <c r="L129" s="2">
        <v>7</v>
      </c>
      <c r="M129" s="2">
        <v>34</v>
      </c>
      <c r="N129" s="2">
        <f t="shared" si="3"/>
        <v>41</v>
      </c>
    </row>
    <row r="130" spans="1:14" x14ac:dyDescent="0.35">
      <c r="A130" s="2">
        <v>93</v>
      </c>
      <c r="B130" s="1">
        <v>44654</v>
      </c>
      <c r="C130" s="2" t="s">
        <v>14</v>
      </c>
      <c r="D130" s="2" t="s">
        <v>36</v>
      </c>
      <c r="E130" s="2" t="s">
        <v>59</v>
      </c>
      <c r="F130" s="2" t="s">
        <v>47</v>
      </c>
      <c r="G130" s="2" t="s">
        <v>60</v>
      </c>
      <c r="H130" s="2" t="s">
        <v>54</v>
      </c>
      <c r="I130" s="3">
        <v>17.287514999999999</v>
      </c>
      <c r="J130" s="3">
        <v>48</v>
      </c>
      <c r="K130" s="3">
        <v>12.208271000000002</v>
      </c>
      <c r="L130" s="2">
        <v>7</v>
      </c>
      <c r="M130" s="2">
        <v>65</v>
      </c>
      <c r="N130" s="2">
        <f t="shared" si="3"/>
        <v>72</v>
      </c>
    </row>
    <row r="131" spans="1:14" x14ac:dyDescent="0.35">
      <c r="A131" s="2">
        <v>121</v>
      </c>
      <c r="B131" s="1">
        <v>44682</v>
      </c>
      <c r="C131" s="2" t="s">
        <v>14</v>
      </c>
      <c r="D131" s="2" t="s">
        <v>37</v>
      </c>
      <c r="E131" s="2" t="s">
        <v>59</v>
      </c>
      <c r="F131" s="2" t="s">
        <v>47</v>
      </c>
      <c r="G131" s="2" t="s">
        <v>60</v>
      </c>
      <c r="H131" s="2" t="s">
        <v>55</v>
      </c>
      <c r="I131" s="3">
        <v>15.3</v>
      </c>
      <c r="J131" s="3">
        <v>76.208299999999994</v>
      </c>
      <c r="K131" s="3">
        <v>7.125718</v>
      </c>
      <c r="L131" s="2">
        <v>7</v>
      </c>
      <c r="M131" s="2">
        <v>66</v>
      </c>
      <c r="N131" s="2">
        <f t="shared" ref="N131:N194" si="4">L131+M131</f>
        <v>73</v>
      </c>
    </row>
    <row r="132" spans="1:14" x14ac:dyDescent="0.35">
      <c r="A132" s="2">
        <v>128</v>
      </c>
      <c r="B132" s="1">
        <v>44689</v>
      </c>
      <c r="C132" s="2" t="s">
        <v>14</v>
      </c>
      <c r="D132" s="2" t="s">
        <v>37</v>
      </c>
      <c r="E132" s="2" t="s">
        <v>59</v>
      </c>
      <c r="F132" s="2" t="s">
        <v>47</v>
      </c>
      <c r="G132" s="2" t="s">
        <v>60</v>
      </c>
      <c r="H132" s="2" t="s">
        <v>54</v>
      </c>
      <c r="I132" s="3">
        <v>17.775000000000002</v>
      </c>
      <c r="J132" s="3">
        <v>63.166699999999999</v>
      </c>
      <c r="K132" s="3">
        <v>5.0007124999999997</v>
      </c>
      <c r="L132" s="2">
        <v>7</v>
      </c>
      <c r="M132" s="2">
        <v>73</v>
      </c>
      <c r="N132" s="2">
        <f t="shared" si="4"/>
        <v>80</v>
      </c>
    </row>
    <row r="133" spans="1:14" x14ac:dyDescent="0.35">
      <c r="A133" s="2">
        <v>123</v>
      </c>
      <c r="B133" s="1">
        <v>44684</v>
      </c>
      <c r="C133" s="2" t="s">
        <v>14</v>
      </c>
      <c r="D133" s="2" t="s">
        <v>37</v>
      </c>
      <c r="E133" s="2" t="s">
        <v>59</v>
      </c>
      <c r="F133" s="2" t="s">
        <v>49</v>
      </c>
      <c r="G133" s="2" t="s">
        <v>5</v>
      </c>
      <c r="H133" s="2" t="s">
        <v>55</v>
      </c>
      <c r="I133" s="3">
        <v>16.987500000000001</v>
      </c>
      <c r="J133" s="3">
        <v>69.708299999999994</v>
      </c>
      <c r="K133" s="3">
        <v>22.958689</v>
      </c>
      <c r="L133" s="2">
        <v>7</v>
      </c>
      <c r="M133" s="2">
        <v>76</v>
      </c>
      <c r="N133" s="2">
        <f t="shared" si="4"/>
        <v>83</v>
      </c>
    </row>
    <row r="134" spans="1:14" x14ac:dyDescent="0.35">
      <c r="A134" s="2">
        <v>226</v>
      </c>
      <c r="B134" s="1">
        <v>44787</v>
      </c>
      <c r="C134" s="2" t="s">
        <v>15</v>
      </c>
      <c r="D134" s="2" t="s">
        <v>40</v>
      </c>
      <c r="E134" s="2" t="s">
        <v>59</v>
      </c>
      <c r="F134" s="2" t="s">
        <v>47</v>
      </c>
      <c r="G134" s="2" t="s">
        <v>60</v>
      </c>
      <c r="H134" s="2" t="s">
        <v>55</v>
      </c>
      <c r="I134" s="3">
        <v>14.243490000000001</v>
      </c>
      <c r="J134" s="3">
        <v>81.75</v>
      </c>
      <c r="K134" s="3">
        <v>14.916411</v>
      </c>
      <c r="L134" s="2">
        <v>8</v>
      </c>
      <c r="M134" s="2">
        <v>24</v>
      </c>
      <c r="N134" s="2">
        <f t="shared" si="4"/>
        <v>32</v>
      </c>
    </row>
    <row r="135" spans="1:14" x14ac:dyDescent="0.35">
      <c r="A135" s="2">
        <v>239</v>
      </c>
      <c r="B135" s="1">
        <v>44800</v>
      </c>
      <c r="C135" s="2" t="s">
        <v>15</v>
      </c>
      <c r="D135" s="2" t="s">
        <v>40</v>
      </c>
      <c r="E135" s="2" t="s">
        <v>59</v>
      </c>
      <c r="F135" s="2" t="s">
        <v>53</v>
      </c>
      <c r="G135" s="2" t="s">
        <v>60</v>
      </c>
      <c r="H135" s="2" t="s">
        <v>55</v>
      </c>
      <c r="I135" s="3">
        <v>12.712499999999999</v>
      </c>
      <c r="J135" s="3">
        <v>85</v>
      </c>
      <c r="K135" s="3">
        <v>25.166338999999997</v>
      </c>
      <c r="L135" s="2">
        <v>8</v>
      </c>
      <c r="M135" s="2">
        <v>31</v>
      </c>
      <c r="N135" s="2">
        <f t="shared" si="4"/>
        <v>39</v>
      </c>
    </row>
    <row r="136" spans="1:14" x14ac:dyDescent="0.35">
      <c r="A136" s="2">
        <v>262</v>
      </c>
      <c r="B136" s="1">
        <v>44823</v>
      </c>
      <c r="C136" s="2" t="s">
        <v>16</v>
      </c>
      <c r="D136" s="2" t="s">
        <v>41</v>
      </c>
      <c r="E136" s="2" t="s">
        <v>59</v>
      </c>
      <c r="F136" s="2" t="s">
        <v>48</v>
      </c>
      <c r="G136" s="2" t="s">
        <v>5</v>
      </c>
      <c r="H136" s="2" t="s">
        <v>55</v>
      </c>
      <c r="I136" s="3">
        <v>19.369575000000001</v>
      </c>
      <c r="J136" s="3">
        <v>69</v>
      </c>
      <c r="K136" s="3">
        <v>10.166713999999999</v>
      </c>
      <c r="L136" s="2">
        <v>8</v>
      </c>
      <c r="M136" s="2">
        <v>34</v>
      </c>
      <c r="N136" s="2">
        <f t="shared" si="4"/>
        <v>42</v>
      </c>
    </row>
    <row r="137" spans="1:14" x14ac:dyDescent="0.35">
      <c r="A137" s="2">
        <v>258</v>
      </c>
      <c r="B137" s="1">
        <v>44819</v>
      </c>
      <c r="C137" s="2" t="s">
        <v>16</v>
      </c>
      <c r="D137" s="2" t="s">
        <v>41</v>
      </c>
      <c r="E137" s="2" t="s">
        <v>59</v>
      </c>
      <c r="F137" s="2" t="s">
        <v>51</v>
      </c>
      <c r="G137" s="2" t="s">
        <v>5</v>
      </c>
      <c r="H137" s="2" t="s">
        <v>55</v>
      </c>
      <c r="I137" s="3">
        <v>18.675000000000001</v>
      </c>
      <c r="J137" s="3">
        <v>70.916700000000006</v>
      </c>
      <c r="K137" s="3">
        <v>18.166782000000001</v>
      </c>
      <c r="L137" s="2">
        <v>8</v>
      </c>
      <c r="M137" s="2">
        <v>46</v>
      </c>
      <c r="N137" s="2">
        <f t="shared" si="4"/>
        <v>54</v>
      </c>
    </row>
    <row r="138" spans="1:14" x14ac:dyDescent="0.35">
      <c r="A138" s="2">
        <v>162</v>
      </c>
      <c r="B138" s="1">
        <v>44723</v>
      </c>
      <c r="C138" s="2" t="s">
        <v>15</v>
      </c>
      <c r="D138" s="2" t="s">
        <v>38</v>
      </c>
      <c r="E138" s="2" t="s">
        <v>59</v>
      </c>
      <c r="F138" s="2" t="s">
        <v>53</v>
      </c>
      <c r="G138" s="2" t="s">
        <v>60</v>
      </c>
      <c r="H138" s="2" t="s">
        <v>54</v>
      </c>
      <c r="I138" s="3">
        <v>9.9374850000000006</v>
      </c>
      <c r="J138" s="3">
        <v>65.458300000000008</v>
      </c>
      <c r="K138" s="3">
        <v>10.374949999999998</v>
      </c>
      <c r="L138" s="2">
        <v>8</v>
      </c>
      <c r="M138" s="2">
        <v>47</v>
      </c>
      <c r="N138" s="2">
        <f t="shared" si="4"/>
        <v>55</v>
      </c>
    </row>
    <row r="139" spans="1:14" x14ac:dyDescent="0.35">
      <c r="A139" s="2">
        <v>278</v>
      </c>
      <c r="B139" s="1">
        <v>44839</v>
      </c>
      <c r="C139" s="2" t="s">
        <v>16</v>
      </c>
      <c r="D139" s="2" t="s">
        <v>42</v>
      </c>
      <c r="E139" s="2" t="s">
        <v>59</v>
      </c>
      <c r="F139" s="2" t="s">
        <v>50</v>
      </c>
      <c r="G139" s="2" t="s">
        <v>5</v>
      </c>
      <c r="H139" s="2" t="s">
        <v>54</v>
      </c>
      <c r="I139" s="3">
        <v>17.587485000000001</v>
      </c>
      <c r="J139" s="3">
        <v>64.791699999999992</v>
      </c>
      <c r="K139" s="3">
        <v>11.87575</v>
      </c>
      <c r="L139" s="2">
        <v>8</v>
      </c>
      <c r="M139" s="2">
        <v>48</v>
      </c>
      <c r="N139" s="2">
        <f t="shared" si="4"/>
        <v>56</v>
      </c>
    </row>
    <row r="140" spans="1:14" x14ac:dyDescent="0.35">
      <c r="A140" s="2">
        <v>291</v>
      </c>
      <c r="B140" s="1">
        <v>44852</v>
      </c>
      <c r="C140" s="2" t="s">
        <v>16</v>
      </c>
      <c r="D140" s="2" t="s">
        <v>42</v>
      </c>
      <c r="E140" s="2" t="s">
        <v>59</v>
      </c>
      <c r="F140" s="2" t="s">
        <v>49</v>
      </c>
      <c r="G140" s="2" t="s">
        <v>5</v>
      </c>
      <c r="H140" s="2" t="s">
        <v>55</v>
      </c>
      <c r="I140" s="3">
        <v>22.762484999999998</v>
      </c>
      <c r="J140" s="3">
        <v>70.166700000000006</v>
      </c>
      <c r="K140" s="3">
        <v>7.3758290000000004</v>
      </c>
      <c r="L140" s="2">
        <v>8</v>
      </c>
      <c r="M140" s="2">
        <v>56</v>
      </c>
      <c r="N140" s="2">
        <f t="shared" si="4"/>
        <v>64</v>
      </c>
    </row>
    <row r="141" spans="1:14" x14ac:dyDescent="0.35">
      <c r="A141" s="2">
        <v>69</v>
      </c>
      <c r="B141" s="1">
        <v>44630</v>
      </c>
      <c r="C141" s="2" t="s">
        <v>14</v>
      </c>
      <c r="D141" s="2" t="s">
        <v>35</v>
      </c>
      <c r="E141" s="2" t="s">
        <v>59</v>
      </c>
      <c r="F141" s="2" t="s">
        <v>51</v>
      </c>
      <c r="G141" s="2" t="s">
        <v>5</v>
      </c>
      <c r="H141" s="2" t="s">
        <v>56</v>
      </c>
      <c r="I141" s="3">
        <v>29.25</v>
      </c>
      <c r="J141" s="3">
        <v>0</v>
      </c>
      <c r="K141" s="3">
        <v>17.545759</v>
      </c>
      <c r="L141" s="2">
        <v>8</v>
      </c>
      <c r="M141" s="2">
        <v>63</v>
      </c>
      <c r="N141" s="2">
        <f t="shared" si="4"/>
        <v>71</v>
      </c>
    </row>
    <row r="142" spans="1:14" x14ac:dyDescent="0.35">
      <c r="A142" s="2">
        <v>116</v>
      </c>
      <c r="B142" s="1">
        <v>44677</v>
      </c>
      <c r="C142" s="2" t="s">
        <v>14</v>
      </c>
      <c r="D142" s="2" t="s">
        <v>36</v>
      </c>
      <c r="E142" s="2" t="s">
        <v>59</v>
      </c>
      <c r="F142" s="2" t="s">
        <v>49</v>
      </c>
      <c r="G142" s="2" t="s">
        <v>5</v>
      </c>
      <c r="H142" s="2" t="s">
        <v>54</v>
      </c>
      <c r="I142" s="3">
        <v>21.787514999999999</v>
      </c>
      <c r="J142" s="3">
        <v>72.916700000000006</v>
      </c>
      <c r="K142" s="3">
        <v>21.875500000000002</v>
      </c>
      <c r="L142" s="2">
        <v>8</v>
      </c>
      <c r="M142" s="2">
        <v>70</v>
      </c>
      <c r="N142" s="2">
        <f t="shared" si="4"/>
        <v>78</v>
      </c>
    </row>
    <row r="143" spans="1:14" x14ac:dyDescent="0.35">
      <c r="A143" s="2">
        <v>122</v>
      </c>
      <c r="B143" s="1">
        <v>44683</v>
      </c>
      <c r="C143" s="2" t="s">
        <v>14</v>
      </c>
      <c r="D143" s="2" t="s">
        <v>37</v>
      </c>
      <c r="E143" s="2" t="s">
        <v>59</v>
      </c>
      <c r="F143" s="2" t="s">
        <v>48</v>
      </c>
      <c r="G143" s="2" t="s">
        <v>5</v>
      </c>
      <c r="H143" s="2" t="s">
        <v>55</v>
      </c>
      <c r="I143" s="3">
        <v>18.037485</v>
      </c>
      <c r="J143" s="3">
        <v>73</v>
      </c>
      <c r="K143" s="3">
        <v>12.291418</v>
      </c>
      <c r="L143" s="2">
        <v>8</v>
      </c>
      <c r="M143" s="2">
        <v>73</v>
      </c>
      <c r="N143" s="2">
        <f t="shared" si="4"/>
        <v>81</v>
      </c>
    </row>
    <row r="144" spans="1:14" x14ac:dyDescent="0.35">
      <c r="A144" s="2">
        <v>129</v>
      </c>
      <c r="B144" s="1">
        <v>44690</v>
      </c>
      <c r="C144" s="2" t="s">
        <v>14</v>
      </c>
      <c r="D144" s="2" t="s">
        <v>37</v>
      </c>
      <c r="E144" s="2" t="s">
        <v>59</v>
      </c>
      <c r="F144" s="2" t="s">
        <v>48</v>
      </c>
      <c r="G144" s="2" t="s">
        <v>5</v>
      </c>
      <c r="H144" s="2" t="s">
        <v>54</v>
      </c>
      <c r="I144" s="3">
        <v>18.374984999999999</v>
      </c>
      <c r="J144" s="3">
        <v>58.875</v>
      </c>
      <c r="K144" s="3">
        <v>11.792</v>
      </c>
      <c r="L144" s="2">
        <v>8</v>
      </c>
      <c r="M144" s="2">
        <v>77</v>
      </c>
      <c r="N144" s="2">
        <f t="shared" si="4"/>
        <v>85</v>
      </c>
    </row>
    <row r="145" spans="1:14" x14ac:dyDescent="0.35">
      <c r="A145" s="2">
        <v>177</v>
      </c>
      <c r="B145" s="1">
        <v>44738</v>
      </c>
      <c r="C145" s="2" t="s">
        <v>15</v>
      </c>
      <c r="D145" s="2" t="s">
        <v>38</v>
      </c>
      <c r="E145" s="2" t="s">
        <v>59</v>
      </c>
      <c r="F145" s="2" t="s">
        <v>47</v>
      </c>
      <c r="G145" s="2" t="s">
        <v>60</v>
      </c>
      <c r="H145" s="2" t="s">
        <v>54</v>
      </c>
      <c r="I145" s="3">
        <v>14.478255000000001</v>
      </c>
      <c r="J145" s="3">
        <v>51.333300000000001</v>
      </c>
      <c r="K145" s="3">
        <v>6.3337310999999996</v>
      </c>
      <c r="L145" s="2">
        <v>9</v>
      </c>
      <c r="M145" s="2">
        <v>18</v>
      </c>
      <c r="N145" s="2">
        <f t="shared" si="4"/>
        <v>27</v>
      </c>
    </row>
    <row r="146" spans="1:14" x14ac:dyDescent="0.35">
      <c r="A146" s="2">
        <v>268</v>
      </c>
      <c r="B146" s="1">
        <v>44829</v>
      </c>
      <c r="C146" s="2" t="s">
        <v>16</v>
      </c>
      <c r="D146" s="2" t="s">
        <v>41</v>
      </c>
      <c r="E146" s="2" t="s">
        <v>59</v>
      </c>
      <c r="F146" s="2" t="s">
        <v>47</v>
      </c>
      <c r="G146" s="2" t="s">
        <v>60</v>
      </c>
      <c r="H146" s="2" t="s">
        <v>55</v>
      </c>
      <c r="I146" s="3">
        <v>11.386935000000001</v>
      </c>
      <c r="J146" s="3">
        <v>84.5</v>
      </c>
      <c r="K146" s="3">
        <v>3.3754064000000001</v>
      </c>
      <c r="L146" s="2">
        <v>9</v>
      </c>
      <c r="M146" s="2">
        <v>24</v>
      </c>
      <c r="N146" s="2">
        <f t="shared" si="4"/>
        <v>33</v>
      </c>
    </row>
    <row r="147" spans="1:14" x14ac:dyDescent="0.35">
      <c r="A147" s="2">
        <v>263</v>
      </c>
      <c r="B147" s="1">
        <v>44824</v>
      </c>
      <c r="C147" s="2" t="s">
        <v>16</v>
      </c>
      <c r="D147" s="2" t="s">
        <v>41</v>
      </c>
      <c r="E147" s="2" t="s">
        <v>59</v>
      </c>
      <c r="F147" s="2" t="s">
        <v>49</v>
      </c>
      <c r="G147" s="2" t="s">
        <v>5</v>
      </c>
      <c r="H147" s="2" t="s">
        <v>55</v>
      </c>
      <c r="I147" s="3">
        <v>19.875014999999998</v>
      </c>
      <c r="J147" s="3">
        <v>88.125</v>
      </c>
      <c r="K147" s="3">
        <v>9.041917999999999</v>
      </c>
      <c r="L147" s="2">
        <v>9</v>
      </c>
      <c r="M147" s="2">
        <v>45</v>
      </c>
      <c r="N147" s="2">
        <f t="shared" si="4"/>
        <v>54</v>
      </c>
    </row>
    <row r="148" spans="1:14" x14ac:dyDescent="0.35">
      <c r="A148" s="2">
        <v>132</v>
      </c>
      <c r="B148" s="1">
        <v>44693</v>
      </c>
      <c r="C148" s="2" t="s">
        <v>14</v>
      </c>
      <c r="D148" s="2" t="s">
        <v>37</v>
      </c>
      <c r="E148" s="2" t="s">
        <v>59</v>
      </c>
      <c r="F148" s="2" t="s">
        <v>51</v>
      </c>
      <c r="G148" s="2" t="s">
        <v>5</v>
      </c>
      <c r="H148" s="2" t="s">
        <v>54</v>
      </c>
      <c r="I148" s="3">
        <v>14.587515</v>
      </c>
      <c r="J148" s="3">
        <v>74.75</v>
      </c>
      <c r="K148" s="3">
        <v>12.707689</v>
      </c>
      <c r="L148" s="2">
        <v>9</v>
      </c>
      <c r="M148" s="2">
        <v>59</v>
      </c>
      <c r="N148" s="2">
        <f t="shared" si="4"/>
        <v>68</v>
      </c>
    </row>
    <row r="149" spans="1:14" x14ac:dyDescent="0.35">
      <c r="A149" s="2">
        <v>32</v>
      </c>
      <c r="B149" s="1">
        <v>44593</v>
      </c>
      <c r="C149" s="2" t="s">
        <v>13</v>
      </c>
      <c r="D149" s="2" t="s">
        <v>34</v>
      </c>
      <c r="E149" s="2" t="s">
        <v>59</v>
      </c>
      <c r="F149" s="2" t="s">
        <v>49</v>
      </c>
      <c r="G149" s="2" t="s">
        <v>5</v>
      </c>
      <c r="H149" s="2" t="s">
        <v>55</v>
      </c>
      <c r="I149" s="3">
        <v>32.925014999999995</v>
      </c>
      <c r="J149" s="3">
        <v>82.956500000000005</v>
      </c>
      <c r="K149" s="3">
        <v>3.5652710000000001</v>
      </c>
      <c r="L149" s="2">
        <v>9</v>
      </c>
      <c r="M149" s="2">
        <v>62</v>
      </c>
      <c r="N149" s="2">
        <f t="shared" si="4"/>
        <v>71</v>
      </c>
    </row>
    <row r="150" spans="1:14" x14ac:dyDescent="0.35">
      <c r="A150" s="2">
        <v>54</v>
      </c>
      <c r="B150" s="1">
        <v>44615</v>
      </c>
      <c r="C150" s="2" t="s">
        <v>13</v>
      </c>
      <c r="D150" s="2" t="s">
        <v>34</v>
      </c>
      <c r="E150" s="2" t="s">
        <v>59</v>
      </c>
      <c r="F150" s="2" t="s">
        <v>50</v>
      </c>
      <c r="G150" s="2" t="s">
        <v>5</v>
      </c>
      <c r="H150" s="2" t="s">
        <v>54</v>
      </c>
      <c r="I150" s="3">
        <v>30.787514999999999</v>
      </c>
      <c r="J150" s="3">
        <v>42.304299999999998</v>
      </c>
      <c r="K150" s="3">
        <v>6.3055710000000005</v>
      </c>
      <c r="L150" s="2">
        <v>9</v>
      </c>
      <c r="M150" s="2">
        <v>62</v>
      </c>
      <c r="N150" s="2">
        <f t="shared" si="4"/>
        <v>71</v>
      </c>
    </row>
    <row r="151" spans="1:14" x14ac:dyDescent="0.35">
      <c r="A151" s="2">
        <v>80</v>
      </c>
      <c r="B151" s="1">
        <v>44641</v>
      </c>
      <c r="C151" s="2" t="s">
        <v>14</v>
      </c>
      <c r="D151" s="2" t="s">
        <v>35</v>
      </c>
      <c r="E151" s="2" t="s">
        <v>59</v>
      </c>
      <c r="F151" s="2" t="s">
        <v>48</v>
      </c>
      <c r="G151" s="2" t="s">
        <v>5</v>
      </c>
      <c r="H151" s="2" t="s">
        <v>55</v>
      </c>
      <c r="I151" s="3">
        <v>25.275015</v>
      </c>
      <c r="J151" s="3">
        <v>73.739100000000008</v>
      </c>
      <c r="K151" s="3">
        <v>19.348461</v>
      </c>
      <c r="L151" s="2">
        <v>9</v>
      </c>
      <c r="M151" s="2">
        <v>64</v>
      </c>
      <c r="N151" s="2">
        <f t="shared" si="4"/>
        <v>73</v>
      </c>
    </row>
    <row r="152" spans="1:14" x14ac:dyDescent="0.35">
      <c r="A152" s="2">
        <v>75</v>
      </c>
      <c r="B152" s="1">
        <v>44636</v>
      </c>
      <c r="C152" s="2" t="s">
        <v>14</v>
      </c>
      <c r="D152" s="2" t="s">
        <v>35</v>
      </c>
      <c r="E152" s="2" t="s">
        <v>59</v>
      </c>
      <c r="F152" s="2" t="s">
        <v>50</v>
      </c>
      <c r="G152" s="2" t="s">
        <v>5</v>
      </c>
      <c r="H152" s="2" t="s">
        <v>55</v>
      </c>
      <c r="I152" s="3">
        <v>25.987500000000001</v>
      </c>
      <c r="J152" s="3">
        <v>77.652200000000008</v>
      </c>
      <c r="K152" s="3">
        <v>13.608839</v>
      </c>
      <c r="L152" s="2">
        <v>9</v>
      </c>
      <c r="M152" s="2">
        <v>65</v>
      </c>
      <c r="N152" s="2">
        <f t="shared" si="4"/>
        <v>74</v>
      </c>
    </row>
    <row r="153" spans="1:14" x14ac:dyDescent="0.35">
      <c r="A153" s="2">
        <v>118</v>
      </c>
      <c r="B153" s="1">
        <v>44679</v>
      </c>
      <c r="C153" s="2" t="s">
        <v>14</v>
      </c>
      <c r="D153" s="2" t="s">
        <v>36</v>
      </c>
      <c r="E153" s="2" t="s">
        <v>59</v>
      </c>
      <c r="F153" s="2" t="s">
        <v>51</v>
      </c>
      <c r="G153" s="2" t="s">
        <v>5</v>
      </c>
      <c r="H153" s="2" t="s">
        <v>55</v>
      </c>
      <c r="I153" s="3">
        <v>14.887485</v>
      </c>
      <c r="J153" s="3">
        <v>70.083300000000008</v>
      </c>
      <c r="K153" s="3">
        <v>21.500836000000003</v>
      </c>
      <c r="L153" s="2">
        <v>9</v>
      </c>
      <c r="M153" s="2">
        <v>66</v>
      </c>
      <c r="N153" s="2">
        <f t="shared" si="4"/>
        <v>75</v>
      </c>
    </row>
    <row r="154" spans="1:14" x14ac:dyDescent="0.35">
      <c r="A154" s="2">
        <v>125</v>
      </c>
      <c r="B154" s="1">
        <v>44686</v>
      </c>
      <c r="C154" s="2" t="s">
        <v>14</v>
      </c>
      <c r="D154" s="2" t="s">
        <v>37</v>
      </c>
      <c r="E154" s="2" t="s">
        <v>59</v>
      </c>
      <c r="F154" s="2" t="s">
        <v>51</v>
      </c>
      <c r="G154" s="2" t="s">
        <v>5</v>
      </c>
      <c r="H154" s="2" t="s">
        <v>54</v>
      </c>
      <c r="I154" s="3">
        <v>18.149985000000001</v>
      </c>
      <c r="J154" s="3">
        <v>44.416699999999999</v>
      </c>
      <c r="K154" s="3">
        <v>19.791263999999998</v>
      </c>
      <c r="L154" s="2">
        <v>9</v>
      </c>
      <c r="M154" s="2">
        <v>72</v>
      </c>
      <c r="N154" s="2">
        <f t="shared" si="4"/>
        <v>81</v>
      </c>
    </row>
    <row r="155" spans="1:14" x14ac:dyDescent="0.35">
      <c r="A155" s="2">
        <v>110</v>
      </c>
      <c r="B155" s="1">
        <v>44671</v>
      </c>
      <c r="C155" s="2" t="s">
        <v>14</v>
      </c>
      <c r="D155" s="2" t="s">
        <v>36</v>
      </c>
      <c r="E155" s="2" t="s">
        <v>59</v>
      </c>
      <c r="F155" s="2" t="s">
        <v>50</v>
      </c>
      <c r="G155" s="2" t="s">
        <v>5</v>
      </c>
      <c r="H155" s="2" t="s">
        <v>54</v>
      </c>
      <c r="I155" s="3">
        <v>21.412485</v>
      </c>
      <c r="J155" s="3">
        <v>61.416699999999999</v>
      </c>
      <c r="K155" s="3">
        <v>16.208974999999999</v>
      </c>
      <c r="L155" s="2">
        <v>9</v>
      </c>
      <c r="M155" s="2">
        <v>74</v>
      </c>
      <c r="N155" s="2">
        <f t="shared" si="4"/>
        <v>83</v>
      </c>
    </row>
    <row r="156" spans="1:14" x14ac:dyDescent="0.35">
      <c r="A156" s="2">
        <v>136</v>
      </c>
      <c r="B156" s="1">
        <v>44697</v>
      </c>
      <c r="C156" s="2" t="s">
        <v>14</v>
      </c>
      <c r="D156" s="2" t="s">
        <v>37</v>
      </c>
      <c r="E156" s="2" t="s">
        <v>59</v>
      </c>
      <c r="F156" s="2" t="s">
        <v>48</v>
      </c>
      <c r="G156" s="2" t="s">
        <v>5</v>
      </c>
      <c r="H156" s="2" t="s">
        <v>54</v>
      </c>
      <c r="I156" s="3">
        <v>23.85</v>
      </c>
      <c r="J156" s="3">
        <v>78.791699999999992</v>
      </c>
      <c r="K156" s="3">
        <v>8.5003570000000011</v>
      </c>
      <c r="L156" s="2">
        <v>9</v>
      </c>
      <c r="M156" s="2">
        <v>75</v>
      </c>
      <c r="N156" s="2">
        <f t="shared" si="4"/>
        <v>84</v>
      </c>
    </row>
    <row r="157" spans="1:14" x14ac:dyDescent="0.35">
      <c r="A157" s="2">
        <v>91</v>
      </c>
      <c r="B157" s="1">
        <v>44652</v>
      </c>
      <c r="C157" s="2" t="s">
        <v>14</v>
      </c>
      <c r="D157" s="2" t="s">
        <v>36</v>
      </c>
      <c r="E157" s="2" t="s">
        <v>59</v>
      </c>
      <c r="F157" s="2" t="s">
        <v>52</v>
      </c>
      <c r="G157" s="2" t="s">
        <v>5</v>
      </c>
      <c r="H157" s="2" t="s">
        <v>55</v>
      </c>
      <c r="I157" s="3">
        <v>18.45</v>
      </c>
      <c r="J157" s="3">
        <v>68.625</v>
      </c>
      <c r="K157" s="3">
        <v>17.333435999999999</v>
      </c>
      <c r="L157" s="2">
        <v>10</v>
      </c>
      <c r="M157" s="2">
        <v>39</v>
      </c>
      <c r="N157" s="2">
        <f t="shared" si="4"/>
        <v>49</v>
      </c>
    </row>
    <row r="158" spans="1:14" x14ac:dyDescent="0.35">
      <c r="A158" s="2">
        <v>181</v>
      </c>
      <c r="B158" s="1">
        <v>44742</v>
      </c>
      <c r="C158" s="2" t="s">
        <v>15</v>
      </c>
      <c r="D158" s="2" t="s">
        <v>38</v>
      </c>
      <c r="E158" s="2" t="s">
        <v>59</v>
      </c>
      <c r="F158" s="2" t="s">
        <v>51</v>
      </c>
      <c r="G158" s="2" t="s">
        <v>5</v>
      </c>
      <c r="H158" s="2" t="s">
        <v>54</v>
      </c>
      <c r="I158" s="3">
        <v>14.025015000000002</v>
      </c>
      <c r="J158" s="3">
        <v>43.416700000000006</v>
      </c>
      <c r="K158" s="3">
        <v>12.415904000000001</v>
      </c>
      <c r="L158" s="2">
        <v>10</v>
      </c>
      <c r="M158" s="2">
        <v>50</v>
      </c>
      <c r="N158" s="2">
        <f t="shared" si="4"/>
        <v>60</v>
      </c>
    </row>
    <row r="159" spans="1:14" x14ac:dyDescent="0.35">
      <c r="A159" s="2">
        <v>161</v>
      </c>
      <c r="B159" s="1">
        <v>44722</v>
      </c>
      <c r="C159" s="2" t="s">
        <v>15</v>
      </c>
      <c r="D159" s="2" t="s">
        <v>38</v>
      </c>
      <c r="E159" s="2" t="s">
        <v>59</v>
      </c>
      <c r="F159" s="2" t="s">
        <v>52</v>
      </c>
      <c r="G159" s="2" t="s">
        <v>5</v>
      </c>
      <c r="H159" s="2" t="s">
        <v>54</v>
      </c>
      <c r="I159" s="3">
        <v>12.375000000000002</v>
      </c>
      <c r="J159" s="3">
        <v>60.5</v>
      </c>
      <c r="K159" s="3">
        <v>9.4171180000000003</v>
      </c>
      <c r="L159" s="2">
        <v>10</v>
      </c>
      <c r="M159" s="2">
        <v>54</v>
      </c>
      <c r="N159" s="2">
        <f t="shared" si="4"/>
        <v>64</v>
      </c>
    </row>
    <row r="160" spans="1:14" x14ac:dyDescent="0.35">
      <c r="A160" s="2">
        <v>88</v>
      </c>
      <c r="B160" s="1">
        <v>44649</v>
      </c>
      <c r="C160" s="2" t="s">
        <v>14</v>
      </c>
      <c r="D160" s="2" t="s">
        <v>35</v>
      </c>
      <c r="E160" s="2" t="s">
        <v>59</v>
      </c>
      <c r="F160" s="2" t="s">
        <v>49</v>
      </c>
      <c r="G160" s="2" t="s">
        <v>5</v>
      </c>
      <c r="H160" s="2" t="s">
        <v>54</v>
      </c>
      <c r="I160" s="3">
        <v>28.574999999999999</v>
      </c>
      <c r="J160" s="3">
        <v>31.416699999999999</v>
      </c>
      <c r="K160" s="3">
        <v>15.208731999999999</v>
      </c>
      <c r="L160" s="2">
        <v>10</v>
      </c>
      <c r="M160" s="2">
        <v>69</v>
      </c>
      <c r="N160" s="2">
        <f t="shared" si="4"/>
        <v>79</v>
      </c>
    </row>
    <row r="161" spans="1:14" x14ac:dyDescent="0.35">
      <c r="A161" s="2">
        <v>334</v>
      </c>
      <c r="B161" s="1">
        <v>44895</v>
      </c>
      <c r="C161" s="2" t="s">
        <v>16</v>
      </c>
      <c r="D161" s="2" t="s">
        <v>43</v>
      </c>
      <c r="E161" s="2" t="s">
        <v>59</v>
      </c>
      <c r="F161" s="2" t="s">
        <v>50</v>
      </c>
      <c r="G161" s="2" t="s">
        <v>5</v>
      </c>
      <c r="H161" s="2" t="s">
        <v>54</v>
      </c>
      <c r="I161" s="3">
        <v>34.387515</v>
      </c>
      <c r="J161" s="3">
        <v>61.333300000000001</v>
      </c>
      <c r="K161" s="3">
        <v>18.167586</v>
      </c>
      <c r="L161" s="2">
        <v>10</v>
      </c>
      <c r="M161" s="2">
        <v>69</v>
      </c>
      <c r="N161" s="2">
        <f t="shared" si="4"/>
        <v>79</v>
      </c>
    </row>
    <row r="162" spans="1:14" x14ac:dyDescent="0.35">
      <c r="A162" s="2">
        <v>87</v>
      </c>
      <c r="B162" s="1">
        <v>44648</v>
      </c>
      <c r="C162" s="2" t="s">
        <v>14</v>
      </c>
      <c r="D162" s="2" t="s">
        <v>35</v>
      </c>
      <c r="E162" s="2" t="s">
        <v>59</v>
      </c>
      <c r="F162" s="2" t="s">
        <v>48</v>
      </c>
      <c r="G162" s="2" t="s">
        <v>5</v>
      </c>
      <c r="H162" s="2" t="s">
        <v>54</v>
      </c>
      <c r="I162" s="3">
        <v>28.650015</v>
      </c>
      <c r="J162" s="3">
        <v>30.217400000000001</v>
      </c>
      <c r="K162" s="3">
        <v>14.217668</v>
      </c>
      <c r="L162" s="2">
        <v>10</v>
      </c>
      <c r="M162" s="2">
        <v>73</v>
      </c>
      <c r="N162" s="2">
        <f t="shared" si="4"/>
        <v>83</v>
      </c>
    </row>
    <row r="163" spans="1:14" x14ac:dyDescent="0.35">
      <c r="A163" s="2">
        <v>94</v>
      </c>
      <c r="B163" s="1">
        <v>44655</v>
      </c>
      <c r="C163" s="2" t="s">
        <v>14</v>
      </c>
      <c r="D163" s="2" t="s">
        <v>36</v>
      </c>
      <c r="E163" s="2" t="s">
        <v>59</v>
      </c>
      <c r="F163" s="2" t="s">
        <v>48</v>
      </c>
      <c r="G163" s="2" t="s">
        <v>5</v>
      </c>
      <c r="H163" s="2" t="s">
        <v>54</v>
      </c>
      <c r="I163" s="3">
        <v>21.787514999999999</v>
      </c>
      <c r="J163" s="3">
        <v>42.625</v>
      </c>
      <c r="K163" s="3">
        <v>25.833257</v>
      </c>
      <c r="L163" s="2">
        <v>10</v>
      </c>
      <c r="M163" s="2">
        <v>79</v>
      </c>
      <c r="N163" s="2">
        <f t="shared" si="4"/>
        <v>89</v>
      </c>
    </row>
    <row r="164" spans="1:14" x14ac:dyDescent="0.35">
      <c r="A164" s="2">
        <v>145</v>
      </c>
      <c r="B164" s="1">
        <v>44706</v>
      </c>
      <c r="C164" s="2" t="s">
        <v>14</v>
      </c>
      <c r="D164" s="2" t="s">
        <v>37</v>
      </c>
      <c r="E164" s="2" t="s">
        <v>59</v>
      </c>
      <c r="F164" s="2" t="s">
        <v>50</v>
      </c>
      <c r="G164" s="2" t="s">
        <v>5</v>
      </c>
      <c r="H164" s="2" t="s">
        <v>54</v>
      </c>
      <c r="I164" s="3">
        <v>16.799985</v>
      </c>
      <c r="J164" s="3">
        <v>69.625</v>
      </c>
      <c r="K164" s="3">
        <v>10.333611000000001</v>
      </c>
      <c r="L164" s="2">
        <v>11</v>
      </c>
      <c r="M164" s="2">
        <v>19</v>
      </c>
      <c r="N164" s="2">
        <f t="shared" si="4"/>
        <v>30</v>
      </c>
    </row>
    <row r="165" spans="1:14" x14ac:dyDescent="0.35">
      <c r="A165" s="2">
        <v>232</v>
      </c>
      <c r="B165" s="1">
        <v>44793</v>
      </c>
      <c r="C165" s="2" t="s">
        <v>15</v>
      </c>
      <c r="D165" s="2" t="s">
        <v>40</v>
      </c>
      <c r="E165" s="2" t="s">
        <v>59</v>
      </c>
      <c r="F165" s="2" t="s">
        <v>53</v>
      </c>
      <c r="G165" s="2" t="s">
        <v>60</v>
      </c>
      <c r="H165" s="2" t="s">
        <v>54</v>
      </c>
      <c r="I165" s="3">
        <v>17.962515</v>
      </c>
      <c r="J165" s="3">
        <v>67.416699999999992</v>
      </c>
      <c r="K165" s="3">
        <v>6.9992890000000001</v>
      </c>
      <c r="L165" s="2">
        <v>11</v>
      </c>
      <c r="M165" s="2">
        <v>22</v>
      </c>
      <c r="N165" s="2">
        <f t="shared" si="4"/>
        <v>33</v>
      </c>
    </row>
    <row r="166" spans="1:14" x14ac:dyDescent="0.35">
      <c r="A166" s="2">
        <v>279</v>
      </c>
      <c r="B166" s="1">
        <v>44840</v>
      </c>
      <c r="C166" s="2" t="s">
        <v>16</v>
      </c>
      <c r="D166" s="2" t="s">
        <v>42</v>
      </c>
      <c r="E166" s="2" t="s">
        <v>59</v>
      </c>
      <c r="F166" s="2" t="s">
        <v>51</v>
      </c>
      <c r="G166" s="2" t="s">
        <v>5</v>
      </c>
      <c r="H166" s="2" t="s">
        <v>54</v>
      </c>
      <c r="I166" s="3">
        <v>19.6875</v>
      </c>
      <c r="J166" s="3">
        <v>62.083299999999994</v>
      </c>
      <c r="K166" s="3">
        <v>9.041917999999999</v>
      </c>
      <c r="L166" s="2">
        <v>11</v>
      </c>
      <c r="M166" s="2">
        <v>51</v>
      </c>
      <c r="N166" s="2">
        <f t="shared" si="4"/>
        <v>62</v>
      </c>
    </row>
    <row r="167" spans="1:14" x14ac:dyDescent="0.35">
      <c r="A167" s="2">
        <v>286</v>
      </c>
      <c r="B167" s="1">
        <v>44847</v>
      </c>
      <c r="C167" s="2" t="s">
        <v>16</v>
      </c>
      <c r="D167" s="2" t="s">
        <v>42</v>
      </c>
      <c r="E167" s="2" t="s">
        <v>59</v>
      </c>
      <c r="F167" s="2" t="s">
        <v>51</v>
      </c>
      <c r="G167" s="2" t="s">
        <v>5</v>
      </c>
      <c r="H167" s="2" t="s">
        <v>55</v>
      </c>
      <c r="I167" s="3">
        <v>21.037500000000001</v>
      </c>
      <c r="J167" s="3">
        <v>89.666700000000006</v>
      </c>
      <c r="K167" s="3">
        <v>9.4997290000000003</v>
      </c>
      <c r="L167" s="2">
        <v>11</v>
      </c>
      <c r="M167" s="2">
        <v>55</v>
      </c>
      <c r="N167" s="2">
        <f t="shared" si="4"/>
        <v>66</v>
      </c>
    </row>
    <row r="168" spans="1:14" x14ac:dyDescent="0.35">
      <c r="A168" s="2">
        <v>20</v>
      </c>
      <c r="B168" s="1">
        <v>44581</v>
      </c>
      <c r="C168" s="2" t="s">
        <v>13</v>
      </c>
      <c r="D168" s="2" t="s">
        <v>33</v>
      </c>
      <c r="E168" s="2" t="s">
        <v>59</v>
      </c>
      <c r="F168" s="2" t="s">
        <v>51</v>
      </c>
      <c r="G168" s="2" t="s">
        <v>5</v>
      </c>
      <c r="H168" s="2" t="s">
        <v>55</v>
      </c>
      <c r="I168" s="3">
        <v>38.174985</v>
      </c>
      <c r="J168" s="3">
        <v>53.833299999999994</v>
      </c>
      <c r="K168" s="3">
        <v>13.125567999999999</v>
      </c>
      <c r="L168" s="2">
        <v>11</v>
      </c>
      <c r="M168" s="2">
        <v>57</v>
      </c>
      <c r="N168" s="2">
        <f t="shared" si="4"/>
        <v>68</v>
      </c>
    </row>
    <row r="169" spans="1:14" x14ac:dyDescent="0.35">
      <c r="A169" s="2">
        <v>104</v>
      </c>
      <c r="B169" s="1">
        <v>44665</v>
      </c>
      <c r="C169" s="2" t="s">
        <v>14</v>
      </c>
      <c r="D169" s="2" t="s">
        <v>36</v>
      </c>
      <c r="E169" s="2" t="s">
        <v>59</v>
      </c>
      <c r="F169" s="2" t="s">
        <v>51</v>
      </c>
      <c r="G169" s="2" t="s">
        <v>5</v>
      </c>
      <c r="H169" s="2" t="s">
        <v>54</v>
      </c>
      <c r="I169" s="3">
        <v>24.787485</v>
      </c>
      <c r="J169" s="3">
        <v>54.041700000000006</v>
      </c>
      <c r="K169" s="3">
        <v>7.4169</v>
      </c>
      <c r="L169" s="2">
        <v>11</v>
      </c>
      <c r="M169" s="2">
        <v>62</v>
      </c>
      <c r="N169" s="2">
        <f t="shared" si="4"/>
        <v>73</v>
      </c>
    </row>
    <row r="170" spans="1:14" x14ac:dyDescent="0.35">
      <c r="A170" s="2">
        <v>349</v>
      </c>
      <c r="B170" s="1">
        <v>44910</v>
      </c>
      <c r="C170" s="2" t="s">
        <v>13</v>
      </c>
      <c r="D170" s="2" t="s">
        <v>44</v>
      </c>
      <c r="E170" s="2" t="s">
        <v>59</v>
      </c>
      <c r="F170" s="2" t="s">
        <v>51</v>
      </c>
      <c r="G170" s="2" t="s">
        <v>5</v>
      </c>
      <c r="H170" s="2" t="s">
        <v>55</v>
      </c>
      <c r="I170" s="3">
        <v>28.274985000000001</v>
      </c>
      <c r="J170" s="3">
        <v>63.416700000000006</v>
      </c>
      <c r="K170" s="3">
        <v>17.958814</v>
      </c>
      <c r="L170" s="2">
        <v>11</v>
      </c>
      <c r="M170" s="2">
        <v>64</v>
      </c>
      <c r="N170" s="2">
        <f t="shared" si="4"/>
        <v>75</v>
      </c>
    </row>
    <row r="171" spans="1:14" x14ac:dyDescent="0.35">
      <c r="A171" s="2">
        <v>23</v>
      </c>
      <c r="B171" s="1">
        <v>44584</v>
      </c>
      <c r="C171" s="2" t="s">
        <v>13</v>
      </c>
      <c r="D171" s="2" t="s">
        <v>33</v>
      </c>
      <c r="E171" s="2" t="s">
        <v>59</v>
      </c>
      <c r="F171" s="2" t="s">
        <v>47</v>
      </c>
      <c r="G171" s="2" t="s">
        <v>60</v>
      </c>
      <c r="H171" s="2" t="s">
        <v>54</v>
      </c>
      <c r="I171" s="3">
        <v>33.449984999999998</v>
      </c>
      <c r="J171" s="3">
        <v>43.652200000000001</v>
      </c>
      <c r="K171" s="3">
        <v>16.522200000000002</v>
      </c>
      <c r="L171" s="2">
        <v>11</v>
      </c>
      <c r="M171" s="2">
        <v>65</v>
      </c>
      <c r="N171" s="2">
        <f t="shared" si="4"/>
        <v>76</v>
      </c>
    </row>
    <row r="172" spans="1:14" x14ac:dyDescent="0.35">
      <c r="A172" s="2">
        <v>320</v>
      </c>
      <c r="B172" s="1">
        <v>44881</v>
      </c>
      <c r="C172" s="2" t="s">
        <v>16</v>
      </c>
      <c r="D172" s="2" t="s">
        <v>43</v>
      </c>
      <c r="E172" s="2" t="s">
        <v>59</v>
      </c>
      <c r="F172" s="2" t="s">
        <v>50</v>
      </c>
      <c r="G172" s="2" t="s">
        <v>5</v>
      </c>
      <c r="H172" s="2" t="s">
        <v>56</v>
      </c>
      <c r="I172" s="3">
        <v>24.750000000000004</v>
      </c>
      <c r="J172" s="3">
        <v>93</v>
      </c>
      <c r="K172" s="3">
        <v>9.1675430000000002</v>
      </c>
      <c r="L172" s="2">
        <v>11</v>
      </c>
      <c r="M172" s="2">
        <v>66</v>
      </c>
      <c r="N172" s="2">
        <f t="shared" si="4"/>
        <v>77</v>
      </c>
    </row>
    <row r="173" spans="1:14" x14ac:dyDescent="0.35">
      <c r="A173" s="2">
        <v>299</v>
      </c>
      <c r="B173" s="1">
        <v>44860</v>
      </c>
      <c r="C173" s="2" t="s">
        <v>16</v>
      </c>
      <c r="D173" s="2" t="s">
        <v>42</v>
      </c>
      <c r="E173" s="2" t="s">
        <v>59</v>
      </c>
      <c r="F173" s="2" t="s">
        <v>50</v>
      </c>
      <c r="G173" s="2" t="s">
        <v>5</v>
      </c>
      <c r="H173" s="2" t="s">
        <v>55</v>
      </c>
      <c r="I173" s="3">
        <v>27.9</v>
      </c>
      <c r="J173" s="3">
        <v>72.041699999999992</v>
      </c>
      <c r="K173" s="3">
        <v>9.9590139999999998</v>
      </c>
      <c r="L173" s="2">
        <v>11</v>
      </c>
      <c r="M173" s="2">
        <v>67</v>
      </c>
      <c r="N173" s="2">
        <f t="shared" si="4"/>
        <v>78</v>
      </c>
    </row>
    <row r="174" spans="1:14" x14ac:dyDescent="0.35">
      <c r="A174" s="2">
        <v>342</v>
      </c>
      <c r="B174" s="1">
        <v>44903</v>
      </c>
      <c r="C174" s="2" t="s">
        <v>13</v>
      </c>
      <c r="D174" s="2" t="s">
        <v>44</v>
      </c>
      <c r="E174" s="2" t="s">
        <v>59</v>
      </c>
      <c r="F174" s="2" t="s">
        <v>51</v>
      </c>
      <c r="G174" s="2" t="s">
        <v>5</v>
      </c>
      <c r="H174" s="2" t="s">
        <v>54</v>
      </c>
      <c r="I174" s="3">
        <v>36.374984999999995</v>
      </c>
      <c r="J174" s="3">
        <v>57.999999999999993</v>
      </c>
      <c r="K174" s="3">
        <v>16.083886</v>
      </c>
      <c r="L174" s="2">
        <v>11</v>
      </c>
      <c r="M174" s="2">
        <v>67</v>
      </c>
      <c r="N174" s="2">
        <f t="shared" si="4"/>
        <v>78</v>
      </c>
    </row>
    <row r="175" spans="1:14" x14ac:dyDescent="0.35">
      <c r="A175" s="2">
        <v>300</v>
      </c>
      <c r="B175" s="1">
        <v>44861</v>
      </c>
      <c r="C175" s="2" t="s">
        <v>16</v>
      </c>
      <c r="D175" s="2" t="s">
        <v>42</v>
      </c>
      <c r="E175" s="2" t="s">
        <v>59</v>
      </c>
      <c r="F175" s="2" t="s">
        <v>51</v>
      </c>
      <c r="G175" s="2" t="s">
        <v>5</v>
      </c>
      <c r="H175" s="2" t="s">
        <v>55</v>
      </c>
      <c r="I175" s="3">
        <v>27.787500000000001</v>
      </c>
      <c r="J175" s="3">
        <v>81.291700000000006</v>
      </c>
      <c r="K175" s="3">
        <v>13.250121</v>
      </c>
      <c r="L175" s="2">
        <v>11</v>
      </c>
      <c r="M175" s="2">
        <v>70</v>
      </c>
      <c r="N175" s="2">
        <f t="shared" si="4"/>
        <v>81</v>
      </c>
    </row>
    <row r="176" spans="1:14" x14ac:dyDescent="0.35">
      <c r="A176" s="2">
        <v>313</v>
      </c>
      <c r="B176" s="1">
        <v>44874</v>
      </c>
      <c r="C176" s="2" t="s">
        <v>16</v>
      </c>
      <c r="D176" s="2" t="s">
        <v>43</v>
      </c>
      <c r="E176" s="2" t="s">
        <v>59</v>
      </c>
      <c r="F176" s="2" t="s">
        <v>50</v>
      </c>
      <c r="G176" s="2" t="s">
        <v>5</v>
      </c>
      <c r="H176" s="2" t="s">
        <v>54</v>
      </c>
      <c r="I176" s="3">
        <v>24.412499999999998</v>
      </c>
      <c r="J176" s="3">
        <v>75.833300000000008</v>
      </c>
      <c r="K176" s="3">
        <v>4.1671186000000002</v>
      </c>
      <c r="L176" s="2">
        <v>11</v>
      </c>
      <c r="M176" s="2">
        <v>73</v>
      </c>
      <c r="N176" s="2">
        <f t="shared" si="4"/>
        <v>84</v>
      </c>
    </row>
    <row r="177" spans="1:14" x14ac:dyDescent="0.35">
      <c r="A177" s="2">
        <v>81</v>
      </c>
      <c r="B177" s="1">
        <v>44642</v>
      </c>
      <c r="C177" s="2" t="s">
        <v>14</v>
      </c>
      <c r="D177" s="2" t="s">
        <v>35</v>
      </c>
      <c r="E177" s="2" t="s">
        <v>59</v>
      </c>
      <c r="F177" s="2" t="s">
        <v>49</v>
      </c>
      <c r="G177" s="2" t="s">
        <v>5</v>
      </c>
      <c r="H177" s="2" t="s">
        <v>54</v>
      </c>
      <c r="I177" s="3">
        <v>26.774999999999999</v>
      </c>
      <c r="J177" s="3">
        <v>62.458300000000001</v>
      </c>
      <c r="K177" s="3">
        <v>15.125250000000001</v>
      </c>
      <c r="L177" s="2">
        <v>11</v>
      </c>
      <c r="M177" s="2">
        <v>76</v>
      </c>
      <c r="N177" s="2">
        <f t="shared" si="4"/>
        <v>87</v>
      </c>
    </row>
    <row r="178" spans="1:14" x14ac:dyDescent="0.35">
      <c r="A178" s="2">
        <v>82</v>
      </c>
      <c r="B178" s="1">
        <v>44643</v>
      </c>
      <c r="C178" s="2" t="s">
        <v>14</v>
      </c>
      <c r="D178" s="2" t="s">
        <v>35</v>
      </c>
      <c r="E178" s="2" t="s">
        <v>59</v>
      </c>
      <c r="F178" s="2" t="s">
        <v>50</v>
      </c>
      <c r="G178" s="2" t="s">
        <v>5</v>
      </c>
      <c r="H178" s="2" t="s">
        <v>55</v>
      </c>
      <c r="I178" s="3">
        <v>28.274985000000001</v>
      </c>
      <c r="J178" s="3">
        <v>83.956500000000005</v>
      </c>
      <c r="K178" s="3">
        <v>15.695487</v>
      </c>
      <c r="L178" s="2">
        <v>11</v>
      </c>
      <c r="M178" s="2">
        <v>85</v>
      </c>
      <c r="N178" s="2">
        <f t="shared" si="4"/>
        <v>96</v>
      </c>
    </row>
    <row r="179" spans="1:14" x14ac:dyDescent="0.35">
      <c r="A179" s="2">
        <v>95</v>
      </c>
      <c r="B179" s="1">
        <v>44656</v>
      </c>
      <c r="C179" s="2" t="s">
        <v>14</v>
      </c>
      <c r="D179" s="2" t="s">
        <v>36</v>
      </c>
      <c r="E179" s="2" t="s">
        <v>59</v>
      </c>
      <c r="F179" s="2" t="s">
        <v>49</v>
      </c>
      <c r="G179" s="2" t="s">
        <v>5</v>
      </c>
      <c r="H179" s="2" t="s">
        <v>55</v>
      </c>
      <c r="I179" s="3">
        <v>24.224984999999997</v>
      </c>
      <c r="J179" s="3">
        <v>64.208299999999994</v>
      </c>
      <c r="K179" s="3">
        <v>26.000488999999998</v>
      </c>
      <c r="L179" s="2">
        <v>11</v>
      </c>
      <c r="M179" s="2">
        <v>85</v>
      </c>
      <c r="N179" s="2">
        <f t="shared" si="4"/>
        <v>96</v>
      </c>
    </row>
    <row r="180" spans="1:14" x14ac:dyDescent="0.35">
      <c r="A180" s="2">
        <v>92</v>
      </c>
      <c r="B180" s="1">
        <v>44653</v>
      </c>
      <c r="C180" s="2" t="s">
        <v>14</v>
      </c>
      <c r="D180" s="2" t="s">
        <v>36</v>
      </c>
      <c r="E180" s="2" t="s">
        <v>59</v>
      </c>
      <c r="F180" s="2" t="s">
        <v>53</v>
      </c>
      <c r="G180" s="2" t="s">
        <v>60</v>
      </c>
      <c r="H180" s="2" t="s">
        <v>55</v>
      </c>
      <c r="I180" s="3">
        <v>16.050015000000002</v>
      </c>
      <c r="J180" s="3">
        <v>65.375</v>
      </c>
      <c r="K180" s="3">
        <v>13.208781999999999</v>
      </c>
      <c r="L180" s="2">
        <v>12</v>
      </c>
      <c r="M180" s="2">
        <v>46</v>
      </c>
      <c r="N180" s="2">
        <f t="shared" si="4"/>
        <v>58</v>
      </c>
    </row>
    <row r="181" spans="1:14" x14ac:dyDescent="0.35">
      <c r="A181" s="2">
        <v>231</v>
      </c>
      <c r="B181" s="1">
        <v>44792</v>
      </c>
      <c r="C181" s="2" t="s">
        <v>15</v>
      </c>
      <c r="D181" s="2" t="s">
        <v>40</v>
      </c>
      <c r="E181" s="2" t="s">
        <v>59</v>
      </c>
      <c r="F181" s="2" t="s">
        <v>52</v>
      </c>
      <c r="G181" s="2" t="s">
        <v>5</v>
      </c>
      <c r="H181" s="2" t="s">
        <v>55</v>
      </c>
      <c r="I181" s="3">
        <v>23.475014999999999</v>
      </c>
      <c r="J181" s="3">
        <v>72.291700000000006</v>
      </c>
      <c r="K181" s="3">
        <v>9.3336359999999985</v>
      </c>
      <c r="L181" s="2">
        <v>12</v>
      </c>
      <c r="M181" s="2">
        <v>47</v>
      </c>
      <c r="N181" s="2">
        <f t="shared" si="4"/>
        <v>59</v>
      </c>
    </row>
    <row r="182" spans="1:14" x14ac:dyDescent="0.35">
      <c r="A182" s="2">
        <v>292</v>
      </c>
      <c r="B182" s="1">
        <v>44853</v>
      </c>
      <c r="C182" s="2" t="s">
        <v>16</v>
      </c>
      <c r="D182" s="2" t="s">
        <v>42</v>
      </c>
      <c r="E182" s="2" t="s">
        <v>59</v>
      </c>
      <c r="F182" s="2" t="s">
        <v>50</v>
      </c>
      <c r="G182" s="2" t="s">
        <v>5</v>
      </c>
      <c r="H182" s="2" t="s">
        <v>56</v>
      </c>
      <c r="I182" s="3">
        <v>26.774999999999999</v>
      </c>
      <c r="J182" s="3">
        <v>89.52170000000001</v>
      </c>
      <c r="K182" s="3">
        <v>16.303712999999998</v>
      </c>
      <c r="L182" s="2">
        <v>12</v>
      </c>
      <c r="M182" s="2">
        <v>67</v>
      </c>
      <c r="N182" s="2">
        <f t="shared" si="4"/>
        <v>79</v>
      </c>
    </row>
    <row r="183" spans="1:14" x14ac:dyDescent="0.35">
      <c r="A183" s="2">
        <v>26</v>
      </c>
      <c r="B183" s="1">
        <v>44587</v>
      </c>
      <c r="C183" s="2" t="s">
        <v>13</v>
      </c>
      <c r="D183" s="2" t="s">
        <v>33</v>
      </c>
      <c r="E183" s="2" t="s">
        <v>59</v>
      </c>
      <c r="F183" s="2" t="s">
        <v>50</v>
      </c>
      <c r="G183" s="2" t="s">
        <v>5</v>
      </c>
      <c r="H183" s="2" t="s">
        <v>56</v>
      </c>
      <c r="I183" s="3">
        <v>35.062515000000005</v>
      </c>
      <c r="J183" s="3">
        <v>86.25</v>
      </c>
      <c r="K183" s="3">
        <v>19.687950000000001</v>
      </c>
      <c r="L183" s="2">
        <v>12</v>
      </c>
      <c r="M183" s="2">
        <v>76</v>
      </c>
      <c r="N183" s="2">
        <f t="shared" si="4"/>
        <v>88</v>
      </c>
    </row>
    <row r="184" spans="1:14" x14ac:dyDescent="0.35">
      <c r="A184" s="2">
        <v>307</v>
      </c>
      <c r="B184" s="1">
        <v>44868</v>
      </c>
      <c r="C184" s="2" t="s">
        <v>16</v>
      </c>
      <c r="D184" s="2" t="s">
        <v>43</v>
      </c>
      <c r="E184" s="2" t="s">
        <v>59</v>
      </c>
      <c r="F184" s="2" t="s">
        <v>51</v>
      </c>
      <c r="G184" s="2" t="s">
        <v>5</v>
      </c>
      <c r="H184" s="2" t="s">
        <v>54</v>
      </c>
      <c r="I184" s="3">
        <v>20.662514999999999</v>
      </c>
      <c r="J184" s="3">
        <v>70.208300000000008</v>
      </c>
      <c r="K184" s="3">
        <v>9.1667389999999997</v>
      </c>
      <c r="L184" s="2">
        <v>12</v>
      </c>
      <c r="M184" s="2">
        <v>76</v>
      </c>
      <c r="N184" s="2">
        <f t="shared" si="4"/>
        <v>88</v>
      </c>
    </row>
    <row r="185" spans="1:14" x14ac:dyDescent="0.35">
      <c r="A185" s="2">
        <v>305</v>
      </c>
      <c r="B185" s="1">
        <v>44866</v>
      </c>
      <c r="C185" s="2" t="s">
        <v>16</v>
      </c>
      <c r="D185" s="2" t="s">
        <v>43</v>
      </c>
      <c r="E185" s="2" t="s">
        <v>59</v>
      </c>
      <c r="F185" s="2" t="s">
        <v>49</v>
      </c>
      <c r="G185" s="2" t="s">
        <v>5</v>
      </c>
      <c r="H185" s="2" t="s">
        <v>54</v>
      </c>
      <c r="I185" s="3">
        <v>27.750014999999998</v>
      </c>
      <c r="J185" s="3">
        <v>68.375</v>
      </c>
      <c r="K185" s="3">
        <v>9.0832569999999997</v>
      </c>
      <c r="L185" s="2">
        <v>12</v>
      </c>
      <c r="M185" s="2">
        <v>77</v>
      </c>
      <c r="N185" s="2">
        <f t="shared" si="4"/>
        <v>89</v>
      </c>
    </row>
    <row r="186" spans="1:14" x14ac:dyDescent="0.35">
      <c r="A186" s="2">
        <v>135</v>
      </c>
      <c r="B186" s="1">
        <v>44696</v>
      </c>
      <c r="C186" s="2" t="s">
        <v>14</v>
      </c>
      <c r="D186" s="2" t="s">
        <v>37</v>
      </c>
      <c r="E186" s="2" t="s">
        <v>59</v>
      </c>
      <c r="F186" s="2" t="s">
        <v>47</v>
      </c>
      <c r="G186" s="2" t="s">
        <v>60</v>
      </c>
      <c r="H186" s="2" t="s">
        <v>55</v>
      </c>
      <c r="I186" s="3">
        <v>23.85</v>
      </c>
      <c r="J186" s="3">
        <v>86.708300000000008</v>
      </c>
      <c r="K186" s="3">
        <v>10.249593000000001</v>
      </c>
      <c r="L186" s="2">
        <v>12</v>
      </c>
      <c r="M186" s="2">
        <v>78</v>
      </c>
      <c r="N186" s="2">
        <f t="shared" si="4"/>
        <v>90</v>
      </c>
    </row>
    <row r="187" spans="1:14" x14ac:dyDescent="0.35">
      <c r="A187" s="2">
        <v>233</v>
      </c>
      <c r="B187" s="1">
        <v>44794</v>
      </c>
      <c r="C187" s="2" t="s">
        <v>15</v>
      </c>
      <c r="D187" s="2" t="s">
        <v>40</v>
      </c>
      <c r="E187" s="2" t="s">
        <v>59</v>
      </c>
      <c r="F187" s="2" t="s">
        <v>47</v>
      </c>
      <c r="G187" s="2" t="s">
        <v>60</v>
      </c>
      <c r="H187" s="2" t="s">
        <v>54</v>
      </c>
      <c r="I187" s="3">
        <v>12.834764999999999</v>
      </c>
      <c r="J187" s="3">
        <v>77</v>
      </c>
      <c r="K187" s="3">
        <v>16.666518</v>
      </c>
      <c r="L187" s="2">
        <v>13</v>
      </c>
      <c r="M187" s="2">
        <v>23</v>
      </c>
      <c r="N187" s="2">
        <f t="shared" si="4"/>
        <v>36</v>
      </c>
    </row>
    <row r="188" spans="1:14" x14ac:dyDescent="0.35">
      <c r="A188" s="2">
        <v>246</v>
      </c>
      <c r="B188" s="1">
        <v>44807</v>
      </c>
      <c r="C188" s="2" t="s">
        <v>16</v>
      </c>
      <c r="D188" s="2" t="s">
        <v>41</v>
      </c>
      <c r="E188" s="2" t="s">
        <v>59</v>
      </c>
      <c r="F188" s="2" t="s">
        <v>53</v>
      </c>
      <c r="G188" s="2" t="s">
        <v>60</v>
      </c>
      <c r="H188" s="2" t="s">
        <v>54</v>
      </c>
      <c r="I188" s="3">
        <v>17.287514999999999</v>
      </c>
      <c r="J188" s="3">
        <v>71.666700000000006</v>
      </c>
      <c r="K188" s="3">
        <v>12.416774999999999</v>
      </c>
      <c r="L188" s="2">
        <v>13</v>
      </c>
      <c r="M188" s="2">
        <v>29</v>
      </c>
      <c r="N188" s="2">
        <f t="shared" si="4"/>
        <v>42</v>
      </c>
    </row>
    <row r="189" spans="1:14" x14ac:dyDescent="0.35">
      <c r="A189" s="2">
        <v>182</v>
      </c>
      <c r="B189" s="1">
        <v>44743</v>
      </c>
      <c r="C189" s="2" t="s">
        <v>15</v>
      </c>
      <c r="D189" s="2" t="s">
        <v>39</v>
      </c>
      <c r="E189" s="2" t="s">
        <v>59</v>
      </c>
      <c r="F189" s="2" t="s">
        <v>52</v>
      </c>
      <c r="G189" s="2" t="s">
        <v>5</v>
      </c>
      <c r="H189" s="2" t="s">
        <v>54</v>
      </c>
      <c r="I189" s="3">
        <v>18.45</v>
      </c>
      <c r="J189" s="3">
        <v>39.625</v>
      </c>
      <c r="K189" s="3">
        <v>6.8747360000000004</v>
      </c>
      <c r="L189" s="2">
        <v>13</v>
      </c>
      <c r="M189" s="2">
        <v>36</v>
      </c>
      <c r="N189" s="2">
        <f t="shared" si="4"/>
        <v>49</v>
      </c>
    </row>
    <row r="190" spans="1:14" x14ac:dyDescent="0.35">
      <c r="A190" s="2">
        <v>287</v>
      </c>
      <c r="B190" s="1">
        <v>44848</v>
      </c>
      <c r="C190" s="2" t="s">
        <v>16</v>
      </c>
      <c r="D190" s="2" t="s">
        <v>42</v>
      </c>
      <c r="E190" s="2" t="s">
        <v>59</v>
      </c>
      <c r="F190" s="2" t="s">
        <v>52</v>
      </c>
      <c r="G190" s="2" t="s">
        <v>5</v>
      </c>
      <c r="H190" s="2" t="s">
        <v>55</v>
      </c>
      <c r="I190" s="3">
        <v>20.100014999999999</v>
      </c>
      <c r="J190" s="3">
        <v>71.625</v>
      </c>
      <c r="K190" s="3">
        <v>15.000161</v>
      </c>
      <c r="L190" s="2">
        <v>13</v>
      </c>
      <c r="M190" s="2">
        <v>50</v>
      </c>
      <c r="N190" s="2">
        <f t="shared" si="4"/>
        <v>63</v>
      </c>
    </row>
    <row r="191" spans="1:14" x14ac:dyDescent="0.35">
      <c r="A191" s="2">
        <v>290</v>
      </c>
      <c r="B191" s="1">
        <v>44851</v>
      </c>
      <c r="C191" s="2" t="s">
        <v>16</v>
      </c>
      <c r="D191" s="2" t="s">
        <v>42</v>
      </c>
      <c r="E191" s="2" t="s">
        <v>59</v>
      </c>
      <c r="F191" s="2" t="s">
        <v>48</v>
      </c>
      <c r="G191" s="2" t="s">
        <v>5</v>
      </c>
      <c r="H191" s="2" t="s">
        <v>54</v>
      </c>
      <c r="I191" s="3">
        <v>23.062499999999996</v>
      </c>
      <c r="J191" s="3">
        <v>57.958299999999994</v>
      </c>
      <c r="K191" s="3">
        <v>11.750393000000001</v>
      </c>
      <c r="L191" s="2">
        <v>13</v>
      </c>
      <c r="M191" s="2">
        <v>55</v>
      </c>
      <c r="N191" s="2">
        <f t="shared" si="4"/>
        <v>68</v>
      </c>
    </row>
    <row r="192" spans="1:14" x14ac:dyDescent="0.35">
      <c r="A192" s="2">
        <v>155</v>
      </c>
      <c r="B192" s="1">
        <v>44716</v>
      </c>
      <c r="C192" s="2" t="s">
        <v>15</v>
      </c>
      <c r="D192" s="2" t="s">
        <v>38</v>
      </c>
      <c r="E192" s="2" t="s">
        <v>59</v>
      </c>
      <c r="F192" s="2" t="s">
        <v>53</v>
      </c>
      <c r="G192" s="2" t="s">
        <v>60</v>
      </c>
      <c r="H192" s="2" t="s">
        <v>54</v>
      </c>
      <c r="I192" s="3">
        <v>14.887485</v>
      </c>
      <c r="J192" s="3">
        <v>45.625</v>
      </c>
      <c r="K192" s="3">
        <v>8.2505140000000008</v>
      </c>
      <c r="L192" s="2">
        <v>13</v>
      </c>
      <c r="M192" s="2">
        <v>57</v>
      </c>
      <c r="N192" s="2">
        <f t="shared" si="4"/>
        <v>70</v>
      </c>
    </row>
    <row r="193" spans="1:14" x14ac:dyDescent="0.35">
      <c r="A193" s="2">
        <v>19</v>
      </c>
      <c r="B193" s="1">
        <v>44580</v>
      </c>
      <c r="C193" s="2" t="s">
        <v>13</v>
      </c>
      <c r="D193" s="2" t="s">
        <v>33</v>
      </c>
      <c r="E193" s="2" t="s">
        <v>59</v>
      </c>
      <c r="F193" s="2" t="s">
        <v>50</v>
      </c>
      <c r="G193" s="2" t="s">
        <v>5</v>
      </c>
      <c r="H193" s="2" t="s">
        <v>55</v>
      </c>
      <c r="I193" s="3">
        <v>36.674999999999997</v>
      </c>
      <c r="J193" s="3">
        <v>74.173900000000003</v>
      </c>
      <c r="K193" s="3">
        <v>13.957239</v>
      </c>
      <c r="L193" s="2">
        <v>13</v>
      </c>
      <c r="M193" s="2">
        <v>63</v>
      </c>
      <c r="N193" s="2">
        <f t="shared" si="4"/>
        <v>76</v>
      </c>
    </row>
    <row r="194" spans="1:14" x14ac:dyDescent="0.35">
      <c r="A194" s="2">
        <v>47</v>
      </c>
      <c r="B194" s="1">
        <v>44608</v>
      </c>
      <c r="C194" s="2" t="s">
        <v>13</v>
      </c>
      <c r="D194" s="2" t="s">
        <v>34</v>
      </c>
      <c r="E194" s="2" t="s">
        <v>59</v>
      </c>
      <c r="F194" s="2" t="s">
        <v>50</v>
      </c>
      <c r="G194" s="2" t="s">
        <v>5</v>
      </c>
      <c r="H194" s="2" t="s">
        <v>54</v>
      </c>
      <c r="I194" s="3">
        <v>32.025015000000003</v>
      </c>
      <c r="J194" s="3">
        <v>42.347799999999999</v>
      </c>
      <c r="K194" s="3">
        <v>16.869996999999998</v>
      </c>
      <c r="L194" s="2">
        <v>13</v>
      </c>
      <c r="M194" s="2">
        <v>63</v>
      </c>
      <c r="N194" s="2">
        <f t="shared" si="4"/>
        <v>76</v>
      </c>
    </row>
    <row r="195" spans="1:14" x14ac:dyDescent="0.35">
      <c r="A195" s="2">
        <v>27</v>
      </c>
      <c r="B195" s="1">
        <v>44588</v>
      </c>
      <c r="C195" s="2" t="s">
        <v>13</v>
      </c>
      <c r="D195" s="2" t="s">
        <v>33</v>
      </c>
      <c r="E195" s="2" t="s">
        <v>59</v>
      </c>
      <c r="F195" s="2" t="s">
        <v>51</v>
      </c>
      <c r="G195" s="2" t="s">
        <v>5</v>
      </c>
      <c r="H195" s="2" t="s">
        <v>54</v>
      </c>
      <c r="I195" s="3">
        <v>37.724984999999997</v>
      </c>
      <c r="J195" s="3">
        <v>68.75</v>
      </c>
      <c r="K195" s="3">
        <v>7.6270789999999993</v>
      </c>
      <c r="L195" s="2">
        <v>13</v>
      </c>
      <c r="M195" s="2">
        <v>64</v>
      </c>
      <c r="N195" s="2">
        <f t="shared" ref="N195:N258" si="5">L195+M195</f>
        <v>77</v>
      </c>
    </row>
    <row r="196" spans="1:14" x14ac:dyDescent="0.35">
      <c r="A196" s="2">
        <v>333</v>
      </c>
      <c r="B196" s="1">
        <v>44894</v>
      </c>
      <c r="C196" s="2" t="s">
        <v>16</v>
      </c>
      <c r="D196" s="2" t="s">
        <v>43</v>
      </c>
      <c r="E196" s="2" t="s">
        <v>59</v>
      </c>
      <c r="F196" s="2" t="s">
        <v>49</v>
      </c>
      <c r="G196" s="2" t="s">
        <v>5</v>
      </c>
      <c r="H196" s="2" t="s">
        <v>55</v>
      </c>
      <c r="I196" s="3">
        <v>34.875</v>
      </c>
      <c r="J196" s="3">
        <v>83.083300000000008</v>
      </c>
      <c r="K196" s="3">
        <v>17.292164</v>
      </c>
      <c r="L196" s="2">
        <v>13</v>
      </c>
      <c r="M196" s="2">
        <v>66</v>
      </c>
      <c r="N196" s="2">
        <f t="shared" si="5"/>
        <v>79</v>
      </c>
    </row>
    <row r="197" spans="1:14" x14ac:dyDescent="0.35">
      <c r="A197" s="2">
        <v>10</v>
      </c>
      <c r="B197" s="1">
        <v>44571</v>
      </c>
      <c r="C197" s="2" t="s">
        <v>13</v>
      </c>
      <c r="D197" s="2" t="s">
        <v>33</v>
      </c>
      <c r="E197" s="2" t="s">
        <v>59</v>
      </c>
      <c r="F197" s="2" t="s">
        <v>48</v>
      </c>
      <c r="G197" s="2" t="s">
        <v>5</v>
      </c>
      <c r="H197" s="2" t="s">
        <v>54</v>
      </c>
      <c r="I197" s="3">
        <v>35.737514999999995</v>
      </c>
      <c r="J197" s="3">
        <v>48.291699999999999</v>
      </c>
      <c r="K197" s="3">
        <v>14.958888999999999</v>
      </c>
      <c r="L197" s="2">
        <v>13</v>
      </c>
      <c r="M197" s="2">
        <v>72</v>
      </c>
      <c r="N197" s="2">
        <f t="shared" si="5"/>
        <v>85</v>
      </c>
    </row>
    <row r="198" spans="1:14" x14ac:dyDescent="0.35">
      <c r="A198" s="2">
        <v>18</v>
      </c>
      <c r="B198" s="1">
        <v>44579</v>
      </c>
      <c r="C198" s="2" t="s">
        <v>13</v>
      </c>
      <c r="D198" s="2" t="s">
        <v>33</v>
      </c>
      <c r="E198" s="2" t="s">
        <v>59</v>
      </c>
      <c r="F198" s="2" t="s">
        <v>49</v>
      </c>
      <c r="G198" s="2" t="s">
        <v>5</v>
      </c>
      <c r="H198" s="2" t="s">
        <v>55</v>
      </c>
      <c r="I198" s="3">
        <v>34.574985000000005</v>
      </c>
      <c r="J198" s="3">
        <v>86.166699999999992</v>
      </c>
      <c r="K198" s="3">
        <v>9.8339249999999989</v>
      </c>
      <c r="L198" s="2">
        <v>13</v>
      </c>
      <c r="M198" s="2">
        <v>74</v>
      </c>
      <c r="N198" s="2">
        <f t="shared" si="5"/>
        <v>87</v>
      </c>
    </row>
    <row r="199" spans="1:14" x14ac:dyDescent="0.35">
      <c r="A199" s="2">
        <v>311</v>
      </c>
      <c r="B199" s="1">
        <v>44872</v>
      </c>
      <c r="C199" s="2" t="s">
        <v>16</v>
      </c>
      <c r="D199" s="2" t="s">
        <v>43</v>
      </c>
      <c r="E199" s="2" t="s">
        <v>59</v>
      </c>
      <c r="F199" s="2" t="s">
        <v>48</v>
      </c>
      <c r="G199" s="2" t="s">
        <v>5</v>
      </c>
      <c r="H199" s="2" t="s">
        <v>54</v>
      </c>
      <c r="I199" s="3">
        <v>23.962499999999999</v>
      </c>
      <c r="J199" s="3">
        <v>75.875</v>
      </c>
      <c r="K199" s="3">
        <v>3.8340749999999999</v>
      </c>
      <c r="L199" s="2">
        <v>13</v>
      </c>
      <c r="M199" s="2">
        <v>74</v>
      </c>
      <c r="N199" s="2">
        <f t="shared" si="5"/>
        <v>87</v>
      </c>
    </row>
    <row r="200" spans="1:14" x14ac:dyDescent="0.35">
      <c r="A200" s="2">
        <v>326</v>
      </c>
      <c r="B200" s="1">
        <v>44887</v>
      </c>
      <c r="C200" s="2" t="s">
        <v>16</v>
      </c>
      <c r="D200" s="2" t="s">
        <v>43</v>
      </c>
      <c r="E200" s="2" t="s">
        <v>59</v>
      </c>
      <c r="F200" s="2" t="s">
        <v>49</v>
      </c>
      <c r="G200" s="2" t="s">
        <v>5</v>
      </c>
      <c r="H200" s="2" t="s">
        <v>56</v>
      </c>
      <c r="I200" s="3">
        <v>29.700000000000003</v>
      </c>
      <c r="J200" s="3">
        <v>96.25</v>
      </c>
      <c r="K200" s="3">
        <v>7.9590639999999997</v>
      </c>
      <c r="L200" s="2">
        <v>13</v>
      </c>
      <c r="M200" s="2">
        <v>77</v>
      </c>
      <c r="N200" s="2">
        <f t="shared" si="5"/>
        <v>90</v>
      </c>
    </row>
    <row r="201" spans="1:14" x14ac:dyDescent="0.35">
      <c r="A201" s="2">
        <v>355</v>
      </c>
      <c r="B201" s="1">
        <v>44916</v>
      </c>
      <c r="C201" s="2" t="s">
        <v>13</v>
      </c>
      <c r="D201" s="2" t="s">
        <v>44</v>
      </c>
      <c r="E201" s="2" t="s">
        <v>59</v>
      </c>
      <c r="F201" s="2" t="s">
        <v>50</v>
      </c>
      <c r="G201" s="2" t="s">
        <v>5</v>
      </c>
      <c r="H201" s="2" t="s">
        <v>55</v>
      </c>
      <c r="I201" s="3">
        <v>32.999985000000002</v>
      </c>
      <c r="J201" s="3">
        <v>85.833300000000008</v>
      </c>
      <c r="K201" s="3">
        <v>14.8338</v>
      </c>
      <c r="L201" s="2">
        <v>13</v>
      </c>
      <c r="M201" s="2">
        <v>77</v>
      </c>
      <c r="N201" s="2">
        <f t="shared" si="5"/>
        <v>90</v>
      </c>
    </row>
    <row r="202" spans="1:14" x14ac:dyDescent="0.35">
      <c r="A202" s="2">
        <v>101</v>
      </c>
      <c r="B202" s="1">
        <v>44662</v>
      </c>
      <c r="C202" s="2" t="s">
        <v>14</v>
      </c>
      <c r="D202" s="2" t="s">
        <v>36</v>
      </c>
      <c r="E202" s="2" t="s">
        <v>59</v>
      </c>
      <c r="F202" s="2" t="s">
        <v>48</v>
      </c>
      <c r="G202" s="2" t="s">
        <v>5</v>
      </c>
      <c r="H202" s="2" t="s">
        <v>55</v>
      </c>
      <c r="I202" s="3">
        <v>25.500015000000001</v>
      </c>
      <c r="J202" s="3">
        <v>71.695599999999999</v>
      </c>
      <c r="K202" s="3">
        <v>21.739757999999998</v>
      </c>
      <c r="L202" s="2">
        <v>13</v>
      </c>
      <c r="M202" s="2">
        <v>78</v>
      </c>
      <c r="N202" s="2">
        <f t="shared" si="5"/>
        <v>91</v>
      </c>
    </row>
    <row r="203" spans="1:14" x14ac:dyDescent="0.35">
      <c r="A203" s="2">
        <v>339</v>
      </c>
      <c r="B203" s="1">
        <v>44900</v>
      </c>
      <c r="C203" s="2" t="s">
        <v>13</v>
      </c>
      <c r="D203" s="2" t="s">
        <v>44</v>
      </c>
      <c r="E203" s="2" t="s">
        <v>59</v>
      </c>
      <c r="F203" s="2" t="s">
        <v>48</v>
      </c>
      <c r="G203" s="2" t="s">
        <v>5</v>
      </c>
      <c r="H203" s="2" t="s">
        <v>55</v>
      </c>
      <c r="I203" s="3">
        <v>30.524984999999997</v>
      </c>
      <c r="J203" s="3">
        <v>82.708300000000008</v>
      </c>
      <c r="K203" s="3">
        <v>4.1679561000000005</v>
      </c>
      <c r="L203" s="2">
        <v>13</v>
      </c>
      <c r="M203" s="2">
        <v>78</v>
      </c>
      <c r="N203" s="2">
        <f t="shared" si="5"/>
        <v>91</v>
      </c>
    </row>
    <row r="204" spans="1:14" x14ac:dyDescent="0.35">
      <c r="A204" s="2">
        <v>46</v>
      </c>
      <c r="B204" s="1">
        <v>44607</v>
      </c>
      <c r="C204" s="2" t="s">
        <v>13</v>
      </c>
      <c r="D204" s="2" t="s">
        <v>34</v>
      </c>
      <c r="E204" s="2" t="s">
        <v>59</v>
      </c>
      <c r="F204" s="2" t="s">
        <v>49</v>
      </c>
      <c r="G204" s="2" t="s">
        <v>5</v>
      </c>
      <c r="H204" s="2" t="s">
        <v>54</v>
      </c>
      <c r="I204" s="3">
        <v>32.549985</v>
      </c>
      <c r="J204" s="3">
        <v>31.434800000000003</v>
      </c>
      <c r="K204" s="3">
        <v>19.522058000000001</v>
      </c>
      <c r="L204" s="2">
        <v>13</v>
      </c>
      <c r="M204" s="2">
        <v>81</v>
      </c>
      <c r="N204" s="2">
        <f t="shared" si="5"/>
        <v>94</v>
      </c>
    </row>
    <row r="205" spans="1:14" x14ac:dyDescent="0.35">
      <c r="A205" s="2">
        <v>108</v>
      </c>
      <c r="B205" s="1">
        <v>44669</v>
      </c>
      <c r="C205" s="2" t="s">
        <v>14</v>
      </c>
      <c r="D205" s="2" t="s">
        <v>36</v>
      </c>
      <c r="E205" s="2" t="s">
        <v>59</v>
      </c>
      <c r="F205" s="2" t="s">
        <v>48</v>
      </c>
      <c r="G205" s="2" t="s">
        <v>5</v>
      </c>
      <c r="H205" s="2" t="s">
        <v>54</v>
      </c>
      <c r="I205" s="3">
        <v>23.962499999999999</v>
      </c>
      <c r="J205" s="3">
        <v>54.25</v>
      </c>
      <c r="K205" s="3">
        <v>10.958988999999999</v>
      </c>
      <c r="L205" s="2">
        <v>13</v>
      </c>
      <c r="M205" s="2">
        <v>82</v>
      </c>
      <c r="N205" s="2">
        <f t="shared" si="5"/>
        <v>95</v>
      </c>
    </row>
    <row r="206" spans="1:14" x14ac:dyDescent="0.35">
      <c r="A206" s="2">
        <v>74</v>
      </c>
      <c r="B206" s="1">
        <v>44635</v>
      </c>
      <c r="C206" s="2" t="s">
        <v>14</v>
      </c>
      <c r="D206" s="2" t="s">
        <v>35</v>
      </c>
      <c r="E206" s="2" t="s">
        <v>59</v>
      </c>
      <c r="F206" s="2" t="s">
        <v>49</v>
      </c>
      <c r="G206" s="2" t="s">
        <v>5</v>
      </c>
      <c r="H206" s="2" t="s">
        <v>55</v>
      </c>
      <c r="I206" s="3">
        <v>30.299985</v>
      </c>
      <c r="J206" s="3">
        <v>65.565200000000004</v>
      </c>
      <c r="K206" s="3">
        <v>12.348703</v>
      </c>
      <c r="L206" s="2">
        <v>13</v>
      </c>
      <c r="M206" s="2">
        <v>83</v>
      </c>
      <c r="N206" s="2">
        <f t="shared" si="5"/>
        <v>96</v>
      </c>
    </row>
    <row r="207" spans="1:14" x14ac:dyDescent="0.35">
      <c r="A207" s="2">
        <v>96</v>
      </c>
      <c r="B207" s="1">
        <v>44657</v>
      </c>
      <c r="C207" s="2" t="s">
        <v>14</v>
      </c>
      <c r="D207" s="2" t="s">
        <v>36</v>
      </c>
      <c r="E207" s="2" t="s">
        <v>59</v>
      </c>
      <c r="F207" s="2" t="s">
        <v>50</v>
      </c>
      <c r="G207" s="2" t="s">
        <v>5</v>
      </c>
      <c r="H207" s="2" t="s">
        <v>54</v>
      </c>
      <c r="I207" s="3">
        <v>22.237515000000002</v>
      </c>
      <c r="J207" s="3">
        <v>47.083300000000001</v>
      </c>
      <c r="K207" s="3">
        <v>17.625221</v>
      </c>
      <c r="L207" s="2">
        <v>13</v>
      </c>
      <c r="M207" s="2">
        <v>83</v>
      </c>
      <c r="N207" s="2">
        <f t="shared" si="5"/>
        <v>96</v>
      </c>
    </row>
    <row r="208" spans="1:14" x14ac:dyDescent="0.35">
      <c r="A208" s="2">
        <v>89</v>
      </c>
      <c r="B208" s="1">
        <v>44650</v>
      </c>
      <c r="C208" s="2" t="s">
        <v>14</v>
      </c>
      <c r="D208" s="2" t="s">
        <v>35</v>
      </c>
      <c r="E208" s="2" t="s">
        <v>59</v>
      </c>
      <c r="F208" s="2" t="s">
        <v>50</v>
      </c>
      <c r="G208" s="2" t="s">
        <v>5</v>
      </c>
      <c r="H208" s="2" t="s">
        <v>55</v>
      </c>
      <c r="I208" s="3">
        <v>27.750014999999998</v>
      </c>
      <c r="J208" s="3">
        <v>64.666700000000006</v>
      </c>
      <c r="K208" s="3">
        <v>11.583495999999998</v>
      </c>
      <c r="L208" s="2">
        <v>13</v>
      </c>
      <c r="M208" s="2">
        <v>84</v>
      </c>
      <c r="N208" s="2">
        <f t="shared" si="5"/>
        <v>97</v>
      </c>
    </row>
    <row r="209" spans="1:14" x14ac:dyDescent="0.35">
      <c r="A209" s="2">
        <v>253</v>
      </c>
      <c r="B209" s="1">
        <v>44814</v>
      </c>
      <c r="C209" s="2" t="s">
        <v>16</v>
      </c>
      <c r="D209" s="2" t="s">
        <v>41</v>
      </c>
      <c r="E209" s="2" t="s">
        <v>59</v>
      </c>
      <c r="F209" s="2" t="s">
        <v>53</v>
      </c>
      <c r="G209" s="2" t="s">
        <v>60</v>
      </c>
      <c r="H209" s="2" t="s">
        <v>54</v>
      </c>
      <c r="I209" s="3">
        <v>14.812514999999999</v>
      </c>
      <c r="J209" s="3">
        <v>75.375</v>
      </c>
      <c r="K209" s="3">
        <v>10.291736</v>
      </c>
      <c r="L209" s="2">
        <v>14</v>
      </c>
      <c r="M209" s="2">
        <v>28</v>
      </c>
      <c r="N209" s="2">
        <f t="shared" si="5"/>
        <v>42</v>
      </c>
    </row>
    <row r="210" spans="1:14" x14ac:dyDescent="0.35">
      <c r="A210" s="2">
        <v>240</v>
      </c>
      <c r="B210" s="1">
        <v>44801</v>
      </c>
      <c r="C210" s="2" t="s">
        <v>15</v>
      </c>
      <c r="D210" s="2" t="s">
        <v>40</v>
      </c>
      <c r="E210" s="2" t="s">
        <v>59</v>
      </c>
      <c r="F210" s="2" t="s">
        <v>47</v>
      </c>
      <c r="G210" s="2" t="s">
        <v>60</v>
      </c>
      <c r="H210" s="2" t="s">
        <v>54</v>
      </c>
      <c r="I210" s="3">
        <v>15.45651</v>
      </c>
      <c r="J210" s="3">
        <v>56.176499999999997</v>
      </c>
      <c r="K210" s="3">
        <v>20.412153</v>
      </c>
      <c r="L210" s="2">
        <v>14</v>
      </c>
      <c r="M210" s="2">
        <v>34</v>
      </c>
      <c r="N210" s="2">
        <f t="shared" si="5"/>
        <v>48</v>
      </c>
    </row>
    <row r="211" spans="1:14" x14ac:dyDescent="0.35">
      <c r="A211" s="2">
        <v>154</v>
      </c>
      <c r="B211" s="1">
        <v>44715</v>
      </c>
      <c r="C211" s="2" t="s">
        <v>15</v>
      </c>
      <c r="D211" s="2" t="s">
        <v>38</v>
      </c>
      <c r="E211" s="2" t="s">
        <v>59</v>
      </c>
      <c r="F211" s="2" t="s">
        <v>52</v>
      </c>
      <c r="G211" s="2" t="s">
        <v>5</v>
      </c>
      <c r="H211" s="2" t="s">
        <v>54</v>
      </c>
      <c r="I211" s="3">
        <v>13.462515000000002</v>
      </c>
      <c r="J211" s="3">
        <v>35.416699999999999</v>
      </c>
      <c r="K211" s="3">
        <v>16.959106999999999</v>
      </c>
      <c r="L211" s="2">
        <v>14</v>
      </c>
      <c r="M211" s="2">
        <v>58</v>
      </c>
      <c r="N211" s="2">
        <f t="shared" si="5"/>
        <v>72</v>
      </c>
    </row>
    <row r="212" spans="1:14" x14ac:dyDescent="0.35">
      <c r="A212" s="2">
        <v>353</v>
      </c>
      <c r="B212" s="1">
        <v>44914</v>
      </c>
      <c r="C212" s="2" t="s">
        <v>13</v>
      </c>
      <c r="D212" s="2" t="s">
        <v>44</v>
      </c>
      <c r="E212" s="2" t="s">
        <v>59</v>
      </c>
      <c r="F212" s="2" t="s">
        <v>48</v>
      </c>
      <c r="G212" s="2" t="s">
        <v>5</v>
      </c>
      <c r="H212" s="2" t="s">
        <v>54</v>
      </c>
      <c r="I212" s="3">
        <v>28.574999999999999</v>
      </c>
      <c r="J212" s="3">
        <v>63.749999999999993</v>
      </c>
      <c r="K212" s="3">
        <v>11.584031999999999</v>
      </c>
      <c r="L212" s="2">
        <v>14</v>
      </c>
      <c r="M212" s="2">
        <v>66</v>
      </c>
      <c r="N212" s="2">
        <f t="shared" si="5"/>
        <v>80</v>
      </c>
    </row>
    <row r="213" spans="1:14" x14ac:dyDescent="0.35">
      <c r="A213" s="2">
        <v>6</v>
      </c>
      <c r="B213" s="1">
        <v>44567</v>
      </c>
      <c r="C213" s="2" t="s">
        <v>13</v>
      </c>
      <c r="D213" s="2" t="s">
        <v>33</v>
      </c>
      <c r="E213" s="2" t="s">
        <v>59</v>
      </c>
      <c r="F213" s="2" t="s">
        <v>51</v>
      </c>
      <c r="G213" s="2" t="s">
        <v>5</v>
      </c>
      <c r="H213" s="2" t="s">
        <v>54</v>
      </c>
      <c r="I213" s="3">
        <v>31.912514999999999</v>
      </c>
      <c r="J213" s="3">
        <v>51.826099999999997</v>
      </c>
      <c r="K213" s="3">
        <v>6.0008683999999999</v>
      </c>
      <c r="L213" s="2">
        <v>14</v>
      </c>
      <c r="M213" s="2">
        <v>67</v>
      </c>
      <c r="N213" s="2">
        <f t="shared" si="5"/>
        <v>81</v>
      </c>
    </row>
    <row r="214" spans="1:14" x14ac:dyDescent="0.35">
      <c r="A214" s="2">
        <v>9</v>
      </c>
      <c r="B214" s="1">
        <v>44570</v>
      </c>
      <c r="C214" s="2" t="s">
        <v>13</v>
      </c>
      <c r="D214" s="2" t="s">
        <v>33</v>
      </c>
      <c r="E214" s="2" t="s">
        <v>59</v>
      </c>
      <c r="F214" s="2" t="s">
        <v>47</v>
      </c>
      <c r="G214" s="2" t="s">
        <v>60</v>
      </c>
      <c r="H214" s="2" t="s">
        <v>54</v>
      </c>
      <c r="I214" s="3">
        <v>34.3125</v>
      </c>
      <c r="J214" s="3">
        <v>43.416700000000006</v>
      </c>
      <c r="K214" s="3">
        <v>24.25065</v>
      </c>
      <c r="L214" s="2">
        <v>14</v>
      </c>
      <c r="M214" s="2">
        <v>67</v>
      </c>
      <c r="N214" s="2">
        <f t="shared" si="5"/>
        <v>81</v>
      </c>
    </row>
    <row r="215" spans="1:14" x14ac:dyDescent="0.35">
      <c r="A215" s="2">
        <v>315</v>
      </c>
      <c r="B215" s="1">
        <v>44876</v>
      </c>
      <c r="C215" s="2" t="s">
        <v>16</v>
      </c>
      <c r="D215" s="2" t="s">
        <v>43</v>
      </c>
      <c r="E215" s="2" t="s">
        <v>3</v>
      </c>
      <c r="F215" s="2" t="s">
        <v>52</v>
      </c>
      <c r="G215" s="2" t="s">
        <v>60</v>
      </c>
      <c r="H215" s="2" t="s">
        <v>54</v>
      </c>
      <c r="I215" s="3">
        <v>23.062499999999996</v>
      </c>
      <c r="J215" s="3">
        <v>44.625</v>
      </c>
      <c r="K215" s="3">
        <v>21.083224999999999</v>
      </c>
      <c r="L215" s="2">
        <v>14</v>
      </c>
      <c r="M215" s="2">
        <v>68</v>
      </c>
      <c r="N215" s="2">
        <f t="shared" si="5"/>
        <v>82</v>
      </c>
    </row>
    <row r="216" spans="1:14" x14ac:dyDescent="0.35">
      <c r="A216" s="2">
        <v>319</v>
      </c>
      <c r="B216" s="1">
        <v>44880</v>
      </c>
      <c r="C216" s="2" t="s">
        <v>16</v>
      </c>
      <c r="D216" s="2" t="s">
        <v>43</v>
      </c>
      <c r="E216" s="2" t="s">
        <v>59</v>
      </c>
      <c r="F216" s="2" t="s">
        <v>49</v>
      </c>
      <c r="G216" s="2" t="s">
        <v>5</v>
      </c>
      <c r="H216" s="2" t="s">
        <v>55</v>
      </c>
      <c r="I216" s="3">
        <v>25.275015</v>
      </c>
      <c r="J216" s="3">
        <v>68.875</v>
      </c>
      <c r="K216" s="3">
        <v>13.375411</v>
      </c>
      <c r="L216" s="2">
        <v>14</v>
      </c>
      <c r="M216" s="2">
        <v>69</v>
      </c>
      <c r="N216" s="2">
        <f t="shared" si="5"/>
        <v>83</v>
      </c>
    </row>
    <row r="217" spans="1:14" x14ac:dyDescent="0.35">
      <c r="A217" s="2">
        <v>114</v>
      </c>
      <c r="B217" s="1">
        <v>44675</v>
      </c>
      <c r="C217" s="2" t="s">
        <v>14</v>
      </c>
      <c r="D217" s="2" t="s">
        <v>36</v>
      </c>
      <c r="E217" s="2" t="s">
        <v>59</v>
      </c>
      <c r="F217" s="2" t="s">
        <v>47</v>
      </c>
      <c r="G217" s="2" t="s">
        <v>60</v>
      </c>
      <c r="H217" s="2" t="s">
        <v>55</v>
      </c>
      <c r="I217" s="3">
        <v>20.849985</v>
      </c>
      <c r="J217" s="3">
        <v>81.083300000000008</v>
      </c>
      <c r="K217" s="3">
        <v>12.875725000000001</v>
      </c>
      <c r="L217" s="2">
        <v>14</v>
      </c>
      <c r="M217" s="2">
        <v>70</v>
      </c>
      <c r="N217" s="2">
        <f t="shared" si="5"/>
        <v>84</v>
      </c>
    </row>
    <row r="218" spans="1:14" x14ac:dyDescent="0.35">
      <c r="A218" s="2">
        <v>111</v>
      </c>
      <c r="B218" s="1">
        <v>44672</v>
      </c>
      <c r="C218" s="2" t="s">
        <v>14</v>
      </c>
      <c r="D218" s="2" t="s">
        <v>36</v>
      </c>
      <c r="E218" s="2" t="s">
        <v>59</v>
      </c>
      <c r="F218" s="2" t="s">
        <v>51</v>
      </c>
      <c r="G218" s="2" t="s">
        <v>5</v>
      </c>
      <c r="H218" s="2" t="s">
        <v>54</v>
      </c>
      <c r="I218" s="3">
        <v>19.237500000000001</v>
      </c>
      <c r="J218" s="3">
        <v>40.708299999999994</v>
      </c>
      <c r="K218" s="3">
        <v>21.792286000000001</v>
      </c>
      <c r="L218" s="2">
        <v>14</v>
      </c>
      <c r="M218" s="2">
        <v>73</v>
      </c>
      <c r="N218" s="2">
        <f t="shared" si="5"/>
        <v>87</v>
      </c>
    </row>
    <row r="219" spans="1:14" x14ac:dyDescent="0.35">
      <c r="A219" s="2">
        <v>298</v>
      </c>
      <c r="B219" s="1">
        <v>44859</v>
      </c>
      <c r="C219" s="2" t="s">
        <v>16</v>
      </c>
      <c r="D219" s="2" t="s">
        <v>42</v>
      </c>
      <c r="E219" s="2" t="s">
        <v>59</v>
      </c>
      <c r="F219" s="2" t="s">
        <v>49</v>
      </c>
      <c r="G219" s="2" t="s">
        <v>5</v>
      </c>
      <c r="H219" s="2" t="s">
        <v>54</v>
      </c>
      <c r="I219" s="3">
        <v>28.425014999999998</v>
      </c>
      <c r="J219" s="3">
        <v>62.291700000000006</v>
      </c>
      <c r="K219" s="3">
        <v>11.166086</v>
      </c>
      <c r="L219" s="2">
        <v>14</v>
      </c>
      <c r="M219" s="2">
        <v>74</v>
      </c>
      <c r="N219" s="2">
        <f t="shared" si="5"/>
        <v>88</v>
      </c>
    </row>
    <row r="220" spans="1:14" x14ac:dyDescent="0.35">
      <c r="A220" s="2">
        <v>341</v>
      </c>
      <c r="B220" s="1">
        <v>44902</v>
      </c>
      <c r="C220" s="2" t="s">
        <v>13</v>
      </c>
      <c r="D220" s="2" t="s">
        <v>44</v>
      </c>
      <c r="E220" s="2" t="s">
        <v>59</v>
      </c>
      <c r="F220" s="2" t="s">
        <v>50</v>
      </c>
      <c r="G220" s="2" t="s">
        <v>5</v>
      </c>
      <c r="H220" s="2" t="s">
        <v>56</v>
      </c>
      <c r="I220" s="3">
        <v>34.912484999999997</v>
      </c>
      <c r="J220" s="3">
        <v>97.041699999999992</v>
      </c>
      <c r="K220" s="3">
        <v>17.833725000000001</v>
      </c>
      <c r="L220" s="2">
        <v>14</v>
      </c>
      <c r="M220" s="2">
        <v>75</v>
      </c>
      <c r="N220" s="2">
        <f t="shared" si="5"/>
        <v>89</v>
      </c>
    </row>
    <row r="221" spans="1:14" x14ac:dyDescent="0.35">
      <c r="A221" s="2">
        <v>79</v>
      </c>
      <c r="B221" s="1">
        <v>44640</v>
      </c>
      <c r="C221" s="2" t="s">
        <v>14</v>
      </c>
      <c r="D221" s="2" t="s">
        <v>35</v>
      </c>
      <c r="E221" s="2" t="s">
        <v>59</v>
      </c>
      <c r="F221" s="2" t="s">
        <v>47</v>
      </c>
      <c r="G221" s="2" t="s">
        <v>60</v>
      </c>
      <c r="H221" s="2" t="s">
        <v>54</v>
      </c>
      <c r="I221" s="3">
        <v>24.712515</v>
      </c>
      <c r="J221" s="3">
        <v>47.375</v>
      </c>
      <c r="K221" s="3">
        <v>13.917306999999999</v>
      </c>
      <c r="L221" s="2">
        <v>14</v>
      </c>
      <c r="M221" s="2">
        <v>77</v>
      </c>
      <c r="N221" s="2">
        <f t="shared" si="5"/>
        <v>91</v>
      </c>
    </row>
    <row r="222" spans="1:14" x14ac:dyDescent="0.35">
      <c r="A222" s="2">
        <v>107</v>
      </c>
      <c r="B222" s="1">
        <v>44668</v>
      </c>
      <c r="C222" s="2" t="s">
        <v>14</v>
      </c>
      <c r="D222" s="2" t="s">
        <v>36</v>
      </c>
      <c r="E222" s="2" t="s">
        <v>59</v>
      </c>
      <c r="F222" s="2" t="s">
        <v>47</v>
      </c>
      <c r="G222" s="2" t="s">
        <v>60</v>
      </c>
      <c r="H222" s="2" t="s">
        <v>54</v>
      </c>
      <c r="I222" s="3">
        <v>24.037514999999999</v>
      </c>
      <c r="J222" s="3">
        <v>47.958300000000001</v>
      </c>
      <c r="K222" s="3">
        <v>20.334232</v>
      </c>
      <c r="L222" s="2">
        <v>14</v>
      </c>
      <c r="M222" s="2">
        <v>77</v>
      </c>
      <c r="N222" s="2">
        <f t="shared" si="5"/>
        <v>91</v>
      </c>
    </row>
    <row r="223" spans="1:14" x14ac:dyDescent="0.35">
      <c r="A223" s="2">
        <v>86</v>
      </c>
      <c r="B223" s="1">
        <v>44647</v>
      </c>
      <c r="C223" s="2" t="s">
        <v>14</v>
      </c>
      <c r="D223" s="2" t="s">
        <v>35</v>
      </c>
      <c r="E223" s="2" t="s">
        <v>59</v>
      </c>
      <c r="F223" s="2" t="s">
        <v>47</v>
      </c>
      <c r="G223" s="2" t="s">
        <v>60</v>
      </c>
      <c r="H223" s="2" t="s">
        <v>55</v>
      </c>
      <c r="I223" s="3">
        <v>29.212515000000003</v>
      </c>
      <c r="J223" s="3">
        <v>49.391300000000001</v>
      </c>
      <c r="K223" s="3">
        <v>12.348099999999999</v>
      </c>
      <c r="L223" s="2">
        <v>14</v>
      </c>
      <c r="M223" s="2">
        <v>79</v>
      </c>
      <c r="N223" s="2">
        <f t="shared" si="5"/>
        <v>93</v>
      </c>
    </row>
    <row r="224" spans="1:14" x14ac:dyDescent="0.35">
      <c r="A224" s="2">
        <v>45</v>
      </c>
      <c r="B224" s="1">
        <v>44606</v>
      </c>
      <c r="C224" s="2" t="s">
        <v>13</v>
      </c>
      <c r="D224" s="2" t="s">
        <v>34</v>
      </c>
      <c r="E224" s="2" t="s">
        <v>59</v>
      </c>
      <c r="F224" s="2" t="s">
        <v>48</v>
      </c>
      <c r="G224" s="2" t="s">
        <v>5</v>
      </c>
      <c r="H224" s="2" t="s">
        <v>54</v>
      </c>
      <c r="I224" s="3">
        <v>31.537485</v>
      </c>
      <c r="J224" s="3">
        <v>37.583299999999994</v>
      </c>
      <c r="K224" s="3">
        <v>27.999835999999998</v>
      </c>
      <c r="L224" s="2">
        <v>14</v>
      </c>
      <c r="M224" s="2">
        <v>80</v>
      </c>
      <c r="N224" s="2">
        <f t="shared" si="5"/>
        <v>94</v>
      </c>
    </row>
    <row r="225" spans="1:14" x14ac:dyDescent="0.35">
      <c r="A225" s="2">
        <v>72</v>
      </c>
      <c r="B225" s="1">
        <v>44633</v>
      </c>
      <c r="C225" s="2" t="s">
        <v>14</v>
      </c>
      <c r="D225" s="2" t="s">
        <v>35</v>
      </c>
      <c r="E225" s="2" t="s">
        <v>59</v>
      </c>
      <c r="F225" s="2" t="s">
        <v>47</v>
      </c>
      <c r="G225" s="2" t="s">
        <v>60</v>
      </c>
      <c r="H225" s="2" t="s">
        <v>54</v>
      </c>
      <c r="I225" s="3">
        <v>28.995660000000001</v>
      </c>
      <c r="J225" s="3">
        <v>52.739100000000008</v>
      </c>
      <c r="K225" s="3">
        <v>18.130468</v>
      </c>
      <c r="L225" s="2">
        <v>14</v>
      </c>
      <c r="M225" s="2">
        <v>80</v>
      </c>
      <c r="N225" s="2">
        <f t="shared" si="5"/>
        <v>94</v>
      </c>
    </row>
    <row r="226" spans="1:14" x14ac:dyDescent="0.35">
      <c r="A226" s="2">
        <v>115</v>
      </c>
      <c r="B226" s="1">
        <v>44676</v>
      </c>
      <c r="C226" s="2" t="s">
        <v>14</v>
      </c>
      <c r="D226" s="2" t="s">
        <v>36</v>
      </c>
      <c r="E226" s="2" t="s">
        <v>59</v>
      </c>
      <c r="F226" s="2" t="s">
        <v>48</v>
      </c>
      <c r="G226" s="2" t="s">
        <v>5</v>
      </c>
      <c r="H226" s="2" t="s">
        <v>54</v>
      </c>
      <c r="I226" s="3">
        <v>21.225014999999999</v>
      </c>
      <c r="J226" s="3">
        <v>77.666700000000006</v>
      </c>
      <c r="K226" s="3">
        <v>12.417311</v>
      </c>
      <c r="L226" s="2">
        <v>14</v>
      </c>
      <c r="M226" s="2">
        <v>80</v>
      </c>
      <c r="N226" s="2">
        <f t="shared" si="5"/>
        <v>94</v>
      </c>
    </row>
    <row r="227" spans="1:14" x14ac:dyDescent="0.35">
      <c r="A227" s="2">
        <v>73</v>
      </c>
      <c r="B227" s="1">
        <v>44634</v>
      </c>
      <c r="C227" s="2" t="s">
        <v>14</v>
      </c>
      <c r="D227" s="2" t="s">
        <v>35</v>
      </c>
      <c r="E227" s="2" t="s">
        <v>59</v>
      </c>
      <c r="F227" s="2" t="s">
        <v>48</v>
      </c>
      <c r="G227" s="2" t="s">
        <v>5</v>
      </c>
      <c r="H227" s="2" t="s">
        <v>54</v>
      </c>
      <c r="I227" s="3">
        <v>29.287485</v>
      </c>
      <c r="J227" s="3">
        <v>49.695699999999995</v>
      </c>
      <c r="K227" s="3">
        <v>9.174042</v>
      </c>
      <c r="L227" s="2">
        <v>14</v>
      </c>
      <c r="M227" s="2">
        <v>81</v>
      </c>
      <c r="N227" s="2">
        <f t="shared" si="5"/>
        <v>95</v>
      </c>
    </row>
    <row r="228" spans="1:14" x14ac:dyDescent="0.35">
      <c r="A228" s="2">
        <v>312</v>
      </c>
      <c r="B228" s="1">
        <v>44873</v>
      </c>
      <c r="C228" s="2" t="s">
        <v>16</v>
      </c>
      <c r="D228" s="2" t="s">
        <v>43</v>
      </c>
      <c r="E228" s="2" t="s">
        <v>59</v>
      </c>
      <c r="F228" s="2" t="s">
        <v>49</v>
      </c>
      <c r="G228" s="2" t="s">
        <v>5</v>
      </c>
      <c r="H228" s="2" t="s">
        <v>54</v>
      </c>
      <c r="I228" s="3">
        <v>23.962499999999999</v>
      </c>
      <c r="J228" s="3">
        <v>72.166699999999992</v>
      </c>
      <c r="K228" s="3">
        <v>4.6255125000000001</v>
      </c>
      <c r="L228" s="2">
        <v>14</v>
      </c>
      <c r="M228" s="2">
        <v>82</v>
      </c>
      <c r="N228" s="2">
        <f t="shared" si="5"/>
        <v>96</v>
      </c>
    </row>
    <row r="229" spans="1:14" x14ac:dyDescent="0.35">
      <c r="A229" s="2">
        <v>314</v>
      </c>
      <c r="B229" s="1">
        <v>44875</v>
      </c>
      <c r="C229" s="2" t="s">
        <v>16</v>
      </c>
      <c r="D229" s="2" t="s">
        <v>43</v>
      </c>
      <c r="E229" s="2" t="s">
        <v>59</v>
      </c>
      <c r="F229" s="2" t="s">
        <v>51</v>
      </c>
      <c r="G229" s="2" t="s">
        <v>5</v>
      </c>
      <c r="H229" s="2" t="s">
        <v>55</v>
      </c>
      <c r="I229" s="3">
        <v>24.075000000000003</v>
      </c>
      <c r="J229" s="3">
        <v>81.333299999999994</v>
      </c>
      <c r="K229" s="3">
        <v>12.667489000000002</v>
      </c>
      <c r="L229" s="2">
        <v>14</v>
      </c>
      <c r="M229" s="2">
        <v>83</v>
      </c>
      <c r="N229" s="2">
        <f t="shared" si="5"/>
        <v>97</v>
      </c>
    </row>
    <row r="230" spans="1:14" x14ac:dyDescent="0.35">
      <c r="A230" s="2">
        <v>60</v>
      </c>
      <c r="B230" s="1">
        <v>44621</v>
      </c>
      <c r="C230" s="2" t="s">
        <v>14</v>
      </c>
      <c r="D230" s="2" t="s">
        <v>35</v>
      </c>
      <c r="E230" s="2" t="s">
        <v>59</v>
      </c>
      <c r="F230" s="2" t="s">
        <v>49</v>
      </c>
      <c r="G230" s="2" t="s">
        <v>5</v>
      </c>
      <c r="H230" s="2" t="s">
        <v>54</v>
      </c>
      <c r="I230" s="3">
        <v>29.550014999999998</v>
      </c>
      <c r="J230" s="3">
        <v>53.5</v>
      </c>
      <c r="K230" s="3">
        <v>14.500475</v>
      </c>
      <c r="L230" s="2">
        <v>14</v>
      </c>
      <c r="M230" s="2">
        <v>87</v>
      </c>
      <c r="N230" s="2">
        <f t="shared" si="5"/>
        <v>101</v>
      </c>
    </row>
    <row r="231" spans="1:14" x14ac:dyDescent="0.35">
      <c r="A231" s="2">
        <v>276</v>
      </c>
      <c r="B231" s="1">
        <v>44837</v>
      </c>
      <c r="C231" s="2" t="s">
        <v>16</v>
      </c>
      <c r="D231" s="2" t="s">
        <v>42</v>
      </c>
      <c r="E231" s="2" t="s">
        <v>59</v>
      </c>
      <c r="F231" s="2" t="s">
        <v>48</v>
      </c>
      <c r="G231" s="2" t="s">
        <v>5</v>
      </c>
      <c r="H231" s="2" t="s">
        <v>55</v>
      </c>
      <c r="I231" s="3">
        <v>25.799985</v>
      </c>
      <c r="J231" s="3">
        <v>76.083299999999994</v>
      </c>
      <c r="K231" s="3">
        <v>5.5841685999999999</v>
      </c>
      <c r="L231" s="2">
        <v>15</v>
      </c>
      <c r="M231" s="2">
        <v>48</v>
      </c>
      <c r="N231" s="2">
        <f t="shared" si="5"/>
        <v>63</v>
      </c>
    </row>
    <row r="232" spans="1:14" x14ac:dyDescent="0.35">
      <c r="A232" s="2">
        <v>318</v>
      </c>
      <c r="B232" s="1">
        <v>44879</v>
      </c>
      <c r="C232" s="2" t="s">
        <v>16</v>
      </c>
      <c r="D232" s="2" t="s">
        <v>43</v>
      </c>
      <c r="E232" s="2" t="s">
        <v>59</v>
      </c>
      <c r="F232" s="2" t="s">
        <v>48</v>
      </c>
      <c r="G232" s="2" t="s">
        <v>5</v>
      </c>
      <c r="H232" s="2" t="s">
        <v>54</v>
      </c>
      <c r="I232" s="3">
        <v>25.987500000000001</v>
      </c>
      <c r="J232" s="3">
        <v>58.708300000000001</v>
      </c>
      <c r="K232" s="3">
        <v>20.541931999999999</v>
      </c>
      <c r="L232" s="2">
        <v>15</v>
      </c>
      <c r="M232" s="2">
        <v>64</v>
      </c>
      <c r="N232" s="2">
        <f t="shared" si="5"/>
        <v>79</v>
      </c>
    </row>
    <row r="233" spans="1:14" x14ac:dyDescent="0.35">
      <c r="A233" s="2">
        <v>297</v>
      </c>
      <c r="B233" s="1">
        <v>44858</v>
      </c>
      <c r="C233" s="2" t="s">
        <v>16</v>
      </c>
      <c r="D233" s="2" t="s">
        <v>42</v>
      </c>
      <c r="E233" s="2" t="s">
        <v>59</v>
      </c>
      <c r="F233" s="2" t="s">
        <v>48</v>
      </c>
      <c r="G233" s="2" t="s">
        <v>5</v>
      </c>
      <c r="H233" s="2" t="s">
        <v>54</v>
      </c>
      <c r="I233" s="3">
        <v>27.300014999999998</v>
      </c>
      <c r="J233" s="3">
        <v>77.208299999999994</v>
      </c>
      <c r="K233" s="3">
        <v>7.9590639999999997</v>
      </c>
      <c r="L233" s="2">
        <v>15</v>
      </c>
      <c r="M233" s="2">
        <v>66</v>
      </c>
      <c r="N233" s="2">
        <f t="shared" si="5"/>
        <v>81</v>
      </c>
    </row>
    <row r="234" spans="1:14" x14ac:dyDescent="0.35">
      <c r="A234" s="2">
        <v>293</v>
      </c>
      <c r="B234" s="1">
        <v>44854</v>
      </c>
      <c r="C234" s="2" t="s">
        <v>16</v>
      </c>
      <c r="D234" s="2" t="s">
        <v>42</v>
      </c>
      <c r="E234" s="2" t="s">
        <v>59</v>
      </c>
      <c r="F234" s="2" t="s">
        <v>51</v>
      </c>
      <c r="G234" s="2" t="s">
        <v>5</v>
      </c>
      <c r="H234" s="2" t="s">
        <v>54</v>
      </c>
      <c r="I234" s="3">
        <v>20.662514999999999</v>
      </c>
      <c r="J234" s="3">
        <v>63.625</v>
      </c>
      <c r="K234" s="3">
        <v>28.292425000000001</v>
      </c>
      <c r="L234" s="2">
        <v>15</v>
      </c>
      <c r="M234" s="2">
        <v>69</v>
      </c>
      <c r="N234" s="2">
        <f t="shared" si="5"/>
        <v>84</v>
      </c>
    </row>
    <row r="235" spans="1:14" x14ac:dyDescent="0.35">
      <c r="A235" s="2">
        <v>30</v>
      </c>
      <c r="B235" s="1">
        <v>44591</v>
      </c>
      <c r="C235" s="2" t="s">
        <v>13</v>
      </c>
      <c r="D235" s="2" t="s">
        <v>33</v>
      </c>
      <c r="E235" s="2" t="s">
        <v>59</v>
      </c>
      <c r="F235" s="2" t="s">
        <v>47</v>
      </c>
      <c r="G235" s="2" t="s">
        <v>60</v>
      </c>
      <c r="H235" s="2" t="s">
        <v>54</v>
      </c>
      <c r="I235" s="3">
        <v>34.725014999999999</v>
      </c>
      <c r="J235" s="3">
        <v>72.217399999999998</v>
      </c>
      <c r="K235" s="3">
        <v>4.9568341999999994</v>
      </c>
      <c r="L235" s="2">
        <v>15</v>
      </c>
      <c r="M235" s="2">
        <v>71</v>
      </c>
      <c r="N235" s="2">
        <f t="shared" si="5"/>
        <v>86</v>
      </c>
    </row>
    <row r="236" spans="1:14" x14ac:dyDescent="0.35">
      <c r="A236" s="2">
        <v>11</v>
      </c>
      <c r="B236" s="1">
        <v>44572</v>
      </c>
      <c r="C236" s="2" t="s">
        <v>13</v>
      </c>
      <c r="D236" s="2" t="s">
        <v>33</v>
      </c>
      <c r="E236" s="2" t="s">
        <v>59</v>
      </c>
      <c r="F236" s="2" t="s">
        <v>49</v>
      </c>
      <c r="G236" s="2" t="s">
        <v>5</v>
      </c>
      <c r="H236" s="2" t="s">
        <v>55</v>
      </c>
      <c r="I236" s="3">
        <v>33.600014999999999</v>
      </c>
      <c r="J236" s="3">
        <v>68.636399999999995</v>
      </c>
      <c r="K236" s="3">
        <v>8.1828440000000011</v>
      </c>
      <c r="L236" s="2">
        <v>15</v>
      </c>
      <c r="M236" s="2">
        <v>72</v>
      </c>
      <c r="N236" s="2">
        <f t="shared" si="5"/>
        <v>87</v>
      </c>
    </row>
    <row r="237" spans="1:14" x14ac:dyDescent="0.35">
      <c r="A237" s="2">
        <v>17</v>
      </c>
      <c r="B237" s="1">
        <v>44578</v>
      </c>
      <c r="C237" s="2" t="s">
        <v>13</v>
      </c>
      <c r="D237" s="2" t="s">
        <v>33</v>
      </c>
      <c r="E237" s="2" t="s">
        <v>3</v>
      </c>
      <c r="F237" s="2" t="s">
        <v>48</v>
      </c>
      <c r="G237" s="2" t="s">
        <v>60</v>
      </c>
      <c r="H237" s="2" t="s">
        <v>55</v>
      </c>
      <c r="I237" s="3">
        <v>34.950015</v>
      </c>
      <c r="J237" s="3">
        <v>53.75</v>
      </c>
      <c r="K237" s="3">
        <v>12.999139</v>
      </c>
      <c r="L237" s="2">
        <v>15</v>
      </c>
      <c r="M237" s="2">
        <v>76</v>
      </c>
      <c r="N237" s="2">
        <f t="shared" si="5"/>
        <v>91</v>
      </c>
    </row>
    <row r="238" spans="1:14" x14ac:dyDescent="0.35">
      <c r="A238" s="2">
        <v>5</v>
      </c>
      <c r="B238" s="1">
        <v>44566</v>
      </c>
      <c r="C238" s="2" t="s">
        <v>13</v>
      </c>
      <c r="D238" s="2" t="s">
        <v>33</v>
      </c>
      <c r="E238" s="2" t="s">
        <v>59</v>
      </c>
      <c r="F238" s="2" t="s">
        <v>50</v>
      </c>
      <c r="G238" s="2" t="s">
        <v>5</v>
      </c>
      <c r="H238" s="2" t="s">
        <v>54</v>
      </c>
      <c r="I238" s="3">
        <v>33.75</v>
      </c>
      <c r="J238" s="3">
        <v>43.695699999999995</v>
      </c>
      <c r="K238" s="3">
        <v>12.522300000000001</v>
      </c>
      <c r="L238" s="2">
        <v>15</v>
      </c>
      <c r="M238" s="2">
        <v>77</v>
      </c>
      <c r="N238" s="2">
        <f t="shared" si="5"/>
        <v>92</v>
      </c>
    </row>
    <row r="239" spans="1:14" x14ac:dyDescent="0.35">
      <c r="A239" s="2">
        <v>24</v>
      </c>
      <c r="B239" s="1">
        <v>44585</v>
      </c>
      <c r="C239" s="2" t="s">
        <v>13</v>
      </c>
      <c r="D239" s="2" t="s">
        <v>33</v>
      </c>
      <c r="E239" s="2" t="s">
        <v>59</v>
      </c>
      <c r="F239" s="2" t="s">
        <v>48</v>
      </c>
      <c r="G239" s="2" t="s">
        <v>5</v>
      </c>
      <c r="H239" s="2" t="s">
        <v>54</v>
      </c>
      <c r="I239" s="3">
        <v>34.725014999999999</v>
      </c>
      <c r="J239" s="3">
        <v>49.173899999999996</v>
      </c>
      <c r="K239" s="3">
        <v>10.60811</v>
      </c>
      <c r="L239" s="2">
        <v>15</v>
      </c>
      <c r="M239" s="2">
        <v>77</v>
      </c>
      <c r="N239" s="2">
        <f t="shared" si="5"/>
        <v>92</v>
      </c>
    </row>
    <row r="240" spans="1:14" x14ac:dyDescent="0.35">
      <c r="A240" s="2">
        <v>321</v>
      </c>
      <c r="B240" s="1">
        <v>44882</v>
      </c>
      <c r="C240" s="2" t="s">
        <v>16</v>
      </c>
      <c r="D240" s="2" t="s">
        <v>43</v>
      </c>
      <c r="E240" s="2" t="s">
        <v>59</v>
      </c>
      <c r="F240" s="2" t="s">
        <v>51</v>
      </c>
      <c r="G240" s="2" t="s">
        <v>5</v>
      </c>
      <c r="H240" s="2" t="s">
        <v>55</v>
      </c>
      <c r="I240" s="3">
        <v>23.887485000000002</v>
      </c>
      <c r="J240" s="3">
        <v>57.583300000000001</v>
      </c>
      <c r="K240" s="3">
        <v>20.459254000000001</v>
      </c>
      <c r="L240" s="2">
        <v>15</v>
      </c>
      <c r="M240" s="2">
        <v>77</v>
      </c>
      <c r="N240" s="2">
        <f t="shared" si="5"/>
        <v>92</v>
      </c>
    </row>
    <row r="241" spans="1:14" x14ac:dyDescent="0.35">
      <c r="A241" s="2">
        <v>25</v>
      </c>
      <c r="B241" s="1">
        <v>44586</v>
      </c>
      <c r="C241" s="2" t="s">
        <v>13</v>
      </c>
      <c r="D241" s="2" t="s">
        <v>33</v>
      </c>
      <c r="E241" s="2" t="s">
        <v>59</v>
      </c>
      <c r="F241" s="2" t="s">
        <v>49</v>
      </c>
      <c r="G241" s="2" t="s">
        <v>5</v>
      </c>
      <c r="H241" s="2" t="s">
        <v>55</v>
      </c>
      <c r="I241" s="3">
        <v>34.875</v>
      </c>
      <c r="J241" s="3">
        <v>61.695699999999995</v>
      </c>
      <c r="K241" s="3">
        <v>8.696332</v>
      </c>
      <c r="L241" s="2">
        <v>15</v>
      </c>
      <c r="M241" s="2">
        <v>78</v>
      </c>
      <c r="N241" s="2">
        <f t="shared" si="5"/>
        <v>93</v>
      </c>
    </row>
    <row r="242" spans="1:14" x14ac:dyDescent="0.35">
      <c r="A242" s="2">
        <v>55</v>
      </c>
      <c r="B242" s="1">
        <v>44616</v>
      </c>
      <c r="C242" s="2" t="s">
        <v>13</v>
      </c>
      <c r="D242" s="2" t="s">
        <v>34</v>
      </c>
      <c r="E242" s="2" t="s">
        <v>59</v>
      </c>
      <c r="F242" s="2" t="s">
        <v>51</v>
      </c>
      <c r="G242" s="2" t="s">
        <v>5</v>
      </c>
      <c r="H242" s="2" t="s">
        <v>55</v>
      </c>
      <c r="I242" s="3">
        <v>31.499999999999996</v>
      </c>
      <c r="J242" s="3">
        <v>69.739099999999993</v>
      </c>
      <c r="K242" s="3">
        <v>16.783231999999998</v>
      </c>
      <c r="L242" s="2">
        <v>15</v>
      </c>
      <c r="M242" s="2">
        <v>78</v>
      </c>
      <c r="N242" s="2">
        <f t="shared" si="5"/>
        <v>93</v>
      </c>
    </row>
    <row r="243" spans="1:14" x14ac:dyDescent="0.35">
      <c r="A243" s="2">
        <v>58</v>
      </c>
      <c r="B243" s="1">
        <v>44619</v>
      </c>
      <c r="C243" s="2" t="s">
        <v>13</v>
      </c>
      <c r="D243" s="2" t="s">
        <v>34</v>
      </c>
      <c r="E243" s="2" t="s">
        <v>59</v>
      </c>
      <c r="F243" s="2" t="s">
        <v>47</v>
      </c>
      <c r="G243" s="2" t="s">
        <v>60</v>
      </c>
      <c r="H243" s="2" t="s">
        <v>54</v>
      </c>
      <c r="I243" s="3">
        <v>28.650015</v>
      </c>
      <c r="J243" s="3">
        <v>68</v>
      </c>
      <c r="K243" s="3">
        <v>8.3916159999999991</v>
      </c>
      <c r="L243" s="2">
        <v>15</v>
      </c>
      <c r="M243" s="2">
        <v>78</v>
      </c>
      <c r="N243" s="2">
        <f t="shared" si="5"/>
        <v>93</v>
      </c>
    </row>
    <row r="244" spans="1:14" x14ac:dyDescent="0.35">
      <c r="A244" s="2">
        <v>328</v>
      </c>
      <c r="B244" s="1">
        <v>44889</v>
      </c>
      <c r="C244" s="2" t="s">
        <v>16</v>
      </c>
      <c r="D244" s="2" t="s">
        <v>43</v>
      </c>
      <c r="E244" s="2" t="s">
        <v>3</v>
      </c>
      <c r="F244" s="2" t="s">
        <v>51</v>
      </c>
      <c r="G244" s="2" t="s">
        <v>60</v>
      </c>
      <c r="H244" s="2" t="s">
        <v>54</v>
      </c>
      <c r="I244" s="3">
        <v>31.874984999999999</v>
      </c>
      <c r="J244" s="3">
        <v>54.916699999999999</v>
      </c>
      <c r="K244" s="3">
        <v>11.209368000000001</v>
      </c>
      <c r="L244" s="2">
        <v>15</v>
      </c>
      <c r="M244" s="2">
        <v>78</v>
      </c>
      <c r="N244" s="2">
        <f t="shared" si="5"/>
        <v>93</v>
      </c>
    </row>
    <row r="245" spans="1:14" x14ac:dyDescent="0.35">
      <c r="A245" s="2">
        <v>361</v>
      </c>
      <c r="B245" s="1">
        <v>44922</v>
      </c>
      <c r="C245" s="2" t="s">
        <v>13</v>
      </c>
      <c r="D245" s="2" t="s">
        <v>44</v>
      </c>
      <c r="E245" s="2" t="s">
        <v>59</v>
      </c>
      <c r="F245" s="2" t="s">
        <v>49</v>
      </c>
      <c r="G245" s="2" t="s">
        <v>5</v>
      </c>
      <c r="H245" s="2" t="s">
        <v>55</v>
      </c>
      <c r="I245" s="3">
        <v>33.487515000000002</v>
      </c>
      <c r="J245" s="3">
        <v>76.25</v>
      </c>
      <c r="K245" s="3">
        <v>12.626150000000001</v>
      </c>
      <c r="L245" s="2">
        <v>15</v>
      </c>
      <c r="M245" s="2">
        <v>78</v>
      </c>
      <c r="N245" s="2">
        <f t="shared" si="5"/>
        <v>93</v>
      </c>
    </row>
    <row r="246" spans="1:14" x14ac:dyDescent="0.35">
      <c r="A246" s="2">
        <v>76</v>
      </c>
      <c r="B246" s="1">
        <v>44637</v>
      </c>
      <c r="C246" s="2" t="s">
        <v>14</v>
      </c>
      <c r="D246" s="2" t="s">
        <v>35</v>
      </c>
      <c r="E246" s="2" t="s">
        <v>59</v>
      </c>
      <c r="F246" s="2" t="s">
        <v>51</v>
      </c>
      <c r="G246" s="2" t="s">
        <v>5</v>
      </c>
      <c r="H246" s="2" t="s">
        <v>54</v>
      </c>
      <c r="I246" s="3">
        <v>21.112514999999998</v>
      </c>
      <c r="J246" s="3">
        <v>60.291700000000006</v>
      </c>
      <c r="K246" s="3">
        <v>14.041792999999998</v>
      </c>
      <c r="L246" s="2">
        <v>15</v>
      </c>
      <c r="M246" s="2">
        <v>80</v>
      </c>
      <c r="N246" s="2">
        <f t="shared" si="5"/>
        <v>95</v>
      </c>
    </row>
    <row r="247" spans="1:14" x14ac:dyDescent="0.35">
      <c r="A247" s="2">
        <v>340</v>
      </c>
      <c r="B247" s="1">
        <v>44901</v>
      </c>
      <c r="C247" s="2" t="s">
        <v>13</v>
      </c>
      <c r="D247" s="2" t="s">
        <v>44</v>
      </c>
      <c r="E247" s="2" t="s">
        <v>59</v>
      </c>
      <c r="F247" s="2" t="s">
        <v>49</v>
      </c>
      <c r="G247" s="2" t="s">
        <v>5</v>
      </c>
      <c r="H247" s="2" t="s">
        <v>56</v>
      </c>
      <c r="I247" s="3">
        <v>31.837500000000002</v>
      </c>
      <c r="J247" s="3">
        <v>94.958299999999994</v>
      </c>
      <c r="K247" s="3">
        <v>15.583061000000001</v>
      </c>
      <c r="L247" s="2">
        <v>15</v>
      </c>
      <c r="M247" s="2">
        <v>81</v>
      </c>
      <c r="N247" s="2">
        <f t="shared" si="5"/>
        <v>96</v>
      </c>
    </row>
    <row r="248" spans="1:14" x14ac:dyDescent="0.35">
      <c r="A248" s="2">
        <v>354</v>
      </c>
      <c r="B248" s="1">
        <v>44915</v>
      </c>
      <c r="C248" s="2" t="s">
        <v>13</v>
      </c>
      <c r="D248" s="2" t="s">
        <v>44</v>
      </c>
      <c r="E248" s="2" t="s">
        <v>59</v>
      </c>
      <c r="F248" s="2" t="s">
        <v>49</v>
      </c>
      <c r="G248" s="2" t="s">
        <v>5</v>
      </c>
      <c r="H248" s="2" t="s">
        <v>55</v>
      </c>
      <c r="I248" s="3">
        <v>30.637485000000002</v>
      </c>
      <c r="J248" s="3">
        <v>59.541699999999999</v>
      </c>
      <c r="K248" s="3">
        <v>4.1252436000000001</v>
      </c>
      <c r="L248" s="2">
        <v>15</v>
      </c>
      <c r="M248" s="2">
        <v>81</v>
      </c>
      <c r="N248" s="2">
        <f t="shared" si="5"/>
        <v>96</v>
      </c>
    </row>
    <row r="249" spans="1:14" x14ac:dyDescent="0.35">
      <c r="A249" s="2">
        <v>356</v>
      </c>
      <c r="B249" s="1">
        <v>44917</v>
      </c>
      <c r="C249" s="2" t="s">
        <v>13</v>
      </c>
      <c r="D249" s="2" t="s">
        <v>44</v>
      </c>
      <c r="E249" s="2" t="s">
        <v>59</v>
      </c>
      <c r="F249" s="2" t="s">
        <v>51</v>
      </c>
      <c r="G249" s="2" t="s">
        <v>5</v>
      </c>
      <c r="H249" s="2" t="s">
        <v>55</v>
      </c>
      <c r="I249" s="3">
        <v>32.774985000000001</v>
      </c>
      <c r="J249" s="3">
        <v>75.75</v>
      </c>
      <c r="K249" s="3">
        <v>3.1674249999999997</v>
      </c>
      <c r="L249" s="2">
        <v>15</v>
      </c>
      <c r="M249" s="2">
        <v>81</v>
      </c>
      <c r="N249" s="2">
        <f t="shared" si="5"/>
        <v>96</v>
      </c>
    </row>
    <row r="250" spans="1:14" x14ac:dyDescent="0.35">
      <c r="A250" s="2">
        <v>347</v>
      </c>
      <c r="B250" s="1">
        <v>44908</v>
      </c>
      <c r="C250" s="2" t="s">
        <v>13</v>
      </c>
      <c r="D250" s="2" t="s">
        <v>44</v>
      </c>
      <c r="E250" s="2" t="s">
        <v>59</v>
      </c>
      <c r="F250" s="2" t="s">
        <v>49</v>
      </c>
      <c r="G250" s="2" t="s">
        <v>5</v>
      </c>
      <c r="H250" s="2" t="s">
        <v>54</v>
      </c>
      <c r="I250" s="3">
        <v>27.187515000000001</v>
      </c>
      <c r="J250" s="3">
        <v>59</v>
      </c>
      <c r="K250" s="3">
        <v>9.4168500000000002</v>
      </c>
      <c r="L250" s="2">
        <v>15</v>
      </c>
      <c r="M250" s="2">
        <v>83</v>
      </c>
      <c r="N250" s="2">
        <f t="shared" si="5"/>
        <v>98</v>
      </c>
    </row>
    <row r="251" spans="1:14" x14ac:dyDescent="0.35">
      <c r="A251" s="2">
        <v>327</v>
      </c>
      <c r="B251" s="1">
        <v>44888</v>
      </c>
      <c r="C251" s="2" t="s">
        <v>16</v>
      </c>
      <c r="D251" s="2" t="s">
        <v>43</v>
      </c>
      <c r="E251" s="2" t="s">
        <v>59</v>
      </c>
      <c r="F251" s="2" t="s">
        <v>50</v>
      </c>
      <c r="G251" s="2" t="s">
        <v>5</v>
      </c>
      <c r="H251" s="2" t="s">
        <v>55</v>
      </c>
      <c r="I251" s="3">
        <v>29.737485</v>
      </c>
      <c r="J251" s="3">
        <v>75.791699999999992</v>
      </c>
      <c r="K251" s="3">
        <v>22.500274999999998</v>
      </c>
      <c r="L251" s="2">
        <v>15</v>
      </c>
      <c r="M251" s="2">
        <v>85</v>
      </c>
      <c r="N251" s="2">
        <f t="shared" si="5"/>
        <v>100</v>
      </c>
    </row>
    <row r="252" spans="1:14" x14ac:dyDescent="0.35">
      <c r="A252" s="2">
        <v>335</v>
      </c>
      <c r="B252" s="1">
        <v>44896</v>
      </c>
      <c r="C252" s="2" t="s">
        <v>13</v>
      </c>
      <c r="D252" s="2" t="s">
        <v>44</v>
      </c>
      <c r="E252" s="2" t="s">
        <v>59</v>
      </c>
      <c r="F252" s="2" t="s">
        <v>51</v>
      </c>
      <c r="G252" s="2" t="s">
        <v>5</v>
      </c>
      <c r="H252" s="2" t="s">
        <v>54</v>
      </c>
      <c r="I252" s="3">
        <v>32.174999999999997</v>
      </c>
      <c r="J252" s="3">
        <v>52.458300000000001</v>
      </c>
      <c r="K252" s="3">
        <v>14.750586</v>
      </c>
      <c r="L252" s="2">
        <v>15</v>
      </c>
      <c r="M252" s="2">
        <v>85</v>
      </c>
      <c r="N252" s="2">
        <f t="shared" si="5"/>
        <v>100</v>
      </c>
    </row>
    <row r="253" spans="1:14" x14ac:dyDescent="0.35">
      <c r="A253" s="2">
        <v>348</v>
      </c>
      <c r="B253" s="1">
        <v>44909</v>
      </c>
      <c r="C253" s="2" t="s">
        <v>13</v>
      </c>
      <c r="D253" s="2" t="s">
        <v>44</v>
      </c>
      <c r="E253" s="2" t="s">
        <v>59</v>
      </c>
      <c r="F253" s="2" t="s">
        <v>50</v>
      </c>
      <c r="G253" s="2" t="s">
        <v>5</v>
      </c>
      <c r="H253" s="2" t="s">
        <v>55</v>
      </c>
      <c r="I253" s="3">
        <v>28.200015</v>
      </c>
      <c r="J253" s="3">
        <v>66.375</v>
      </c>
      <c r="K253" s="3">
        <v>4.0842061000000003</v>
      </c>
      <c r="L253" s="2">
        <v>15</v>
      </c>
      <c r="M253" s="2">
        <v>88</v>
      </c>
      <c r="N253" s="2">
        <f t="shared" si="5"/>
        <v>103</v>
      </c>
    </row>
    <row r="254" spans="1:14" x14ac:dyDescent="0.35">
      <c r="A254" s="2">
        <v>148</v>
      </c>
      <c r="B254" s="1">
        <v>44709</v>
      </c>
      <c r="C254" s="2" t="s">
        <v>14</v>
      </c>
      <c r="D254" s="2" t="s">
        <v>37</v>
      </c>
      <c r="E254" s="2" t="s">
        <v>59</v>
      </c>
      <c r="F254" s="2" t="s">
        <v>53</v>
      </c>
      <c r="G254" s="2" t="s">
        <v>60</v>
      </c>
      <c r="H254" s="2" t="s">
        <v>54</v>
      </c>
      <c r="I254" s="3">
        <v>20.662514999999999</v>
      </c>
      <c r="J254" s="3">
        <v>72.958299999999994</v>
      </c>
      <c r="K254" s="3">
        <v>15.416164</v>
      </c>
      <c r="L254" s="2">
        <v>16</v>
      </c>
      <c r="M254" s="2">
        <v>45</v>
      </c>
      <c r="N254" s="2">
        <f t="shared" si="5"/>
        <v>61</v>
      </c>
    </row>
    <row r="255" spans="1:14" x14ac:dyDescent="0.35">
      <c r="A255" s="2">
        <v>141</v>
      </c>
      <c r="B255" s="1">
        <v>44702</v>
      </c>
      <c r="C255" s="2" t="s">
        <v>14</v>
      </c>
      <c r="D255" s="2" t="s">
        <v>37</v>
      </c>
      <c r="E255" s="2" t="s">
        <v>59</v>
      </c>
      <c r="F255" s="2" t="s">
        <v>53</v>
      </c>
      <c r="G255" s="2" t="s">
        <v>60</v>
      </c>
      <c r="H255" s="2" t="s">
        <v>54</v>
      </c>
      <c r="I255" s="3">
        <v>20.849985</v>
      </c>
      <c r="J255" s="3">
        <v>62.666699999999999</v>
      </c>
      <c r="K255" s="3">
        <v>8.0835499999999989</v>
      </c>
      <c r="L255" s="2">
        <v>16</v>
      </c>
      <c r="M255" s="2">
        <v>55</v>
      </c>
      <c r="N255" s="2">
        <f t="shared" si="5"/>
        <v>71</v>
      </c>
    </row>
    <row r="256" spans="1:14" x14ac:dyDescent="0.35">
      <c r="A256" s="2">
        <v>48</v>
      </c>
      <c r="B256" s="1">
        <v>44609</v>
      </c>
      <c r="C256" s="2" t="s">
        <v>13</v>
      </c>
      <c r="D256" s="2" t="s">
        <v>34</v>
      </c>
      <c r="E256" s="2" t="s">
        <v>59</v>
      </c>
      <c r="F256" s="2" t="s">
        <v>51</v>
      </c>
      <c r="G256" s="2" t="s">
        <v>5</v>
      </c>
      <c r="H256" s="2" t="s">
        <v>54</v>
      </c>
      <c r="I256" s="3">
        <v>30.825000000000003</v>
      </c>
      <c r="J256" s="3">
        <v>50.5</v>
      </c>
      <c r="K256" s="3">
        <v>15.416968000000001</v>
      </c>
      <c r="L256" s="2">
        <v>16</v>
      </c>
      <c r="M256" s="2">
        <v>67</v>
      </c>
      <c r="N256" s="2">
        <f t="shared" si="5"/>
        <v>83</v>
      </c>
    </row>
    <row r="257" spans="1:14" x14ac:dyDescent="0.35">
      <c r="A257" s="2">
        <v>44</v>
      </c>
      <c r="B257" s="1">
        <v>44605</v>
      </c>
      <c r="C257" s="2" t="s">
        <v>13</v>
      </c>
      <c r="D257" s="2" t="s">
        <v>34</v>
      </c>
      <c r="E257" s="2" t="s">
        <v>59</v>
      </c>
      <c r="F257" s="2" t="s">
        <v>47</v>
      </c>
      <c r="G257" s="2" t="s">
        <v>60</v>
      </c>
      <c r="H257" s="2" t="s">
        <v>54</v>
      </c>
      <c r="I257" s="3">
        <v>29.962485000000001</v>
      </c>
      <c r="J257" s="3">
        <v>45.739100000000001</v>
      </c>
      <c r="K257" s="3">
        <v>17.479160999999998</v>
      </c>
      <c r="L257" s="2">
        <v>16</v>
      </c>
      <c r="M257" s="2">
        <v>71</v>
      </c>
      <c r="N257" s="2">
        <f t="shared" si="5"/>
        <v>87</v>
      </c>
    </row>
    <row r="258" spans="1:14" x14ac:dyDescent="0.35">
      <c r="A258" s="2">
        <v>343</v>
      </c>
      <c r="B258" s="1">
        <v>44904</v>
      </c>
      <c r="C258" s="2" t="s">
        <v>13</v>
      </c>
      <c r="D258" s="2" t="s">
        <v>44</v>
      </c>
      <c r="E258" s="2" t="s">
        <v>59</v>
      </c>
      <c r="F258" s="2" t="s">
        <v>52</v>
      </c>
      <c r="G258" s="2" t="s">
        <v>5</v>
      </c>
      <c r="H258" s="2" t="s">
        <v>54</v>
      </c>
      <c r="I258" s="3">
        <v>33.975000000000001</v>
      </c>
      <c r="J258" s="3">
        <v>69.583300000000008</v>
      </c>
      <c r="K258" s="3">
        <v>5.5420189000000004</v>
      </c>
      <c r="L258" s="2">
        <v>16</v>
      </c>
      <c r="M258" s="2">
        <v>75</v>
      </c>
      <c r="N258" s="2">
        <f t="shared" si="5"/>
        <v>91</v>
      </c>
    </row>
    <row r="259" spans="1:14" x14ac:dyDescent="0.35">
      <c r="A259" s="2">
        <v>33</v>
      </c>
      <c r="B259" s="1">
        <v>44594</v>
      </c>
      <c r="C259" s="2" t="s">
        <v>13</v>
      </c>
      <c r="D259" s="2" t="s">
        <v>34</v>
      </c>
      <c r="E259" s="2" t="s">
        <v>59</v>
      </c>
      <c r="F259" s="2" t="s">
        <v>50</v>
      </c>
      <c r="G259" s="2" t="s">
        <v>5</v>
      </c>
      <c r="H259" s="2" t="s">
        <v>55</v>
      </c>
      <c r="I259" s="3">
        <v>31.95</v>
      </c>
      <c r="J259" s="3">
        <v>77.541700000000006</v>
      </c>
      <c r="K259" s="3">
        <v>17.708635999999998</v>
      </c>
      <c r="L259" s="2">
        <v>16</v>
      </c>
      <c r="M259" s="2">
        <v>76</v>
      </c>
      <c r="N259" s="2">
        <f t="shared" ref="N259:N322" si="6">L259+M259</f>
        <v>92</v>
      </c>
    </row>
    <row r="260" spans="1:14" x14ac:dyDescent="0.35">
      <c r="A260" s="2">
        <v>4</v>
      </c>
      <c r="B260" s="1">
        <v>44565</v>
      </c>
      <c r="C260" s="2" t="s">
        <v>13</v>
      </c>
      <c r="D260" s="2" t="s">
        <v>33</v>
      </c>
      <c r="E260" s="2" t="s">
        <v>59</v>
      </c>
      <c r="F260" s="2" t="s">
        <v>49</v>
      </c>
      <c r="G260" s="2" t="s">
        <v>5</v>
      </c>
      <c r="H260" s="2" t="s">
        <v>54</v>
      </c>
      <c r="I260" s="3">
        <v>32.4</v>
      </c>
      <c r="J260" s="3">
        <v>59.043500000000002</v>
      </c>
      <c r="K260" s="3">
        <v>10.739832</v>
      </c>
      <c r="L260" s="2">
        <v>16</v>
      </c>
      <c r="M260" s="2">
        <v>77</v>
      </c>
      <c r="N260" s="2">
        <f t="shared" si="6"/>
        <v>93</v>
      </c>
    </row>
    <row r="261" spans="1:14" x14ac:dyDescent="0.35">
      <c r="A261" s="2">
        <v>40</v>
      </c>
      <c r="B261" s="1">
        <v>44601</v>
      </c>
      <c r="C261" s="2" t="s">
        <v>13</v>
      </c>
      <c r="D261" s="2" t="s">
        <v>34</v>
      </c>
      <c r="E261" s="2" t="s">
        <v>59</v>
      </c>
      <c r="F261" s="2" t="s">
        <v>50</v>
      </c>
      <c r="G261" s="2" t="s">
        <v>5</v>
      </c>
      <c r="H261" s="2" t="s">
        <v>55</v>
      </c>
      <c r="I261" s="3">
        <v>32.287500000000001</v>
      </c>
      <c r="J261" s="3">
        <v>49.478299999999997</v>
      </c>
      <c r="K261" s="3">
        <v>12.652213</v>
      </c>
      <c r="L261" s="2">
        <v>16</v>
      </c>
      <c r="M261" s="2">
        <v>80</v>
      </c>
      <c r="N261" s="2">
        <f t="shared" si="6"/>
        <v>96</v>
      </c>
    </row>
    <row r="262" spans="1:14" x14ac:dyDescent="0.35">
      <c r="A262" s="2">
        <v>31</v>
      </c>
      <c r="B262" s="1">
        <v>44592</v>
      </c>
      <c r="C262" s="2" t="s">
        <v>13</v>
      </c>
      <c r="D262" s="2" t="s">
        <v>33</v>
      </c>
      <c r="E262" s="2" t="s">
        <v>59</v>
      </c>
      <c r="F262" s="2" t="s">
        <v>48</v>
      </c>
      <c r="G262" s="2" t="s">
        <v>5</v>
      </c>
      <c r="H262" s="2" t="s">
        <v>55</v>
      </c>
      <c r="I262" s="3">
        <v>35.249984999999995</v>
      </c>
      <c r="J262" s="3">
        <v>60.375</v>
      </c>
      <c r="K262" s="3">
        <v>12.541864</v>
      </c>
      <c r="L262" s="2">
        <v>16</v>
      </c>
      <c r="M262" s="2">
        <v>81</v>
      </c>
      <c r="N262" s="2">
        <f t="shared" si="6"/>
        <v>97</v>
      </c>
    </row>
    <row r="263" spans="1:14" x14ac:dyDescent="0.35">
      <c r="A263" s="2">
        <v>61</v>
      </c>
      <c r="B263" s="1">
        <v>44622</v>
      </c>
      <c r="C263" s="2" t="s">
        <v>14</v>
      </c>
      <c r="D263" s="2" t="s">
        <v>35</v>
      </c>
      <c r="E263" s="2" t="s">
        <v>59</v>
      </c>
      <c r="F263" s="2" t="s">
        <v>50</v>
      </c>
      <c r="G263" s="2" t="s">
        <v>5</v>
      </c>
      <c r="H263" s="2" t="s">
        <v>54</v>
      </c>
      <c r="I263" s="3">
        <v>29.475000000000001</v>
      </c>
      <c r="J263" s="3">
        <v>44.958300000000001</v>
      </c>
      <c r="K263" s="3">
        <v>20.624811000000001</v>
      </c>
      <c r="L263" s="2">
        <v>16</v>
      </c>
      <c r="M263" s="2">
        <v>87</v>
      </c>
      <c r="N263" s="2">
        <f t="shared" si="6"/>
        <v>103</v>
      </c>
    </row>
    <row r="264" spans="1:14" x14ac:dyDescent="0.35">
      <c r="A264" s="2">
        <v>59</v>
      </c>
      <c r="B264" s="1">
        <v>44620</v>
      </c>
      <c r="C264" s="2" t="s">
        <v>13</v>
      </c>
      <c r="D264" s="2" t="s">
        <v>34</v>
      </c>
      <c r="E264" s="2" t="s">
        <v>59</v>
      </c>
      <c r="F264" s="2" t="s">
        <v>48</v>
      </c>
      <c r="G264" s="2" t="s">
        <v>5</v>
      </c>
      <c r="H264" s="2" t="s">
        <v>55</v>
      </c>
      <c r="I264" s="3">
        <v>28.762515</v>
      </c>
      <c r="J264" s="3">
        <v>87.636400000000009</v>
      </c>
      <c r="K264" s="3">
        <v>19.408961999999999</v>
      </c>
      <c r="L264" s="2">
        <v>16</v>
      </c>
      <c r="M264" s="2">
        <v>89</v>
      </c>
      <c r="N264" s="2">
        <f t="shared" si="6"/>
        <v>105</v>
      </c>
    </row>
    <row r="265" spans="1:14" x14ac:dyDescent="0.35">
      <c r="A265" s="2">
        <v>283</v>
      </c>
      <c r="B265" s="1">
        <v>44844</v>
      </c>
      <c r="C265" s="2" t="s">
        <v>16</v>
      </c>
      <c r="D265" s="2" t="s">
        <v>42</v>
      </c>
      <c r="E265" s="2" t="s">
        <v>3</v>
      </c>
      <c r="F265" s="2" t="s">
        <v>48</v>
      </c>
      <c r="G265" s="2" t="s">
        <v>60</v>
      </c>
      <c r="H265" s="2" t="s">
        <v>54</v>
      </c>
      <c r="I265" s="3">
        <v>26.80434</v>
      </c>
      <c r="J265" s="3">
        <v>73.375</v>
      </c>
      <c r="K265" s="3">
        <v>2.8343813999999998</v>
      </c>
      <c r="L265" s="2">
        <v>17</v>
      </c>
      <c r="M265" s="2">
        <v>50</v>
      </c>
      <c r="N265" s="2">
        <f t="shared" si="6"/>
        <v>67</v>
      </c>
    </row>
    <row r="266" spans="1:14" x14ac:dyDescent="0.35">
      <c r="A266" s="2">
        <v>325</v>
      </c>
      <c r="B266" s="1">
        <v>44886</v>
      </c>
      <c r="C266" s="2" t="s">
        <v>16</v>
      </c>
      <c r="D266" s="2" t="s">
        <v>43</v>
      </c>
      <c r="E266" s="2" t="s">
        <v>59</v>
      </c>
      <c r="F266" s="2" t="s">
        <v>48</v>
      </c>
      <c r="G266" s="2" t="s">
        <v>5</v>
      </c>
      <c r="H266" s="2" t="s">
        <v>56</v>
      </c>
      <c r="I266" s="3">
        <v>28.425014999999998</v>
      </c>
      <c r="J266" s="3">
        <v>91</v>
      </c>
      <c r="K266" s="3">
        <v>9.2496179999999999</v>
      </c>
      <c r="L266" s="2">
        <v>17</v>
      </c>
      <c r="M266" s="2">
        <v>69</v>
      </c>
      <c r="N266" s="2">
        <f t="shared" si="6"/>
        <v>86</v>
      </c>
    </row>
    <row r="267" spans="1:14" x14ac:dyDescent="0.35">
      <c r="A267" s="2">
        <v>37</v>
      </c>
      <c r="B267" s="1">
        <v>44598</v>
      </c>
      <c r="C267" s="2" t="s">
        <v>13</v>
      </c>
      <c r="D267" s="2" t="s">
        <v>34</v>
      </c>
      <c r="E267" s="2" t="s">
        <v>59</v>
      </c>
      <c r="F267" s="2" t="s">
        <v>47</v>
      </c>
      <c r="G267" s="2" t="s">
        <v>60</v>
      </c>
      <c r="H267" s="2" t="s">
        <v>54</v>
      </c>
      <c r="I267" s="3">
        <v>34.424999999999997</v>
      </c>
      <c r="J267" s="3">
        <v>56.833299999999994</v>
      </c>
      <c r="K267" s="3">
        <v>9.5006000000000004</v>
      </c>
      <c r="L267" s="2">
        <v>17</v>
      </c>
      <c r="M267" s="2">
        <v>70</v>
      </c>
      <c r="N267" s="2">
        <f t="shared" si="6"/>
        <v>87</v>
      </c>
    </row>
    <row r="268" spans="1:14" x14ac:dyDescent="0.35">
      <c r="A268" s="2">
        <v>304</v>
      </c>
      <c r="B268" s="1">
        <v>44865</v>
      </c>
      <c r="C268" s="2" t="s">
        <v>16</v>
      </c>
      <c r="D268" s="2" t="s">
        <v>42</v>
      </c>
      <c r="E268" s="2" t="s">
        <v>59</v>
      </c>
      <c r="F268" s="2" t="s">
        <v>48</v>
      </c>
      <c r="G268" s="2" t="s">
        <v>5</v>
      </c>
      <c r="H268" s="2" t="s">
        <v>54</v>
      </c>
      <c r="I268" s="3">
        <v>24.712515</v>
      </c>
      <c r="J268" s="3">
        <v>70.333299999999994</v>
      </c>
      <c r="K268" s="3">
        <v>7.1254499999999998</v>
      </c>
      <c r="L268" s="2">
        <v>17</v>
      </c>
      <c r="M268" s="2">
        <v>71</v>
      </c>
      <c r="N268" s="2">
        <f t="shared" si="6"/>
        <v>88</v>
      </c>
    </row>
    <row r="269" spans="1:14" x14ac:dyDescent="0.35">
      <c r="A269" s="2">
        <v>16</v>
      </c>
      <c r="B269" s="1">
        <v>44577</v>
      </c>
      <c r="C269" s="2" t="s">
        <v>13</v>
      </c>
      <c r="D269" s="2" t="s">
        <v>33</v>
      </c>
      <c r="E269" s="2" t="s">
        <v>59</v>
      </c>
      <c r="F269" s="2" t="s">
        <v>47</v>
      </c>
      <c r="G269" s="2" t="s">
        <v>60</v>
      </c>
      <c r="H269" s="2" t="s">
        <v>54</v>
      </c>
      <c r="I269" s="3">
        <v>33.600014999999999</v>
      </c>
      <c r="J269" s="3">
        <v>48.375</v>
      </c>
      <c r="K269" s="3">
        <v>12.625010999999999</v>
      </c>
      <c r="L269" s="2">
        <v>17</v>
      </c>
      <c r="M269" s="2">
        <v>72</v>
      </c>
      <c r="N269" s="2">
        <f t="shared" si="6"/>
        <v>89</v>
      </c>
    </row>
    <row r="270" spans="1:14" x14ac:dyDescent="0.35">
      <c r="A270" s="2">
        <v>329</v>
      </c>
      <c r="B270" s="1">
        <v>44890</v>
      </c>
      <c r="C270" s="2" t="s">
        <v>16</v>
      </c>
      <c r="D270" s="2" t="s">
        <v>43</v>
      </c>
      <c r="E270" s="2" t="s">
        <v>59</v>
      </c>
      <c r="F270" s="2" t="s">
        <v>52</v>
      </c>
      <c r="G270" s="2" t="s">
        <v>5</v>
      </c>
      <c r="H270" s="2" t="s">
        <v>54</v>
      </c>
      <c r="I270" s="3">
        <v>30.675015000000002</v>
      </c>
      <c r="J270" s="3">
        <v>64.375</v>
      </c>
      <c r="K270" s="3">
        <v>6.6260186000000001</v>
      </c>
      <c r="L270" s="2">
        <v>17</v>
      </c>
      <c r="M270" s="2">
        <v>76</v>
      </c>
      <c r="N270" s="2">
        <f t="shared" si="6"/>
        <v>93</v>
      </c>
    </row>
    <row r="271" spans="1:14" x14ac:dyDescent="0.35">
      <c r="A271" s="2">
        <v>360</v>
      </c>
      <c r="B271" s="1">
        <v>44921</v>
      </c>
      <c r="C271" s="2" t="s">
        <v>13</v>
      </c>
      <c r="D271" s="2" t="s">
        <v>44</v>
      </c>
      <c r="E271" s="2" t="s">
        <v>3</v>
      </c>
      <c r="F271" s="2" t="s">
        <v>48</v>
      </c>
      <c r="G271" s="2" t="s">
        <v>60</v>
      </c>
      <c r="H271" s="2" t="s">
        <v>54</v>
      </c>
      <c r="I271" s="3">
        <v>30.712499999999999</v>
      </c>
      <c r="J271" s="3">
        <v>50.695700000000002</v>
      </c>
      <c r="K271" s="3">
        <v>16.044155</v>
      </c>
      <c r="L271" s="2">
        <v>17</v>
      </c>
      <c r="M271" s="2">
        <v>77</v>
      </c>
      <c r="N271" s="2">
        <f t="shared" si="6"/>
        <v>94</v>
      </c>
    </row>
    <row r="272" spans="1:14" x14ac:dyDescent="0.35">
      <c r="A272" s="2">
        <v>51</v>
      </c>
      <c r="B272" s="1">
        <v>44612</v>
      </c>
      <c r="C272" s="2" t="s">
        <v>13</v>
      </c>
      <c r="D272" s="2" t="s">
        <v>34</v>
      </c>
      <c r="E272" s="2" t="s">
        <v>59</v>
      </c>
      <c r="F272" s="2" t="s">
        <v>47</v>
      </c>
      <c r="G272" s="2" t="s">
        <v>60</v>
      </c>
      <c r="H272" s="2" t="s">
        <v>54</v>
      </c>
      <c r="I272" s="3">
        <v>31.125015000000001</v>
      </c>
      <c r="J272" s="3">
        <v>40.782600000000002</v>
      </c>
      <c r="K272" s="3">
        <v>14.956745</v>
      </c>
      <c r="L272" s="2">
        <v>17</v>
      </c>
      <c r="M272" s="2">
        <v>79</v>
      </c>
      <c r="N272" s="2">
        <f t="shared" si="6"/>
        <v>96</v>
      </c>
    </row>
    <row r="273" spans="1:14" x14ac:dyDescent="0.35">
      <c r="A273" s="2">
        <v>350</v>
      </c>
      <c r="B273" s="1">
        <v>44911</v>
      </c>
      <c r="C273" s="2" t="s">
        <v>13</v>
      </c>
      <c r="D273" s="2" t="s">
        <v>44</v>
      </c>
      <c r="E273" s="2" t="s">
        <v>59</v>
      </c>
      <c r="F273" s="2" t="s">
        <v>52</v>
      </c>
      <c r="G273" s="2" t="s">
        <v>5</v>
      </c>
      <c r="H273" s="2" t="s">
        <v>55</v>
      </c>
      <c r="I273" s="3">
        <v>29.212515000000003</v>
      </c>
      <c r="J273" s="3">
        <v>50.041699999999999</v>
      </c>
      <c r="K273" s="3">
        <v>17.458525000000002</v>
      </c>
      <c r="L273" s="2">
        <v>17</v>
      </c>
      <c r="M273" s="2">
        <v>80</v>
      </c>
      <c r="N273" s="2">
        <f t="shared" si="6"/>
        <v>97</v>
      </c>
    </row>
    <row r="274" spans="1:14" x14ac:dyDescent="0.35">
      <c r="A274" s="2">
        <v>346</v>
      </c>
      <c r="B274" s="1">
        <v>44907</v>
      </c>
      <c r="C274" s="2" t="s">
        <v>13</v>
      </c>
      <c r="D274" s="2" t="s">
        <v>44</v>
      </c>
      <c r="E274" s="2" t="s">
        <v>59</v>
      </c>
      <c r="F274" s="2" t="s">
        <v>48</v>
      </c>
      <c r="G274" s="2" t="s">
        <v>5</v>
      </c>
      <c r="H274" s="2" t="s">
        <v>54</v>
      </c>
      <c r="I274" s="3">
        <v>28.574999999999999</v>
      </c>
      <c r="J274" s="3">
        <v>67.083300000000008</v>
      </c>
      <c r="K274" s="3">
        <v>4.2511500000000009</v>
      </c>
      <c r="L274" s="2">
        <v>17</v>
      </c>
      <c r="M274" s="2">
        <v>83</v>
      </c>
      <c r="N274" s="2">
        <f t="shared" si="6"/>
        <v>100</v>
      </c>
    </row>
    <row r="275" spans="1:14" x14ac:dyDescent="0.35">
      <c r="A275" s="2">
        <v>90</v>
      </c>
      <c r="B275" s="1">
        <v>44651</v>
      </c>
      <c r="C275" s="2" t="s">
        <v>14</v>
      </c>
      <c r="D275" s="2" t="s">
        <v>35</v>
      </c>
      <c r="E275" s="2" t="s">
        <v>59</v>
      </c>
      <c r="F275" s="2" t="s">
        <v>51</v>
      </c>
      <c r="G275" s="2" t="s">
        <v>5</v>
      </c>
      <c r="H275" s="2" t="s">
        <v>56</v>
      </c>
      <c r="I275" s="3">
        <v>25.387515</v>
      </c>
      <c r="J275" s="3">
        <v>91.833299999999994</v>
      </c>
      <c r="K275" s="3">
        <v>14.582282000000001</v>
      </c>
      <c r="L275" s="2">
        <v>17</v>
      </c>
      <c r="M275" s="2">
        <v>87</v>
      </c>
      <c r="N275" s="2">
        <f t="shared" si="6"/>
        <v>104</v>
      </c>
    </row>
    <row r="276" spans="1:14" x14ac:dyDescent="0.35">
      <c r="A276" s="2">
        <v>362</v>
      </c>
      <c r="B276" s="1">
        <v>44923</v>
      </c>
      <c r="C276" s="2" t="s">
        <v>13</v>
      </c>
      <c r="D276" s="2" t="s">
        <v>44</v>
      </c>
      <c r="E276" s="2" t="s">
        <v>59</v>
      </c>
      <c r="F276" s="2" t="s">
        <v>50</v>
      </c>
      <c r="G276" s="2" t="s">
        <v>5</v>
      </c>
      <c r="H276" s="2" t="s">
        <v>54</v>
      </c>
      <c r="I276" s="3">
        <v>32.774985000000001</v>
      </c>
      <c r="J276" s="3">
        <v>50.391300000000008</v>
      </c>
      <c r="K276" s="3">
        <v>19.695386999999997</v>
      </c>
      <c r="L276" s="2">
        <v>17</v>
      </c>
      <c r="M276" s="2">
        <v>88</v>
      </c>
      <c r="N276" s="2">
        <f t="shared" si="6"/>
        <v>105</v>
      </c>
    </row>
    <row r="277" spans="1:14" x14ac:dyDescent="0.35">
      <c r="A277" s="2">
        <v>274</v>
      </c>
      <c r="B277" s="1">
        <v>44835</v>
      </c>
      <c r="C277" s="2" t="s">
        <v>16</v>
      </c>
      <c r="D277" s="2" t="s">
        <v>42</v>
      </c>
      <c r="E277" s="2" t="s">
        <v>59</v>
      </c>
      <c r="F277" s="2" t="s">
        <v>53</v>
      </c>
      <c r="G277" s="2" t="s">
        <v>60</v>
      </c>
      <c r="H277" s="2" t="s">
        <v>55</v>
      </c>
      <c r="I277" s="3">
        <v>14.175000000000001</v>
      </c>
      <c r="J277" s="3">
        <v>75.375</v>
      </c>
      <c r="K277" s="3">
        <v>19.583832000000001</v>
      </c>
      <c r="L277" s="2">
        <v>18</v>
      </c>
      <c r="M277" s="2">
        <v>27</v>
      </c>
      <c r="N277" s="2">
        <f t="shared" si="6"/>
        <v>45</v>
      </c>
    </row>
    <row r="278" spans="1:14" x14ac:dyDescent="0.35">
      <c r="A278" s="2">
        <v>281</v>
      </c>
      <c r="B278" s="1">
        <v>44842</v>
      </c>
      <c r="C278" s="2" t="s">
        <v>16</v>
      </c>
      <c r="D278" s="2" t="s">
        <v>42</v>
      </c>
      <c r="E278" s="2" t="s">
        <v>59</v>
      </c>
      <c r="F278" s="2" t="s">
        <v>53</v>
      </c>
      <c r="G278" s="2" t="s">
        <v>60</v>
      </c>
      <c r="H278" s="2" t="s">
        <v>54</v>
      </c>
      <c r="I278" s="3">
        <v>15.412500000000001</v>
      </c>
      <c r="J278" s="3">
        <v>70.125</v>
      </c>
      <c r="K278" s="3">
        <v>3.0420813999999998</v>
      </c>
      <c r="L278" s="2">
        <v>18</v>
      </c>
      <c r="M278" s="2">
        <v>32</v>
      </c>
      <c r="N278" s="2">
        <f t="shared" si="6"/>
        <v>50</v>
      </c>
    </row>
    <row r="279" spans="1:14" x14ac:dyDescent="0.35">
      <c r="A279" s="2">
        <v>259</v>
      </c>
      <c r="B279" s="1">
        <v>44820</v>
      </c>
      <c r="C279" s="2" t="s">
        <v>16</v>
      </c>
      <c r="D279" s="2" t="s">
        <v>41</v>
      </c>
      <c r="E279" s="2" t="s">
        <v>59</v>
      </c>
      <c r="F279" s="2" t="s">
        <v>52</v>
      </c>
      <c r="G279" s="2" t="s">
        <v>5</v>
      </c>
      <c r="H279" s="2" t="s">
        <v>55</v>
      </c>
      <c r="I279" s="3">
        <v>24.3</v>
      </c>
      <c r="J279" s="3">
        <v>59.041699999999999</v>
      </c>
      <c r="K279" s="3">
        <v>11.000261</v>
      </c>
      <c r="L279" s="2">
        <v>18</v>
      </c>
      <c r="M279" s="2">
        <v>47</v>
      </c>
      <c r="N279" s="2">
        <f t="shared" si="6"/>
        <v>65</v>
      </c>
    </row>
    <row r="280" spans="1:14" x14ac:dyDescent="0.35">
      <c r="A280" s="2">
        <v>120</v>
      </c>
      <c r="B280" s="1">
        <v>44681</v>
      </c>
      <c r="C280" s="2" t="s">
        <v>14</v>
      </c>
      <c r="D280" s="2" t="s">
        <v>36</v>
      </c>
      <c r="E280" s="2" t="s">
        <v>59</v>
      </c>
      <c r="F280" s="2" t="s">
        <v>53</v>
      </c>
      <c r="G280" s="2" t="s">
        <v>60</v>
      </c>
      <c r="H280" s="2" t="s">
        <v>54</v>
      </c>
      <c r="I280" s="3">
        <v>14.362514999999998</v>
      </c>
      <c r="J280" s="3">
        <v>50.333300000000001</v>
      </c>
      <c r="K280" s="3">
        <v>15.750025000000001</v>
      </c>
      <c r="L280" s="2">
        <v>18</v>
      </c>
      <c r="M280" s="2">
        <v>49</v>
      </c>
      <c r="N280" s="2">
        <f t="shared" si="6"/>
        <v>67</v>
      </c>
    </row>
    <row r="281" spans="1:14" x14ac:dyDescent="0.35">
      <c r="A281" s="2">
        <v>316</v>
      </c>
      <c r="B281" s="1">
        <v>44877</v>
      </c>
      <c r="C281" s="2" t="s">
        <v>16</v>
      </c>
      <c r="D281" s="2" t="s">
        <v>43</v>
      </c>
      <c r="E281" s="2" t="s">
        <v>59</v>
      </c>
      <c r="F281" s="2" t="s">
        <v>53</v>
      </c>
      <c r="G281" s="2" t="s">
        <v>60</v>
      </c>
      <c r="H281" s="2" t="s">
        <v>54</v>
      </c>
      <c r="I281" s="3">
        <v>23.437484999999999</v>
      </c>
      <c r="J281" s="3">
        <v>55.291699999999999</v>
      </c>
      <c r="K281" s="3">
        <v>14.208154</v>
      </c>
      <c r="L281" s="2">
        <v>18</v>
      </c>
      <c r="M281" s="2">
        <v>50</v>
      </c>
      <c r="N281" s="2">
        <f t="shared" si="6"/>
        <v>68</v>
      </c>
    </row>
    <row r="282" spans="1:14" x14ac:dyDescent="0.35">
      <c r="A282" s="2">
        <v>38</v>
      </c>
      <c r="B282" s="1">
        <v>44599</v>
      </c>
      <c r="C282" s="2" t="s">
        <v>13</v>
      </c>
      <c r="D282" s="2" t="s">
        <v>34</v>
      </c>
      <c r="E282" s="2" t="s">
        <v>59</v>
      </c>
      <c r="F282" s="2" t="s">
        <v>48</v>
      </c>
      <c r="G282" s="2" t="s">
        <v>5</v>
      </c>
      <c r="H282" s="2" t="s">
        <v>54</v>
      </c>
      <c r="I282" s="3">
        <v>34.875</v>
      </c>
      <c r="J282" s="3">
        <v>73.833300000000008</v>
      </c>
      <c r="K282" s="3">
        <v>3.0423561000000001</v>
      </c>
      <c r="L282" s="2">
        <v>18</v>
      </c>
      <c r="M282" s="2">
        <v>74</v>
      </c>
      <c r="N282" s="2">
        <f t="shared" si="6"/>
        <v>92</v>
      </c>
    </row>
    <row r="283" spans="1:14" x14ac:dyDescent="0.35">
      <c r="A283" s="2">
        <v>301</v>
      </c>
      <c r="B283" s="1">
        <v>44862</v>
      </c>
      <c r="C283" s="2" t="s">
        <v>16</v>
      </c>
      <c r="D283" s="2" t="s">
        <v>42</v>
      </c>
      <c r="E283" s="2" t="s">
        <v>59</v>
      </c>
      <c r="F283" s="2" t="s">
        <v>52</v>
      </c>
      <c r="G283" s="2" t="s">
        <v>5</v>
      </c>
      <c r="H283" s="2" t="s">
        <v>55</v>
      </c>
      <c r="I283" s="3">
        <v>22.95</v>
      </c>
      <c r="J283" s="3">
        <v>58.583300000000008</v>
      </c>
      <c r="K283" s="3">
        <v>15.375093</v>
      </c>
      <c r="L283" s="2">
        <v>18</v>
      </c>
      <c r="M283" s="2">
        <v>74</v>
      </c>
      <c r="N283" s="2">
        <f t="shared" si="6"/>
        <v>92</v>
      </c>
    </row>
    <row r="284" spans="1:14" x14ac:dyDescent="0.35">
      <c r="A284" s="2">
        <v>308</v>
      </c>
      <c r="B284" s="1">
        <v>44869</v>
      </c>
      <c r="C284" s="2" t="s">
        <v>16</v>
      </c>
      <c r="D284" s="2" t="s">
        <v>43</v>
      </c>
      <c r="E284" s="2" t="s">
        <v>59</v>
      </c>
      <c r="F284" s="2" t="s">
        <v>52</v>
      </c>
      <c r="G284" s="2" t="s">
        <v>5</v>
      </c>
      <c r="H284" s="2" t="s">
        <v>55</v>
      </c>
      <c r="I284" s="3">
        <v>21.562515000000001</v>
      </c>
      <c r="J284" s="3">
        <v>62.250000000000007</v>
      </c>
      <c r="K284" s="3">
        <v>18.209192999999999</v>
      </c>
      <c r="L284" s="2">
        <v>18</v>
      </c>
      <c r="M284" s="2">
        <v>74</v>
      </c>
      <c r="N284" s="2">
        <f t="shared" si="6"/>
        <v>92</v>
      </c>
    </row>
    <row r="285" spans="1:14" x14ac:dyDescent="0.35">
      <c r="A285" s="2">
        <v>62</v>
      </c>
      <c r="B285" s="1">
        <v>44623</v>
      </c>
      <c r="C285" s="2" t="s">
        <v>14</v>
      </c>
      <c r="D285" s="2" t="s">
        <v>35</v>
      </c>
      <c r="E285" s="2" t="s">
        <v>59</v>
      </c>
      <c r="F285" s="2" t="s">
        <v>51</v>
      </c>
      <c r="G285" s="2" t="s">
        <v>5</v>
      </c>
      <c r="H285" s="2" t="s">
        <v>54</v>
      </c>
      <c r="I285" s="3">
        <v>28.949985000000002</v>
      </c>
      <c r="J285" s="3">
        <v>31.833299999999998</v>
      </c>
      <c r="K285" s="3">
        <v>15.125518000000001</v>
      </c>
      <c r="L285" s="2">
        <v>18</v>
      </c>
      <c r="M285" s="2">
        <v>77</v>
      </c>
      <c r="N285" s="2">
        <f t="shared" si="6"/>
        <v>95</v>
      </c>
    </row>
    <row r="286" spans="1:14" x14ac:dyDescent="0.35">
      <c r="A286" s="2">
        <v>39</v>
      </c>
      <c r="B286" s="1">
        <v>44600</v>
      </c>
      <c r="C286" s="2" t="s">
        <v>13</v>
      </c>
      <c r="D286" s="2" t="s">
        <v>34</v>
      </c>
      <c r="E286" s="2" t="s">
        <v>59</v>
      </c>
      <c r="F286" s="2" t="s">
        <v>49</v>
      </c>
      <c r="G286" s="2" t="s">
        <v>5</v>
      </c>
      <c r="H286" s="2" t="s">
        <v>54</v>
      </c>
      <c r="I286" s="3">
        <v>34.500014999999998</v>
      </c>
      <c r="J286" s="3">
        <v>53.791699999999999</v>
      </c>
      <c r="K286" s="3">
        <v>24.25065</v>
      </c>
      <c r="L286" s="2">
        <v>18</v>
      </c>
      <c r="M286" s="2">
        <v>78</v>
      </c>
      <c r="N286" s="2">
        <f t="shared" si="6"/>
        <v>96</v>
      </c>
    </row>
    <row r="287" spans="1:14" x14ac:dyDescent="0.35">
      <c r="A287" s="2">
        <v>322</v>
      </c>
      <c r="B287" s="1">
        <v>44883</v>
      </c>
      <c r="C287" s="2" t="s">
        <v>16</v>
      </c>
      <c r="D287" s="2" t="s">
        <v>43</v>
      </c>
      <c r="E287" s="2" t="s">
        <v>59</v>
      </c>
      <c r="F287" s="2" t="s">
        <v>52</v>
      </c>
      <c r="G287" s="2" t="s">
        <v>5</v>
      </c>
      <c r="H287" s="2" t="s">
        <v>54</v>
      </c>
      <c r="I287" s="3">
        <v>24.150015</v>
      </c>
      <c r="J287" s="3">
        <v>41</v>
      </c>
      <c r="K287" s="3">
        <v>11.291710999999999</v>
      </c>
      <c r="L287" s="2">
        <v>18</v>
      </c>
      <c r="M287" s="2">
        <v>80</v>
      </c>
      <c r="N287" s="2">
        <f t="shared" si="6"/>
        <v>98</v>
      </c>
    </row>
    <row r="288" spans="1:14" x14ac:dyDescent="0.35">
      <c r="A288" s="2">
        <v>12</v>
      </c>
      <c r="B288" s="1">
        <v>44573</v>
      </c>
      <c r="C288" s="2" t="s">
        <v>13</v>
      </c>
      <c r="D288" s="2" t="s">
        <v>33</v>
      </c>
      <c r="E288" s="2" t="s">
        <v>59</v>
      </c>
      <c r="F288" s="2" t="s">
        <v>50</v>
      </c>
      <c r="G288" s="2" t="s">
        <v>5</v>
      </c>
      <c r="H288" s="2" t="s">
        <v>54</v>
      </c>
      <c r="I288" s="3">
        <v>30.637485000000002</v>
      </c>
      <c r="J288" s="3">
        <v>59.954499999999996</v>
      </c>
      <c r="K288" s="3">
        <v>20.410008999999999</v>
      </c>
      <c r="L288" s="2">
        <v>18</v>
      </c>
      <c r="M288" s="2">
        <v>84</v>
      </c>
      <c r="N288" s="2">
        <f t="shared" si="6"/>
        <v>102</v>
      </c>
    </row>
    <row r="289" spans="1:14" x14ac:dyDescent="0.35">
      <c r="A289" s="2">
        <v>336</v>
      </c>
      <c r="B289" s="1">
        <v>44897</v>
      </c>
      <c r="C289" s="2" t="s">
        <v>13</v>
      </c>
      <c r="D289" s="2" t="s">
        <v>44</v>
      </c>
      <c r="E289" s="2" t="s">
        <v>59</v>
      </c>
      <c r="F289" s="2" t="s">
        <v>52</v>
      </c>
      <c r="G289" s="2" t="s">
        <v>5</v>
      </c>
      <c r="H289" s="2" t="s">
        <v>54</v>
      </c>
      <c r="I289" s="3">
        <v>27.9</v>
      </c>
      <c r="J289" s="3">
        <v>62.583299999999994</v>
      </c>
      <c r="K289" s="3">
        <v>6.7505179999999996</v>
      </c>
      <c r="L289" s="2">
        <v>18</v>
      </c>
      <c r="M289" s="2">
        <v>88</v>
      </c>
      <c r="N289" s="2">
        <f t="shared" si="6"/>
        <v>106</v>
      </c>
    </row>
    <row r="290" spans="1:14" x14ac:dyDescent="0.35">
      <c r="A290" s="2">
        <v>127</v>
      </c>
      <c r="B290" s="1">
        <v>44688</v>
      </c>
      <c r="C290" s="2" t="s">
        <v>14</v>
      </c>
      <c r="D290" s="2" t="s">
        <v>37</v>
      </c>
      <c r="E290" s="2" t="s">
        <v>59</v>
      </c>
      <c r="F290" s="2" t="s">
        <v>53</v>
      </c>
      <c r="G290" s="2" t="s">
        <v>60</v>
      </c>
      <c r="H290" s="2" t="s">
        <v>54</v>
      </c>
      <c r="I290" s="3">
        <v>15.674985</v>
      </c>
      <c r="J290" s="3">
        <v>54.125</v>
      </c>
      <c r="K290" s="3">
        <v>10.750150000000001</v>
      </c>
      <c r="L290" s="2">
        <v>19</v>
      </c>
      <c r="M290" s="2">
        <v>54</v>
      </c>
      <c r="N290" s="2">
        <f t="shared" si="6"/>
        <v>73</v>
      </c>
    </row>
    <row r="291" spans="1:14" x14ac:dyDescent="0.35">
      <c r="A291" s="2">
        <v>140</v>
      </c>
      <c r="B291" s="1">
        <v>44701</v>
      </c>
      <c r="C291" s="2" t="s">
        <v>14</v>
      </c>
      <c r="D291" s="2" t="s">
        <v>37</v>
      </c>
      <c r="E291" s="2" t="s">
        <v>59</v>
      </c>
      <c r="F291" s="2" t="s">
        <v>52</v>
      </c>
      <c r="G291" s="2" t="s">
        <v>5</v>
      </c>
      <c r="H291" s="2" t="s">
        <v>54</v>
      </c>
      <c r="I291" s="3">
        <v>14.812514999999999</v>
      </c>
      <c r="J291" s="3">
        <v>71.958299999999994</v>
      </c>
      <c r="K291" s="3">
        <v>8.3758710000000001</v>
      </c>
      <c r="L291" s="2">
        <v>19</v>
      </c>
      <c r="M291" s="2">
        <v>54</v>
      </c>
      <c r="N291" s="2">
        <f t="shared" si="6"/>
        <v>73</v>
      </c>
    </row>
    <row r="292" spans="1:14" x14ac:dyDescent="0.35">
      <c r="A292" s="2">
        <v>357</v>
      </c>
      <c r="B292" s="1">
        <v>44918</v>
      </c>
      <c r="C292" s="2" t="s">
        <v>13</v>
      </c>
      <c r="D292" s="2" t="s">
        <v>44</v>
      </c>
      <c r="E292" s="2" t="s">
        <v>59</v>
      </c>
      <c r="F292" s="2" t="s">
        <v>52</v>
      </c>
      <c r="G292" s="2" t="s">
        <v>5</v>
      </c>
      <c r="H292" s="2" t="s">
        <v>54</v>
      </c>
      <c r="I292" s="3">
        <v>32.587515000000003</v>
      </c>
      <c r="J292" s="3">
        <v>68.625</v>
      </c>
      <c r="K292" s="3">
        <v>18.374482</v>
      </c>
      <c r="L292" s="2">
        <v>19</v>
      </c>
      <c r="M292" s="2">
        <v>80</v>
      </c>
      <c r="N292" s="2">
        <f t="shared" si="6"/>
        <v>99</v>
      </c>
    </row>
    <row r="293" spans="1:14" x14ac:dyDescent="0.35">
      <c r="A293" s="2">
        <v>97</v>
      </c>
      <c r="B293" s="1">
        <v>44658</v>
      </c>
      <c r="C293" s="2" t="s">
        <v>14</v>
      </c>
      <c r="D293" s="2" t="s">
        <v>36</v>
      </c>
      <c r="E293" s="2" t="s">
        <v>59</v>
      </c>
      <c r="F293" s="2" t="s">
        <v>51</v>
      </c>
      <c r="G293" s="2" t="s">
        <v>5</v>
      </c>
      <c r="H293" s="2" t="s">
        <v>54</v>
      </c>
      <c r="I293" s="3">
        <v>22.987485</v>
      </c>
      <c r="J293" s="3">
        <v>60.291700000000006</v>
      </c>
      <c r="K293" s="3">
        <v>10.874904000000001</v>
      </c>
      <c r="L293" s="2">
        <v>19</v>
      </c>
      <c r="M293" s="2">
        <v>81</v>
      </c>
      <c r="N293" s="2">
        <f t="shared" si="6"/>
        <v>100</v>
      </c>
    </row>
    <row r="294" spans="1:14" x14ac:dyDescent="0.35">
      <c r="A294" s="2">
        <v>53</v>
      </c>
      <c r="B294" s="1">
        <v>44614</v>
      </c>
      <c r="C294" s="2" t="s">
        <v>13</v>
      </c>
      <c r="D294" s="2" t="s">
        <v>34</v>
      </c>
      <c r="E294" s="2" t="s">
        <v>59</v>
      </c>
      <c r="F294" s="2" t="s">
        <v>49</v>
      </c>
      <c r="G294" s="2" t="s">
        <v>5</v>
      </c>
      <c r="H294" s="2" t="s">
        <v>54</v>
      </c>
      <c r="I294" s="3">
        <v>30.299985</v>
      </c>
      <c r="J294" s="3">
        <v>57.777799999999999</v>
      </c>
      <c r="K294" s="3">
        <v>13.110761</v>
      </c>
      <c r="L294" s="2">
        <v>19</v>
      </c>
      <c r="M294" s="2">
        <v>84</v>
      </c>
      <c r="N294" s="2">
        <f t="shared" si="6"/>
        <v>103</v>
      </c>
    </row>
    <row r="295" spans="1:14" x14ac:dyDescent="0.35">
      <c r="A295" s="2">
        <v>254</v>
      </c>
      <c r="B295" s="1">
        <v>44815</v>
      </c>
      <c r="C295" s="2" t="s">
        <v>16</v>
      </c>
      <c r="D295" s="2" t="s">
        <v>41</v>
      </c>
      <c r="E295" s="2" t="s">
        <v>59</v>
      </c>
      <c r="F295" s="2" t="s">
        <v>47</v>
      </c>
      <c r="G295" s="2" t="s">
        <v>60</v>
      </c>
      <c r="H295" s="2" t="s">
        <v>54</v>
      </c>
      <c r="I295" s="3">
        <v>17.295660000000002</v>
      </c>
      <c r="J295" s="3">
        <v>71.375</v>
      </c>
      <c r="K295" s="3">
        <v>7.7086180000000004</v>
      </c>
      <c r="L295" s="2">
        <v>20</v>
      </c>
      <c r="M295" s="2">
        <v>29</v>
      </c>
      <c r="N295" s="2">
        <f t="shared" si="6"/>
        <v>49</v>
      </c>
    </row>
    <row r="296" spans="1:14" x14ac:dyDescent="0.35">
      <c r="A296" s="2">
        <v>267</v>
      </c>
      <c r="B296" s="1">
        <v>44828</v>
      </c>
      <c r="C296" s="2" t="s">
        <v>16</v>
      </c>
      <c r="D296" s="2" t="s">
        <v>41</v>
      </c>
      <c r="E296" s="2" t="s">
        <v>59</v>
      </c>
      <c r="F296" s="2" t="s">
        <v>53</v>
      </c>
      <c r="G296" s="2" t="s">
        <v>60</v>
      </c>
      <c r="H296" s="2" t="s">
        <v>55</v>
      </c>
      <c r="I296" s="3">
        <v>11.962484999999999</v>
      </c>
      <c r="J296" s="3">
        <v>86.25</v>
      </c>
      <c r="K296" s="3">
        <v>5.2516810999999999</v>
      </c>
      <c r="L296" s="2">
        <v>20</v>
      </c>
      <c r="M296" s="2">
        <v>30</v>
      </c>
      <c r="N296" s="2">
        <f t="shared" si="6"/>
        <v>50</v>
      </c>
    </row>
    <row r="297" spans="1:14" x14ac:dyDescent="0.35">
      <c r="A297" s="2">
        <v>21</v>
      </c>
      <c r="B297" s="1">
        <v>44582</v>
      </c>
      <c r="C297" s="2" t="s">
        <v>13</v>
      </c>
      <c r="D297" s="2" t="s">
        <v>33</v>
      </c>
      <c r="E297" s="2" t="s">
        <v>59</v>
      </c>
      <c r="F297" s="2" t="s">
        <v>52</v>
      </c>
      <c r="G297" s="2" t="s">
        <v>5</v>
      </c>
      <c r="H297" s="2" t="s">
        <v>54</v>
      </c>
      <c r="I297" s="3">
        <v>38.212515000000003</v>
      </c>
      <c r="J297" s="3">
        <v>45.708300000000001</v>
      </c>
      <c r="K297" s="3">
        <v>23.667214000000001</v>
      </c>
      <c r="L297" s="2">
        <v>20</v>
      </c>
      <c r="M297" s="2">
        <v>46</v>
      </c>
      <c r="N297" s="2">
        <f t="shared" si="6"/>
        <v>66</v>
      </c>
    </row>
    <row r="298" spans="1:14" x14ac:dyDescent="0.35">
      <c r="A298" s="2">
        <v>134</v>
      </c>
      <c r="B298" s="1">
        <v>44695</v>
      </c>
      <c r="C298" s="2" t="s">
        <v>14</v>
      </c>
      <c r="D298" s="2" t="s">
        <v>37</v>
      </c>
      <c r="E298" s="2" t="s">
        <v>59</v>
      </c>
      <c r="F298" s="2" t="s">
        <v>53</v>
      </c>
      <c r="G298" s="2" t="s">
        <v>60</v>
      </c>
      <c r="H298" s="2" t="s">
        <v>55</v>
      </c>
      <c r="I298" s="3">
        <v>19.837484999999997</v>
      </c>
      <c r="J298" s="3">
        <v>92.25</v>
      </c>
      <c r="K298" s="3">
        <v>9.0416499999999989</v>
      </c>
      <c r="L298" s="2">
        <v>20</v>
      </c>
      <c r="M298" s="2">
        <v>54</v>
      </c>
      <c r="N298" s="2">
        <f t="shared" si="6"/>
        <v>74</v>
      </c>
    </row>
    <row r="299" spans="1:14" x14ac:dyDescent="0.35">
      <c r="A299" s="2">
        <v>34</v>
      </c>
      <c r="B299" s="1">
        <v>44595</v>
      </c>
      <c r="C299" s="2" t="s">
        <v>13</v>
      </c>
      <c r="D299" s="2" t="s">
        <v>34</v>
      </c>
      <c r="E299" s="2" t="s">
        <v>59</v>
      </c>
      <c r="F299" s="2" t="s">
        <v>51</v>
      </c>
      <c r="G299" s="2" t="s">
        <v>5</v>
      </c>
      <c r="H299" s="2" t="s">
        <v>54</v>
      </c>
      <c r="I299" s="3">
        <v>31.987485000000003</v>
      </c>
      <c r="J299" s="3">
        <v>43.782600000000002</v>
      </c>
      <c r="K299" s="3">
        <v>18.609383999999999</v>
      </c>
      <c r="L299" s="2">
        <v>20</v>
      </c>
      <c r="M299" s="2">
        <v>77</v>
      </c>
      <c r="N299" s="2">
        <f t="shared" si="6"/>
        <v>97</v>
      </c>
    </row>
    <row r="300" spans="1:14" x14ac:dyDescent="0.35">
      <c r="A300" s="2">
        <v>261</v>
      </c>
      <c r="B300" s="1">
        <v>44822</v>
      </c>
      <c r="C300" s="2" t="s">
        <v>16</v>
      </c>
      <c r="D300" s="2" t="s">
        <v>41</v>
      </c>
      <c r="E300" s="2" t="s">
        <v>59</v>
      </c>
      <c r="F300" s="2" t="s">
        <v>47</v>
      </c>
      <c r="G300" s="2" t="s">
        <v>60</v>
      </c>
      <c r="H300" s="2" t="s">
        <v>54</v>
      </c>
      <c r="I300" s="3">
        <v>14.9625</v>
      </c>
      <c r="J300" s="3">
        <v>69.5</v>
      </c>
      <c r="K300" s="3">
        <v>11.958361</v>
      </c>
      <c r="L300" s="2">
        <v>21</v>
      </c>
      <c r="M300" s="2">
        <v>28</v>
      </c>
      <c r="N300" s="2">
        <f t="shared" si="6"/>
        <v>49</v>
      </c>
    </row>
    <row r="301" spans="1:14" x14ac:dyDescent="0.35">
      <c r="A301" s="2">
        <v>22</v>
      </c>
      <c r="B301" s="1">
        <v>44583</v>
      </c>
      <c r="C301" s="2" t="s">
        <v>13</v>
      </c>
      <c r="D301" s="2" t="s">
        <v>33</v>
      </c>
      <c r="E301" s="2" t="s">
        <v>59</v>
      </c>
      <c r="F301" s="2" t="s">
        <v>53</v>
      </c>
      <c r="G301" s="2" t="s">
        <v>60</v>
      </c>
      <c r="H301" s="2" t="s">
        <v>54</v>
      </c>
      <c r="I301" s="3">
        <v>37.35</v>
      </c>
      <c r="J301" s="3">
        <v>40</v>
      </c>
      <c r="K301" s="3">
        <v>11.521990000000001</v>
      </c>
      <c r="L301" s="2">
        <v>21</v>
      </c>
      <c r="M301" s="2">
        <v>51</v>
      </c>
      <c r="N301" s="2">
        <f t="shared" si="6"/>
        <v>72</v>
      </c>
    </row>
    <row r="302" spans="1:14" x14ac:dyDescent="0.35">
      <c r="A302" s="2">
        <v>3</v>
      </c>
      <c r="B302" s="1">
        <v>44564</v>
      </c>
      <c r="C302" s="2" t="s">
        <v>13</v>
      </c>
      <c r="D302" s="2" t="s">
        <v>33</v>
      </c>
      <c r="E302" s="2" t="s">
        <v>59</v>
      </c>
      <c r="F302" s="2" t="s">
        <v>48</v>
      </c>
      <c r="G302" s="2" t="s">
        <v>5</v>
      </c>
      <c r="H302" s="2" t="s">
        <v>54</v>
      </c>
      <c r="I302" s="3">
        <v>33.600014999999999</v>
      </c>
      <c r="J302" s="3">
        <v>43.7273</v>
      </c>
      <c r="K302" s="3">
        <v>16.636703000000001</v>
      </c>
      <c r="L302" s="2">
        <v>21</v>
      </c>
      <c r="M302" s="2">
        <v>73</v>
      </c>
      <c r="N302" s="2">
        <f t="shared" si="6"/>
        <v>94</v>
      </c>
    </row>
    <row r="303" spans="1:14" x14ac:dyDescent="0.35">
      <c r="A303" s="2">
        <v>41</v>
      </c>
      <c r="B303" s="1">
        <v>44602</v>
      </c>
      <c r="C303" s="2" t="s">
        <v>13</v>
      </c>
      <c r="D303" s="2" t="s">
        <v>34</v>
      </c>
      <c r="E303" s="2" t="s">
        <v>59</v>
      </c>
      <c r="F303" s="2" t="s">
        <v>51</v>
      </c>
      <c r="G303" s="2" t="s">
        <v>5</v>
      </c>
      <c r="H303" s="2" t="s">
        <v>54</v>
      </c>
      <c r="I303" s="3">
        <v>31.874984999999999</v>
      </c>
      <c r="J303" s="3">
        <v>43.739100000000001</v>
      </c>
      <c r="K303" s="3">
        <v>14.869645</v>
      </c>
      <c r="L303" s="2">
        <v>21</v>
      </c>
      <c r="M303" s="2">
        <v>77</v>
      </c>
      <c r="N303" s="2">
        <f t="shared" si="6"/>
        <v>98</v>
      </c>
    </row>
    <row r="304" spans="1:14" x14ac:dyDescent="0.35">
      <c r="A304" s="2">
        <v>363</v>
      </c>
      <c r="B304" s="1">
        <v>44924</v>
      </c>
      <c r="C304" s="2" t="s">
        <v>13</v>
      </c>
      <c r="D304" s="2" t="s">
        <v>44</v>
      </c>
      <c r="E304" s="2" t="s">
        <v>59</v>
      </c>
      <c r="F304" s="2" t="s">
        <v>51</v>
      </c>
      <c r="G304" s="2" t="s">
        <v>5</v>
      </c>
      <c r="H304" s="2" t="s">
        <v>54</v>
      </c>
      <c r="I304" s="3">
        <v>31.350015000000003</v>
      </c>
      <c r="J304" s="3">
        <v>57.416699999999999</v>
      </c>
      <c r="K304" s="3">
        <v>8.0006040000000009</v>
      </c>
      <c r="L304" s="2">
        <v>21</v>
      </c>
      <c r="M304" s="2">
        <v>90</v>
      </c>
      <c r="N304" s="2">
        <f t="shared" si="6"/>
        <v>111</v>
      </c>
    </row>
    <row r="305" spans="1:14" x14ac:dyDescent="0.35">
      <c r="A305" s="2">
        <v>146</v>
      </c>
      <c r="B305" s="1">
        <v>44707</v>
      </c>
      <c r="C305" s="2" t="s">
        <v>14</v>
      </c>
      <c r="D305" s="2" t="s">
        <v>37</v>
      </c>
      <c r="E305" s="2" t="s">
        <v>59</v>
      </c>
      <c r="F305" s="2" t="s">
        <v>51</v>
      </c>
      <c r="G305" s="2" t="s">
        <v>5</v>
      </c>
      <c r="H305" s="2" t="s">
        <v>54</v>
      </c>
      <c r="I305" s="3">
        <v>16.875</v>
      </c>
      <c r="J305" s="3">
        <v>67.75</v>
      </c>
      <c r="K305" s="3">
        <v>13.376014</v>
      </c>
      <c r="L305" s="2">
        <v>22</v>
      </c>
      <c r="M305" s="2">
        <v>34</v>
      </c>
      <c r="N305" s="2">
        <f t="shared" si="6"/>
        <v>56</v>
      </c>
    </row>
    <row r="306" spans="1:14" x14ac:dyDescent="0.35">
      <c r="A306" s="2">
        <v>303</v>
      </c>
      <c r="B306" s="1">
        <v>44864</v>
      </c>
      <c r="C306" s="2" t="s">
        <v>16</v>
      </c>
      <c r="D306" s="2" t="s">
        <v>42</v>
      </c>
      <c r="E306" s="2" t="s">
        <v>59</v>
      </c>
      <c r="F306" s="2" t="s">
        <v>47</v>
      </c>
      <c r="G306" s="2" t="s">
        <v>60</v>
      </c>
      <c r="H306" s="2" t="s">
        <v>54</v>
      </c>
      <c r="I306" s="3">
        <v>20.325015</v>
      </c>
      <c r="J306" s="3">
        <v>62.375</v>
      </c>
      <c r="K306" s="3">
        <v>11.833339</v>
      </c>
      <c r="L306" s="2">
        <v>23</v>
      </c>
      <c r="M306" s="2">
        <v>44</v>
      </c>
      <c r="N306" s="2">
        <f t="shared" si="6"/>
        <v>67</v>
      </c>
    </row>
    <row r="307" spans="1:14" x14ac:dyDescent="0.35">
      <c r="A307" s="2">
        <v>126</v>
      </c>
      <c r="B307" s="1">
        <v>44687</v>
      </c>
      <c r="C307" s="2" t="s">
        <v>14</v>
      </c>
      <c r="D307" s="2" t="s">
        <v>37</v>
      </c>
      <c r="E307" s="2" t="s">
        <v>59</v>
      </c>
      <c r="F307" s="2" t="s">
        <v>52</v>
      </c>
      <c r="G307" s="2" t="s">
        <v>5</v>
      </c>
      <c r="H307" s="2" t="s">
        <v>54</v>
      </c>
      <c r="I307" s="3">
        <v>14.700014999999999</v>
      </c>
      <c r="J307" s="3">
        <v>59</v>
      </c>
      <c r="K307" s="3">
        <v>15.292482</v>
      </c>
      <c r="L307" s="2">
        <v>23</v>
      </c>
      <c r="M307" s="2">
        <v>55</v>
      </c>
      <c r="N307" s="2">
        <f t="shared" si="6"/>
        <v>78</v>
      </c>
    </row>
    <row r="308" spans="1:14" x14ac:dyDescent="0.35">
      <c r="A308" s="2">
        <v>282</v>
      </c>
      <c r="B308" s="1">
        <v>44843</v>
      </c>
      <c r="C308" s="2" t="s">
        <v>16</v>
      </c>
      <c r="D308" s="2" t="s">
        <v>42</v>
      </c>
      <c r="E308" s="2" t="s">
        <v>59</v>
      </c>
      <c r="F308" s="2" t="s">
        <v>47</v>
      </c>
      <c r="G308" s="2" t="s">
        <v>60</v>
      </c>
      <c r="H308" s="2" t="s">
        <v>54</v>
      </c>
      <c r="I308" s="3">
        <v>19.200015</v>
      </c>
      <c r="J308" s="3">
        <v>72.75</v>
      </c>
      <c r="K308" s="3">
        <v>4.2511500000000009</v>
      </c>
      <c r="L308" s="2">
        <v>24</v>
      </c>
      <c r="M308" s="2">
        <v>34</v>
      </c>
      <c r="N308" s="2">
        <f t="shared" si="6"/>
        <v>58</v>
      </c>
    </row>
    <row r="309" spans="1:14" x14ac:dyDescent="0.35">
      <c r="A309" s="2">
        <v>147</v>
      </c>
      <c r="B309" s="1">
        <v>44708</v>
      </c>
      <c r="C309" s="2" t="s">
        <v>14</v>
      </c>
      <c r="D309" s="2" t="s">
        <v>37</v>
      </c>
      <c r="E309" s="2" t="s">
        <v>59</v>
      </c>
      <c r="F309" s="2" t="s">
        <v>52</v>
      </c>
      <c r="G309" s="2" t="s">
        <v>5</v>
      </c>
      <c r="H309" s="2" t="s">
        <v>54</v>
      </c>
      <c r="I309" s="3">
        <v>16.912485</v>
      </c>
      <c r="J309" s="3">
        <v>65.375</v>
      </c>
      <c r="K309" s="3">
        <v>16.125492999999999</v>
      </c>
      <c r="L309" s="2">
        <v>25</v>
      </c>
      <c r="M309" s="2">
        <v>36</v>
      </c>
      <c r="N309" s="2">
        <f t="shared" si="6"/>
        <v>61</v>
      </c>
    </row>
    <row r="310" spans="1:14" x14ac:dyDescent="0.35">
      <c r="A310" s="2">
        <v>65</v>
      </c>
      <c r="B310" s="1">
        <v>44626</v>
      </c>
      <c r="C310" s="2" t="s">
        <v>14</v>
      </c>
      <c r="D310" s="2" t="s">
        <v>35</v>
      </c>
      <c r="E310" s="2" t="s">
        <v>59</v>
      </c>
      <c r="F310" s="2" t="s">
        <v>47</v>
      </c>
      <c r="G310" s="2" t="s">
        <v>60</v>
      </c>
      <c r="H310" s="2" t="s">
        <v>55</v>
      </c>
      <c r="I310" s="3">
        <v>30.299985</v>
      </c>
      <c r="J310" s="3">
        <v>94.826099999999997</v>
      </c>
      <c r="K310" s="3">
        <v>23.000229000000001</v>
      </c>
      <c r="L310" s="2">
        <v>25</v>
      </c>
      <c r="M310" s="2">
        <v>42</v>
      </c>
      <c r="N310" s="2">
        <f t="shared" si="6"/>
        <v>67</v>
      </c>
    </row>
    <row r="311" spans="1:14" x14ac:dyDescent="0.35">
      <c r="A311" s="2">
        <v>50</v>
      </c>
      <c r="B311" s="1">
        <v>44611</v>
      </c>
      <c r="C311" s="2" t="s">
        <v>13</v>
      </c>
      <c r="D311" s="2" t="s">
        <v>34</v>
      </c>
      <c r="E311" s="2" t="s">
        <v>59</v>
      </c>
      <c r="F311" s="2" t="s">
        <v>53</v>
      </c>
      <c r="G311" s="2" t="s">
        <v>60</v>
      </c>
      <c r="H311" s="2" t="s">
        <v>54</v>
      </c>
      <c r="I311" s="3">
        <v>31.987485000000003</v>
      </c>
      <c r="J311" s="3">
        <v>18.791699999999999</v>
      </c>
      <c r="K311" s="3">
        <v>34.000020999999997</v>
      </c>
      <c r="L311" s="2">
        <v>25</v>
      </c>
      <c r="M311" s="2">
        <v>52</v>
      </c>
      <c r="N311" s="2">
        <f t="shared" si="6"/>
        <v>77</v>
      </c>
    </row>
    <row r="312" spans="1:14" x14ac:dyDescent="0.35">
      <c r="A312" s="2">
        <v>364</v>
      </c>
      <c r="B312" s="1">
        <v>44925</v>
      </c>
      <c r="C312" s="2" t="s">
        <v>13</v>
      </c>
      <c r="D312" s="2" t="s">
        <v>44</v>
      </c>
      <c r="E312" s="2" t="s">
        <v>59</v>
      </c>
      <c r="F312" s="2" t="s">
        <v>52</v>
      </c>
      <c r="G312" s="2" t="s">
        <v>5</v>
      </c>
      <c r="H312" s="2" t="s">
        <v>54</v>
      </c>
      <c r="I312" s="3">
        <v>32.512500000000003</v>
      </c>
      <c r="J312" s="3">
        <v>63.666699999999999</v>
      </c>
      <c r="K312" s="3">
        <v>9.0005790000000001</v>
      </c>
      <c r="L312" s="2">
        <v>25</v>
      </c>
      <c r="M312" s="2">
        <v>82</v>
      </c>
      <c r="N312" s="2">
        <f t="shared" si="6"/>
        <v>107</v>
      </c>
    </row>
    <row r="313" spans="1:14" x14ac:dyDescent="0.35">
      <c r="A313" s="2">
        <v>36</v>
      </c>
      <c r="B313" s="1">
        <v>44597</v>
      </c>
      <c r="C313" s="2" t="s">
        <v>13</v>
      </c>
      <c r="D313" s="2" t="s">
        <v>34</v>
      </c>
      <c r="E313" s="2" t="s">
        <v>59</v>
      </c>
      <c r="F313" s="2" t="s">
        <v>53</v>
      </c>
      <c r="G313" s="2" t="s">
        <v>60</v>
      </c>
      <c r="H313" s="2" t="s">
        <v>55</v>
      </c>
      <c r="I313" s="3">
        <v>33.412500000000001</v>
      </c>
      <c r="J313" s="3">
        <v>92.916699999999992</v>
      </c>
      <c r="K313" s="3">
        <v>10.792293000000001</v>
      </c>
      <c r="L313" s="2">
        <v>26</v>
      </c>
      <c r="M313" s="2">
        <v>50</v>
      </c>
      <c r="N313" s="2">
        <f t="shared" si="6"/>
        <v>76</v>
      </c>
    </row>
    <row r="314" spans="1:14" x14ac:dyDescent="0.35">
      <c r="A314" s="2">
        <v>133</v>
      </c>
      <c r="B314" s="1">
        <v>44694</v>
      </c>
      <c r="C314" s="2" t="s">
        <v>14</v>
      </c>
      <c r="D314" s="2" t="s">
        <v>37</v>
      </c>
      <c r="E314" s="2" t="s">
        <v>59</v>
      </c>
      <c r="F314" s="2" t="s">
        <v>52</v>
      </c>
      <c r="G314" s="2" t="s">
        <v>5</v>
      </c>
      <c r="H314" s="2" t="s">
        <v>55</v>
      </c>
      <c r="I314" s="3">
        <v>16.050015000000002</v>
      </c>
      <c r="J314" s="3">
        <v>86.333300000000008</v>
      </c>
      <c r="K314" s="3">
        <v>12.041575</v>
      </c>
      <c r="L314" s="2">
        <v>26</v>
      </c>
      <c r="M314" s="2">
        <v>56</v>
      </c>
      <c r="N314" s="2">
        <f t="shared" si="6"/>
        <v>82</v>
      </c>
    </row>
    <row r="315" spans="1:14" x14ac:dyDescent="0.35">
      <c r="A315" s="2">
        <v>13</v>
      </c>
      <c r="B315" s="1">
        <v>44574</v>
      </c>
      <c r="C315" s="2" t="s">
        <v>13</v>
      </c>
      <c r="D315" s="2" t="s">
        <v>33</v>
      </c>
      <c r="E315" s="2" t="s">
        <v>59</v>
      </c>
      <c r="F315" s="2" t="s">
        <v>51</v>
      </c>
      <c r="G315" s="2" t="s">
        <v>5</v>
      </c>
      <c r="H315" s="2" t="s">
        <v>54</v>
      </c>
      <c r="I315" s="3">
        <v>29.849984999999997</v>
      </c>
      <c r="J315" s="3">
        <v>47.041699999999999</v>
      </c>
      <c r="K315" s="3">
        <v>20.166999999999998</v>
      </c>
      <c r="L315" s="2">
        <v>26</v>
      </c>
      <c r="M315" s="2">
        <v>84</v>
      </c>
      <c r="N315" s="2">
        <f t="shared" si="6"/>
        <v>110</v>
      </c>
    </row>
    <row r="316" spans="1:14" x14ac:dyDescent="0.35">
      <c r="A316" s="2">
        <v>52</v>
      </c>
      <c r="B316" s="1">
        <v>44613</v>
      </c>
      <c r="C316" s="2" t="s">
        <v>13</v>
      </c>
      <c r="D316" s="2" t="s">
        <v>34</v>
      </c>
      <c r="E316" s="2" t="s">
        <v>3</v>
      </c>
      <c r="F316" s="2" t="s">
        <v>48</v>
      </c>
      <c r="G316" s="2" t="s">
        <v>60</v>
      </c>
      <c r="H316" s="2" t="s">
        <v>55</v>
      </c>
      <c r="I316" s="3">
        <v>28.837485000000001</v>
      </c>
      <c r="J316" s="3">
        <v>60.5</v>
      </c>
      <c r="K316" s="3">
        <v>20.625682000000001</v>
      </c>
      <c r="L316" s="2">
        <v>26</v>
      </c>
      <c r="M316" s="2">
        <v>92</v>
      </c>
      <c r="N316" s="2">
        <f t="shared" si="6"/>
        <v>118</v>
      </c>
    </row>
    <row r="317" spans="1:14" x14ac:dyDescent="0.35">
      <c r="A317" s="2">
        <v>43</v>
      </c>
      <c r="B317" s="1">
        <v>44604</v>
      </c>
      <c r="C317" s="2" t="s">
        <v>13</v>
      </c>
      <c r="D317" s="2" t="s">
        <v>34</v>
      </c>
      <c r="E317" s="2" t="s">
        <v>59</v>
      </c>
      <c r="F317" s="2" t="s">
        <v>53</v>
      </c>
      <c r="G317" s="2" t="s">
        <v>60</v>
      </c>
      <c r="H317" s="2" t="s">
        <v>54</v>
      </c>
      <c r="I317" s="3">
        <v>30.450015</v>
      </c>
      <c r="J317" s="3">
        <v>54.416699999999999</v>
      </c>
      <c r="K317" s="3">
        <v>13.625589</v>
      </c>
      <c r="L317" s="2">
        <v>27</v>
      </c>
      <c r="M317" s="2">
        <v>50</v>
      </c>
      <c r="N317" s="2">
        <f t="shared" si="6"/>
        <v>77</v>
      </c>
    </row>
    <row r="318" spans="1:14" x14ac:dyDescent="0.35">
      <c r="A318" s="2">
        <v>78</v>
      </c>
      <c r="B318" s="1">
        <v>44639</v>
      </c>
      <c r="C318" s="2" t="s">
        <v>14</v>
      </c>
      <c r="D318" s="2" t="s">
        <v>35</v>
      </c>
      <c r="E318" s="2" t="s">
        <v>59</v>
      </c>
      <c r="F318" s="2" t="s">
        <v>53</v>
      </c>
      <c r="G318" s="2" t="s">
        <v>60</v>
      </c>
      <c r="H318" s="2" t="s">
        <v>54</v>
      </c>
      <c r="I318" s="3">
        <v>22.837499999999999</v>
      </c>
      <c r="J318" s="3">
        <v>37.916699999999999</v>
      </c>
      <c r="K318" s="3">
        <v>24.667189</v>
      </c>
      <c r="L318" s="2">
        <v>27</v>
      </c>
      <c r="M318" s="2">
        <v>58</v>
      </c>
      <c r="N318" s="2">
        <f t="shared" si="6"/>
        <v>85</v>
      </c>
    </row>
    <row r="319" spans="1:14" x14ac:dyDescent="0.35">
      <c r="A319" s="2">
        <v>260</v>
      </c>
      <c r="B319" s="1">
        <v>44821</v>
      </c>
      <c r="C319" s="2" t="s">
        <v>16</v>
      </c>
      <c r="D319" s="2" t="s">
        <v>41</v>
      </c>
      <c r="E319" s="2" t="s">
        <v>59</v>
      </c>
      <c r="F319" s="2" t="s">
        <v>53</v>
      </c>
      <c r="G319" s="2" t="s">
        <v>60</v>
      </c>
      <c r="H319" s="2" t="s">
        <v>55</v>
      </c>
      <c r="I319" s="3">
        <v>21.262499999999999</v>
      </c>
      <c r="J319" s="3">
        <v>71.833299999999994</v>
      </c>
      <c r="K319" s="3">
        <v>12.708225000000001</v>
      </c>
      <c r="L319" s="2">
        <v>28</v>
      </c>
      <c r="M319" s="2">
        <v>34</v>
      </c>
      <c r="N319" s="2">
        <f t="shared" si="6"/>
        <v>62</v>
      </c>
    </row>
    <row r="320" spans="1:14" x14ac:dyDescent="0.35">
      <c r="A320" s="2">
        <v>57</v>
      </c>
      <c r="B320" s="1">
        <v>44618</v>
      </c>
      <c r="C320" s="2" t="s">
        <v>13</v>
      </c>
      <c r="D320" s="2" t="s">
        <v>34</v>
      </c>
      <c r="E320" s="2" t="s">
        <v>59</v>
      </c>
      <c r="F320" s="2" t="s">
        <v>53</v>
      </c>
      <c r="G320" s="2" t="s">
        <v>60</v>
      </c>
      <c r="H320" s="2" t="s">
        <v>54</v>
      </c>
      <c r="I320" s="3">
        <v>31.817654999999998</v>
      </c>
      <c r="J320" s="3">
        <v>53.791699999999999</v>
      </c>
      <c r="K320" s="3">
        <v>12.500257</v>
      </c>
      <c r="L320" s="2">
        <v>28</v>
      </c>
      <c r="M320" s="2">
        <v>58</v>
      </c>
      <c r="N320" s="2">
        <f t="shared" si="6"/>
        <v>86</v>
      </c>
    </row>
    <row r="321" spans="1:14" x14ac:dyDescent="0.35">
      <c r="A321" s="2">
        <v>310</v>
      </c>
      <c r="B321" s="1">
        <v>44871</v>
      </c>
      <c r="C321" s="2" t="s">
        <v>16</v>
      </c>
      <c r="D321" s="2" t="s">
        <v>43</v>
      </c>
      <c r="E321" s="2" t="s">
        <v>59</v>
      </c>
      <c r="F321" s="2" t="s">
        <v>47</v>
      </c>
      <c r="G321" s="2" t="s">
        <v>60</v>
      </c>
      <c r="H321" s="2" t="s">
        <v>54</v>
      </c>
      <c r="I321" s="3">
        <v>23.774985000000001</v>
      </c>
      <c r="J321" s="3">
        <v>73.458299999999994</v>
      </c>
      <c r="K321" s="3">
        <v>6.1676314000000003</v>
      </c>
      <c r="L321" s="2">
        <v>28</v>
      </c>
      <c r="M321" s="2">
        <v>59</v>
      </c>
      <c r="N321" s="2">
        <f t="shared" si="6"/>
        <v>87</v>
      </c>
    </row>
    <row r="322" spans="1:14" x14ac:dyDescent="0.35">
      <c r="A322" s="2">
        <v>295</v>
      </c>
      <c r="B322" s="1">
        <v>44856</v>
      </c>
      <c r="C322" s="2" t="s">
        <v>16</v>
      </c>
      <c r="D322" s="2" t="s">
        <v>42</v>
      </c>
      <c r="E322" s="2" t="s">
        <v>59</v>
      </c>
      <c r="F322" s="2" t="s">
        <v>53</v>
      </c>
      <c r="G322" s="2" t="s">
        <v>60</v>
      </c>
      <c r="H322" s="2" t="s">
        <v>54</v>
      </c>
      <c r="I322" s="3">
        <v>20.7</v>
      </c>
      <c r="J322" s="3">
        <v>62.916700000000006</v>
      </c>
      <c r="K322" s="3">
        <v>6.2086689000000002</v>
      </c>
      <c r="L322" s="2">
        <v>29</v>
      </c>
      <c r="M322" s="2">
        <v>51</v>
      </c>
      <c r="N322" s="2">
        <f t="shared" si="6"/>
        <v>80</v>
      </c>
    </row>
    <row r="323" spans="1:14" x14ac:dyDescent="0.35">
      <c r="A323" s="2">
        <v>345</v>
      </c>
      <c r="B323" s="1">
        <v>44906</v>
      </c>
      <c r="C323" s="2" t="s">
        <v>13</v>
      </c>
      <c r="D323" s="2" t="s">
        <v>44</v>
      </c>
      <c r="E323" s="2" t="s">
        <v>59</v>
      </c>
      <c r="F323" s="2" t="s">
        <v>47</v>
      </c>
      <c r="G323" s="2" t="s">
        <v>60</v>
      </c>
      <c r="H323" s="2" t="s">
        <v>54</v>
      </c>
      <c r="I323" s="3">
        <v>31.162500000000001</v>
      </c>
      <c r="J323" s="3">
        <v>49</v>
      </c>
      <c r="K323" s="3">
        <v>4.4582938999999993</v>
      </c>
      <c r="L323" s="2">
        <v>29</v>
      </c>
      <c r="M323" s="2">
        <v>60</v>
      </c>
      <c r="N323" s="2">
        <f t="shared" ref="N323:N386" si="7">L323+M323</f>
        <v>89</v>
      </c>
    </row>
    <row r="324" spans="1:14" x14ac:dyDescent="0.35">
      <c r="A324" s="2">
        <v>77</v>
      </c>
      <c r="B324" s="1">
        <v>44638</v>
      </c>
      <c r="C324" s="2" t="s">
        <v>14</v>
      </c>
      <c r="D324" s="2" t="s">
        <v>35</v>
      </c>
      <c r="E324" s="2" t="s">
        <v>59</v>
      </c>
      <c r="F324" s="2" t="s">
        <v>52</v>
      </c>
      <c r="G324" s="2" t="s">
        <v>5</v>
      </c>
      <c r="H324" s="2" t="s">
        <v>54</v>
      </c>
      <c r="I324" s="3">
        <v>22.125015000000001</v>
      </c>
      <c r="J324" s="3">
        <v>52.521700000000003</v>
      </c>
      <c r="K324" s="3">
        <v>15.478139000000001</v>
      </c>
      <c r="L324" s="2">
        <v>29</v>
      </c>
      <c r="M324" s="2">
        <v>62</v>
      </c>
      <c r="N324" s="2">
        <f t="shared" si="7"/>
        <v>91</v>
      </c>
    </row>
    <row r="325" spans="1:14" x14ac:dyDescent="0.35">
      <c r="A325" s="2">
        <v>42</v>
      </c>
      <c r="B325" s="1">
        <v>44603</v>
      </c>
      <c r="C325" s="2" t="s">
        <v>13</v>
      </c>
      <c r="D325" s="2" t="s">
        <v>34</v>
      </c>
      <c r="E325" s="2" t="s">
        <v>59</v>
      </c>
      <c r="F325" s="2" t="s">
        <v>52</v>
      </c>
      <c r="G325" s="2" t="s">
        <v>5</v>
      </c>
      <c r="H325" s="2" t="s">
        <v>54</v>
      </c>
      <c r="I325" s="3">
        <v>30.862485</v>
      </c>
      <c r="J325" s="3">
        <v>50.636400000000002</v>
      </c>
      <c r="K325" s="3">
        <v>7.2728499999999991</v>
      </c>
      <c r="L325" s="2">
        <v>30</v>
      </c>
      <c r="M325" s="2">
        <v>53</v>
      </c>
      <c r="N325" s="2">
        <f t="shared" si="7"/>
        <v>83</v>
      </c>
    </row>
    <row r="326" spans="1:14" x14ac:dyDescent="0.35">
      <c r="A326" s="2">
        <v>35</v>
      </c>
      <c r="B326" s="1">
        <v>44596</v>
      </c>
      <c r="C326" s="2" t="s">
        <v>13</v>
      </c>
      <c r="D326" s="2" t="s">
        <v>34</v>
      </c>
      <c r="E326" s="2" t="s">
        <v>59</v>
      </c>
      <c r="F326" s="2" t="s">
        <v>52</v>
      </c>
      <c r="G326" s="2" t="s">
        <v>5</v>
      </c>
      <c r="H326" s="2" t="s">
        <v>55</v>
      </c>
      <c r="I326" s="3">
        <v>32.250015000000005</v>
      </c>
      <c r="J326" s="3">
        <v>58.521699999999996</v>
      </c>
      <c r="K326" s="3">
        <v>8.565213</v>
      </c>
      <c r="L326" s="2">
        <v>30</v>
      </c>
      <c r="M326" s="2">
        <v>55</v>
      </c>
      <c r="N326" s="2">
        <f t="shared" si="7"/>
        <v>85</v>
      </c>
    </row>
    <row r="327" spans="1:14" x14ac:dyDescent="0.35">
      <c r="A327" s="2">
        <v>29</v>
      </c>
      <c r="B327" s="1">
        <v>44590</v>
      </c>
      <c r="C327" s="2" t="s">
        <v>13</v>
      </c>
      <c r="D327" s="2" t="s">
        <v>33</v>
      </c>
      <c r="E327" s="2" t="s">
        <v>59</v>
      </c>
      <c r="F327" s="2" t="s">
        <v>53</v>
      </c>
      <c r="G327" s="2" t="s">
        <v>60</v>
      </c>
      <c r="H327" s="2" t="s">
        <v>54</v>
      </c>
      <c r="I327" s="3">
        <v>36.262484999999998</v>
      </c>
      <c r="J327" s="3">
        <v>65.173899999999989</v>
      </c>
      <c r="K327" s="3">
        <v>9.7394549999999995</v>
      </c>
      <c r="L327" s="2">
        <v>30</v>
      </c>
      <c r="M327" s="2">
        <v>56</v>
      </c>
      <c r="N327" s="2">
        <f t="shared" si="7"/>
        <v>86</v>
      </c>
    </row>
    <row r="328" spans="1:14" x14ac:dyDescent="0.35">
      <c r="A328" s="2">
        <v>112</v>
      </c>
      <c r="B328" s="1">
        <v>44673</v>
      </c>
      <c r="C328" s="2" t="s">
        <v>14</v>
      </c>
      <c r="D328" s="2" t="s">
        <v>36</v>
      </c>
      <c r="E328" s="2" t="s">
        <v>59</v>
      </c>
      <c r="F328" s="2" t="s">
        <v>52</v>
      </c>
      <c r="G328" s="2" t="s">
        <v>5</v>
      </c>
      <c r="H328" s="2" t="s">
        <v>55</v>
      </c>
      <c r="I328" s="3">
        <v>19.012499999999999</v>
      </c>
      <c r="J328" s="3">
        <v>72.958299999999994</v>
      </c>
      <c r="K328" s="3">
        <v>14.707906999999999</v>
      </c>
      <c r="L328" s="2">
        <v>30</v>
      </c>
      <c r="M328" s="2">
        <v>56</v>
      </c>
      <c r="N328" s="2">
        <f t="shared" si="7"/>
        <v>86</v>
      </c>
    </row>
    <row r="329" spans="1:14" x14ac:dyDescent="0.35">
      <c r="A329" s="2">
        <v>100</v>
      </c>
      <c r="B329" s="1">
        <v>44661</v>
      </c>
      <c r="C329" s="2" t="s">
        <v>14</v>
      </c>
      <c r="D329" s="2" t="s">
        <v>36</v>
      </c>
      <c r="E329" s="2" t="s">
        <v>59</v>
      </c>
      <c r="F329" s="2" t="s">
        <v>47</v>
      </c>
      <c r="G329" s="2" t="s">
        <v>60</v>
      </c>
      <c r="H329" s="2" t="s">
        <v>55</v>
      </c>
      <c r="I329" s="3">
        <v>25.687485000000002</v>
      </c>
      <c r="J329" s="3">
        <v>85.75</v>
      </c>
      <c r="K329" s="3">
        <v>9.8333890000000004</v>
      </c>
      <c r="L329" s="2">
        <v>30</v>
      </c>
      <c r="M329" s="2">
        <v>72</v>
      </c>
      <c r="N329" s="2">
        <f t="shared" si="7"/>
        <v>102</v>
      </c>
    </row>
    <row r="330" spans="1:14" x14ac:dyDescent="0.35">
      <c r="A330" s="2">
        <v>289</v>
      </c>
      <c r="B330" s="1">
        <v>44850</v>
      </c>
      <c r="C330" s="2" t="s">
        <v>16</v>
      </c>
      <c r="D330" s="2" t="s">
        <v>42</v>
      </c>
      <c r="E330" s="2" t="s">
        <v>59</v>
      </c>
      <c r="F330" s="2" t="s">
        <v>47</v>
      </c>
      <c r="G330" s="2" t="s">
        <v>60</v>
      </c>
      <c r="H330" s="2" t="s">
        <v>54</v>
      </c>
      <c r="I330" s="3">
        <v>20.550014999999998</v>
      </c>
      <c r="J330" s="3">
        <v>48.666699999999999</v>
      </c>
      <c r="K330" s="3">
        <v>18.875039000000001</v>
      </c>
      <c r="L330" s="2">
        <v>31</v>
      </c>
      <c r="M330" s="2">
        <v>44</v>
      </c>
      <c r="N330" s="2">
        <f t="shared" si="7"/>
        <v>75</v>
      </c>
    </row>
    <row r="331" spans="1:14" x14ac:dyDescent="0.35">
      <c r="A331" s="2">
        <v>332</v>
      </c>
      <c r="B331" s="1">
        <v>44893</v>
      </c>
      <c r="C331" s="2" t="s">
        <v>16</v>
      </c>
      <c r="D331" s="2" t="s">
        <v>43</v>
      </c>
      <c r="E331" s="2" t="s">
        <v>59</v>
      </c>
      <c r="F331" s="2" t="s">
        <v>48</v>
      </c>
      <c r="G331" s="2" t="s">
        <v>5</v>
      </c>
      <c r="H331" s="2" t="s">
        <v>54</v>
      </c>
      <c r="I331" s="3">
        <v>32.999985000000002</v>
      </c>
      <c r="J331" s="3">
        <v>74.304299999999998</v>
      </c>
      <c r="K331" s="3">
        <v>9.5221739999999997</v>
      </c>
      <c r="L331" s="2">
        <v>31</v>
      </c>
      <c r="M331" s="2">
        <v>51</v>
      </c>
      <c r="N331" s="2">
        <f t="shared" si="7"/>
        <v>82</v>
      </c>
    </row>
    <row r="332" spans="1:14" x14ac:dyDescent="0.35">
      <c r="A332" s="2">
        <v>28</v>
      </c>
      <c r="B332" s="1">
        <v>44589</v>
      </c>
      <c r="C332" s="2" t="s">
        <v>13</v>
      </c>
      <c r="D332" s="2" t="s">
        <v>33</v>
      </c>
      <c r="E332" s="2" t="s">
        <v>59</v>
      </c>
      <c r="F332" s="2" t="s">
        <v>52</v>
      </c>
      <c r="G332" s="2" t="s">
        <v>5</v>
      </c>
      <c r="H332" s="2" t="s">
        <v>55</v>
      </c>
      <c r="I332" s="3">
        <v>36.187514999999998</v>
      </c>
      <c r="J332" s="3">
        <v>79.304300000000012</v>
      </c>
      <c r="K332" s="3">
        <v>8.2611000000000008</v>
      </c>
      <c r="L332" s="2">
        <v>31</v>
      </c>
      <c r="M332" s="2">
        <v>58</v>
      </c>
      <c r="N332" s="2">
        <f t="shared" si="7"/>
        <v>89</v>
      </c>
    </row>
    <row r="333" spans="1:14" x14ac:dyDescent="0.35">
      <c r="A333" s="2">
        <v>85</v>
      </c>
      <c r="B333" s="1">
        <v>44646</v>
      </c>
      <c r="C333" s="2" t="s">
        <v>14</v>
      </c>
      <c r="D333" s="2" t="s">
        <v>35</v>
      </c>
      <c r="E333" s="2" t="s">
        <v>59</v>
      </c>
      <c r="F333" s="2" t="s">
        <v>53</v>
      </c>
      <c r="G333" s="2" t="s">
        <v>60</v>
      </c>
      <c r="H333" s="2" t="s">
        <v>54</v>
      </c>
      <c r="I333" s="3">
        <v>28.537515000000003</v>
      </c>
      <c r="J333" s="3">
        <v>39.416699999999999</v>
      </c>
      <c r="K333" s="3">
        <v>14.041257</v>
      </c>
      <c r="L333" s="2">
        <v>31</v>
      </c>
      <c r="M333" s="2">
        <v>69</v>
      </c>
      <c r="N333" s="2">
        <f t="shared" si="7"/>
        <v>100</v>
      </c>
    </row>
    <row r="334" spans="1:14" x14ac:dyDescent="0.35">
      <c r="A334" s="2">
        <v>113</v>
      </c>
      <c r="B334" s="1">
        <v>44674</v>
      </c>
      <c r="C334" s="2" t="s">
        <v>14</v>
      </c>
      <c r="D334" s="2" t="s">
        <v>36</v>
      </c>
      <c r="E334" s="2" t="s">
        <v>59</v>
      </c>
      <c r="F334" s="2" t="s">
        <v>53</v>
      </c>
      <c r="G334" s="2" t="s">
        <v>60</v>
      </c>
      <c r="H334" s="2" t="s">
        <v>55</v>
      </c>
      <c r="I334" s="3">
        <v>18.975014999999999</v>
      </c>
      <c r="J334" s="3">
        <v>88.791699999999992</v>
      </c>
      <c r="K334" s="3">
        <v>15.458575000000002</v>
      </c>
      <c r="L334" s="2">
        <v>32</v>
      </c>
      <c r="M334" s="2">
        <v>55</v>
      </c>
      <c r="N334" s="2">
        <f t="shared" si="7"/>
        <v>87</v>
      </c>
    </row>
    <row r="335" spans="1:14" x14ac:dyDescent="0.35">
      <c r="A335" s="2">
        <v>317</v>
      </c>
      <c r="B335" s="1">
        <v>44878</v>
      </c>
      <c r="C335" s="2" t="s">
        <v>16</v>
      </c>
      <c r="D335" s="2" t="s">
        <v>43</v>
      </c>
      <c r="E335" s="2" t="s">
        <v>59</v>
      </c>
      <c r="F335" s="2" t="s">
        <v>47</v>
      </c>
      <c r="G335" s="2" t="s">
        <v>60</v>
      </c>
      <c r="H335" s="2" t="s">
        <v>54</v>
      </c>
      <c r="I335" s="3">
        <v>25.3125</v>
      </c>
      <c r="J335" s="3">
        <v>45.833300000000001</v>
      </c>
      <c r="K335" s="3">
        <v>18.875306999999999</v>
      </c>
      <c r="L335" s="2">
        <v>32</v>
      </c>
      <c r="M335" s="2">
        <v>59</v>
      </c>
      <c r="N335" s="2">
        <f t="shared" si="7"/>
        <v>91</v>
      </c>
    </row>
    <row r="336" spans="1:14" x14ac:dyDescent="0.35">
      <c r="A336" s="2">
        <v>309</v>
      </c>
      <c r="B336" s="1">
        <v>44870</v>
      </c>
      <c r="C336" s="2" t="s">
        <v>16</v>
      </c>
      <c r="D336" s="2" t="s">
        <v>43</v>
      </c>
      <c r="E336" s="2" t="s">
        <v>59</v>
      </c>
      <c r="F336" s="2" t="s">
        <v>53</v>
      </c>
      <c r="G336" s="2" t="s">
        <v>60</v>
      </c>
      <c r="H336" s="2" t="s">
        <v>54</v>
      </c>
      <c r="I336" s="3">
        <v>23.400000000000002</v>
      </c>
      <c r="J336" s="3">
        <v>51.916700000000006</v>
      </c>
      <c r="K336" s="3">
        <v>12.667154</v>
      </c>
      <c r="L336" s="2">
        <v>32</v>
      </c>
      <c r="M336" s="2">
        <v>62</v>
      </c>
      <c r="N336" s="2">
        <f t="shared" si="7"/>
        <v>94</v>
      </c>
    </row>
    <row r="337" spans="1:14" x14ac:dyDescent="0.35">
      <c r="A337" s="2">
        <v>324</v>
      </c>
      <c r="B337" s="1">
        <v>44885</v>
      </c>
      <c r="C337" s="2" t="s">
        <v>16</v>
      </c>
      <c r="D337" s="2" t="s">
        <v>43</v>
      </c>
      <c r="E337" s="2" t="s">
        <v>59</v>
      </c>
      <c r="F337" s="2" t="s">
        <v>47</v>
      </c>
      <c r="G337" s="2" t="s">
        <v>60</v>
      </c>
      <c r="H337" s="2" t="s">
        <v>55</v>
      </c>
      <c r="I337" s="3">
        <v>27.187515000000001</v>
      </c>
      <c r="J337" s="3">
        <v>68.458300000000008</v>
      </c>
      <c r="K337" s="3">
        <v>12.45865</v>
      </c>
      <c r="L337" s="2">
        <v>32</v>
      </c>
      <c r="M337" s="2">
        <v>62</v>
      </c>
      <c r="N337" s="2">
        <f t="shared" si="7"/>
        <v>94</v>
      </c>
    </row>
    <row r="338" spans="1:14" x14ac:dyDescent="0.35">
      <c r="A338" s="2">
        <v>275</v>
      </c>
      <c r="B338" s="1">
        <v>44836</v>
      </c>
      <c r="C338" s="2" t="s">
        <v>16</v>
      </c>
      <c r="D338" s="2" t="s">
        <v>42</v>
      </c>
      <c r="E338" s="2" t="s">
        <v>59</v>
      </c>
      <c r="F338" s="2" t="s">
        <v>47</v>
      </c>
      <c r="G338" s="2" t="s">
        <v>60</v>
      </c>
      <c r="H338" s="2" t="s">
        <v>55</v>
      </c>
      <c r="I338" s="3">
        <v>17.024984999999997</v>
      </c>
      <c r="J338" s="3">
        <v>79.166700000000006</v>
      </c>
      <c r="K338" s="3">
        <v>14.874870999999999</v>
      </c>
      <c r="L338" s="2">
        <v>33</v>
      </c>
      <c r="M338" s="2">
        <v>32</v>
      </c>
      <c r="N338" s="2">
        <f t="shared" si="7"/>
        <v>65</v>
      </c>
    </row>
    <row r="339" spans="1:14" x14ac:dyDescent="0.35">
      <c r="A339" s="2">
        <v>352</v>
      </c>
      <c r="B339" s="1">
        <v>44913</v>
      </c>
      <c r="C339" s="2" t="s">
        <v>13</v>
      </c>
      <c r="D339" s="2" t="s">
        <v>44</v>
      </c>
      <c r="E339" s="2" t="s">
        <v>59</v>
      </c>
      <c r="F339" s="2" t="s">
        <v>47</v>
      </c>
      <c r="G339" s="2" t="s">
        <v>60</v>
      </c>
      <c r="H339" s="2" t="s">
        <v>54</v>
      </c>
      <c r="I339" s="3">
        <v>31.462515</v>
      </c>
      <c r="J339" s="3">
        <v>58.625000000000007</v>
      </c>
      <c r="K339" s="3">
        <v>11.375193000000001</v>
      </c>
      <c r="L339" s="2">
        <v>33</v>
      </c>
      <c r="M339" s="2">
        <v>62</v>
      </c>
      <c r="N339" s="2">
        <f t="shared" si="7"/>
        <v>95</v>
      </c>
    </row>
    <row r="340" spans="1:14" x14ac:dyDescent="0.35">
      <c r="A340" s="2">
        <v>71</v>
      </c>
      <c r="B340" s="1">
        <v>44632</v>
      </c>
      <c r="C340" s="2" t="s">
        <v>14</v>
      </c>
      <c r="D340" s="2" t="s">
        <v>35</v>
      </c>
      <c r="E340" s="2" t="s">
        <v>59</v>
      </c>
      <c r="F340" s="2" t="s">
        <v>53</v>
      </c>
      <c r="G340" s="2" t="s">
        <v>60</v>
      </c>
      <c r="H340" s="2" t="s">
        <v>54</v>
      </c>
      <c r="I340" s="3">
        <v>29.399985000000001</v>
      </c>
      <c r="J340" s="3">
        <v>59.458299999999994</v>
      </c>
      <c r="K340" s="3">
        <v>14.791924999999999</v>
      </c>
      <c r="L340" s="2">
        <v>33</v>
      </c>
      <c r="M340" s="2">
        <v>68</v>
      </c>
      <c r="N340" s="2">
        <f t="shared" si="7"/>
        <v>101</v>
      </c>
    </row>
    <row r="341" spans="1:14" x14ac:dyDescent="0.35">
      <c r="A341" s="2">
        <v>296</v>
      </c>
      <c r="B341" s="1">
        <v>44857</v>
      </c>
      <c r="C341" s="2" t="s">
        <v>16</v>
      </c>
      <c r="D341" s="2" t="s">
        <v>42</v>
      </c>
      <c r="E341" s="2" t="s">
        <v>59</v>
      </c>
      <c r="F341" s="2" t="s">
        <v>47</v>
      </c>
      <c r="G341" s="2" t="s">
        <v>60</v>
      </c>
      <c r="H341" s="2" t="s">
        <v>54</v>
      </c>
      <c r="I341" s="3">
        <v>26.175015000000002</v>
      </c>
      <c r="J341" s="3">
        <v>74.125</v>
      </c>
      <c r="K341" s="3">
        <v>6.6673375000000004</v>
      </c>
      <c r="L341" s="2">
        <v>34</v>
      </c>
      <c r="M341" s="2">
        <v>50</v>
      </c>
      <c r="N341" s="2">
        <f t="shared" si="7"/>
        <v>84</v>
      </c>
    </row>
    <row r="342" spans="1:14" x14ac:dyDescent="0.35">
      <c r="A342" s="2">
        <v>338</v>
      </c>
      <c r="B342" s="1">
        <v>44899</v>
      </c>
      <c r="C342" s="2" t="s">
        <v>13</v>
      </c>
      <c r="D342" s="2" t="s">
        <v>44</v>
      </c>
      <c r="E342" s="2" t="s">
        <v>59</v>
      </c>
      <c r="F342" s="2" t="s">
        <v>47</v>
      </c>
      <c r="G342" s="2" t="s">
        <v>60</v>
      </c>
      <c r="H342" s="2" t="s">
        <v>54</v>
      </c>
      <c r="I342" s="3">
        <v>29.174985000000003</v>
      </c>
      <c r="J342" s="3">
        <v>77.583299999999994</v>
      </c>
      <c r="K342" s="3">
        <v>5.6252060999999998</v>
      </c>
      <c r="L342" s="2">
        <v>34</v>
      </c>
      <c r="M342" s="2">
        <v>64</v>
      </c>
      <c r="N342" s="2">
        <f t="shared" si="7"/>
        <v>98</v>
      </c>
    </row>
    <row r="343" spans="1:14" x14ac:dyDescent="0.35">
      <c r="A343" s="2">
        <v>8</v>
      </c>
      <c r="B343" s="1">
        <v>44569</v>
      </c>
      <c r="C343" s="2" t="s">
        <v>13</v>
      </c>
      <c r="D343" s="2" t="s">
        <v>33</v>
      </c>
      <c r="E343" s="2" t="s">
        <v>59</v>
      </c>
      <c r="F343" s="2" t="s">
        <v>53</v>
      </c>
      <c r="G343" s="2" t="s">
        <v>60</v>
      </c>
      <c r="H343" s="2" t="s">
        <v>55</v>
      </c>
      <c r="I343" s="3">
        <v>33.637500000000003</v>
      </c>
      <c r="J343" s="3">
        <v>53.583300000000001</v>
      </c>
      <c r="K343" s="3">
        <v>17.875868000000001</v>
      </c>
      <c r="L343" s="2">
        <v>35</v>
      </c>
      <c r="M343" s="2">
        <v>63</v>
      </c>
      <c r="N343" s="2">
        <f t="shared" si="7"/>
        <v>98</v>
      </c>
    </row>
    <row r="344" spans="1:14" x14ac:dyDescent="0.35">
      <c r="A344" s="2">
        <v>344</v>
      </c>
      <c r="B344" s="1">
        <v>44905</v>
      </c>
      <c r="C344" s="2" t="s">
        <v>13</v>
      </c>
      <c r="D344" s="2" t="s">
        <v>44</v>
      </c>
      <c r="E344" s="2" t="s">
        <v>59</v>
      </c>
      <c r="F344" s="2" t="s">
        <v>53</v>
      </c>
      <c r="G344" s="2" t="s">
        <v>60</v>
      </c>
      <c r="H344" s="2" t="s">
        <v>54</v>
      </c>
      <c r="I344" s="3">
        <v>32.625</v>
      </c>
      <c r="J344" s="3">
        <v>50.749999999999993</v>
      </c>
      <c r="K344" s="3">
        <v>15.625807</v>
      </c>
      <c r="L344" s="2">
        <v>35</v>
      </c>
      <c r="M344" s="2">
        <v>65</v>
      </c>
      <c r="N344" s="2">
        <f t="shared" si="7"/>
        <v>100</v>
      </c>
    </row>
    <row r="345" spans="1:14" x14ac:dyDescent="0.35">
      <c r="A345" s="2">
        <v>106</v>
      </c>
      <c r="B345" s="1">
        <v>44667</v>
      </c>
      <c r="C345" s="2" t="s">
        <v>14</v>
      </c>
      <c r="D345" s="2" t="s">
        <v>36</v>
      </c>
      <c r="E345" s="2" t="s">
        <v>59</v>
      </c>
      <c r="F345" s="2" t="s">
        <v>53</v>
      </c>
      <c r="G345" s="2" t="s">
        <v>60</v>
      </c>
      <c r="H345" s="2" t="s">
        <v>56</v>
      </c>
      <c r="I345" s="3">
        <v>23.025015</v>
      </c>
      <c r="J345" s="3">
        <v>88.833300000000008</v>
      </c>
      <c r="K345" s="3">
        <v>22.834136000000001</v>
      </c>
      <c r="L345" s="2">
        <v>35</v>
      </c>
      <c r="M345" s="2">
        <v>66</v>
      </c>
      <c r="N345" s="2">
        <f t="shared" si="7"/>
        <v>101</v>
      </c>
    </row>
    <row r="346" spans="1:14" x14ac:dyDescent="0.35">
      <c r="A346" s="2">
        <v>70</v>
      </c>
      <c r="B346" s="1">
        <v>44631</v>
      </c>
      <c r="C346" s="2" t="s">
        <v>14</v>
      </c>
      <c r="D346" s="2" t="s">
        <v>35</v>
      </c>
      <c r="E346" s="2" t="s">
        <v>59</v>
      </c>
      <c r="F346" s="2" t="s">
        <v>52</v>
      </c>
      <c r="G346" s="2" t="s">
        <v>5</v>
      </c>
      <c r="H346" s="2" t="s">
        <v>55</v>
      </c>
      <c r="I346" s="3">
        <v>29.700000000000003</v>
      </c>
      <c r="J346" s="3">
        <v>64.956499999999991</v>
      </c>
      <c r="K346" s="3">
        <v>15.60899</v>
      </c>
      <c r="L346" s="2">
        <v>35</v>
      </c>
      <c r="M346" s="2">
        <v>72</v>
      </c>
      <c r="N346" s="2">
        <f t="shared" si="7"/>
        <v>107</v>
      </c>
    </row>
    <row r="347" spans="1:14" x14ac:dyDescent="0.35">
      <c r="A347" s="2">
        <v>351</v>
      </c>
      <c r="B347" s="1">
        <v>44912</v>
      </c>
      <c r="C347" s="2" t="s">
        <v>13</v>
      </c>
      <c r="D347" s="2" t="s">
        <v>44</v>
      </c>
      <c r="E347" s="2" t="s">
        <v>59</v>
      </c>
      <c r="F347" s="2" t="s">
        <v>53</v>
      </c>
      <c r="G347" s="2" t="s">
        <v>60</v>
      </c>
      <c r="H347" s="2" t="s">
        <v>55</v>
      </c>
      <c r="I347" s="3">
        <v>31.350015000000003</v>
      </c>
      <c r="J347" s="3">
        <v>56.083300000000001</v>
      </c>
      <c r="K347" s="3">
        <v>16.292189</v>
      </c>
      <c r="L347" s="2">
        <v>36</v>
      </c>
      <c r="M347" s="2">
        <v>66</v>
      </c>
      <c r="N347" s="2">
        <f t="shared" si="7"/>
        <v>102</v>
      </c>
    </row>
    <row r="348" spans="1:14" x14ac:dyDescent="0.35">
      <c r="A348" s="2">
        <v>358</v>
      </c>
      <c r="B348" s="1">
        <v>44919</v>
      </c>
      <c r="C348" s="2" t="s">
        <v>13</v>
      </c>
      <c r="D348" s="2" t="s">
        <v>44</v>
      </c>
      <c r="E348" s="2" t="s">
        <v>59</v>
      </c>
      <c r="F348" s="2" t="s">
        <v>53</v>
      </c>
      <c r="G348" s="2" t="s">
        <v>60</v>
      </c>
      <c r="H348" s="2" t="s">
        <v>54</v>
      </c>
      <c r="I348" s="3">
        <v>31.274999999999999</v>
      </c>
      <c r="J348" s="3">
        <v>54.25</v>
      </c>
      <c r="K348" s="3">
        <v>12.750368</v>
      </c>
      <c r="L348" s="2">
        <v>36</v>
      </c>
      <c r="M348" s="2">
        <v>68</v>
      </c>
      <c r="N348" s="2">
        <f t="shared" si="7"/>
        <v>104</v>
      </c>
    </row>
    <row r="349" spans="1:14" x14ac:dyDescent="0.35">
      <c r="A349" s="2">
        <v>84</v>
      </c>
      <c r="B349" s="1">
        <v>44645</v>
      </c>
      <c r="C349" s="2" t="s">
        <v>14</v>
      </c>
      <c r="D349" s="2" t="s">
        <v>35</v>
      </c>
      <c r="E349" s="2" t="s">
        <v>59</v>
      </c>
      <c r="F349" s="2" t="s">
        <v>52</v>
      </c>
      <c r="G349" s="2" t="s">
        <v>5</v>
      </c>
      <c r="H349" s="2" t="s">
        <v>54</v>
      </c>
      <c r="I349" s="3">
        <v>27.300014999999998</v>
      </c>
      <c r="J349" s="3">
        <v>49.5</v>
      </c>
      <c r="K349" s="3">
        <v>15.458575000000002</v>
      </c>
      <c r="L349" s="2">
        <v>36</v>
      </c>
      <c r="M349" s="2">
        <v>73</v>
      </c>
      <c r="N349" s="2">
        <f t="shared" si="7"/>
        <v>109</v>
      </c>
    </row>
    <row r="350" spans="1:14" x14ac:dyDescent="0.35">
      <c r="A350" s="2">
        <v>337</v>
      </c>
      <c r="B350" s="1">
        <v>44898</v>
      </c>
      <c r="C350" s="2" t="s">
        <v>13</v>
      </c>
      <c r="D350" s="2" t="s">
        <v>44</v>
      </c>
      <c r="E350" s="2" t="s">
        <v>59</v>
      </c>
      <c r="F350" s="2" t="s">
        <v>53</v>
      </c>
      <c r="G350" s="2" t="s">
        <v>60</v>
      </c>
      <c r="H350" s="2" t="s">
        <v>54</v>
      </c>
      <c r="I350" s="3">
        <v>28.574999999999999</v>
      </c>
      <c r="J350" s="3">
        <v>61.291700000000006</v>
      </c>
      <c r="K350" s="3">
        <v>6.4174810999999998</v>
      </c>
      <c r="L350" s="2">
        <v>37</v>
      </c>
      <c r="M350" s="2">
        <v>69</v>
      </c>
      <c r="N350" s="2">
        <f t="shared" si="7"/>
        <v>106</v>
      </c>
    </row>
    <row r="351" spans="1:14" x14ac:dyDescent="0.35">
      <c r="A351" s="2">
        <v>49</v>
      </c>
      <c r="B351" s="1">
        <v>44610</v>
      </c>
      <c r="C351" s="2" t="s">
        <v>13</v>
      </c>
      <c r="D351" s="2" t="s">
        <v>34</v>
      </c>
      <c r="E351" s="2" t="s">
        <v>59</v>
      </c>
      <c r="F351" s="2" t="s">
        <v>52</v>
      </c>
      <c r="G351" s="2" t="s">
        <v>5</v>
      </c>
      <c r="H351" s="2" t="s">
        <v>54</v>
      </c>
      <c r="I351" s="3">
        <v>31.387499999999999</v>
      </c>
      <c r="J351" s="3">
        <v>51.666699999999999</v>
      </c>
      <c r="K351" s="3">
        <v>17.749975000000003</v>
      </c>
      <c r="L351" s="2">
        <v>38</v>
      </c>
      <c r="M351" s="2">
        <v>66</v>
      </c>
      <c r="N351" s="2">
        <f t="shared" si="7"/>
        <v>104</v>
      </c>
    </row>
    <row r="352" spans="1:14" x14ac:dyDescent="0.35">
      <c r="A352" s="2">
        <v>105</v>
      </c>
      <c r="B352" s="1">
        <v>44666</v>
      </c>
      <c r="C352" s="2" t="s">
        <v>14</v>
      </c>
      <c r="D352" s="2" t="s">
        <v>36</v>
      </c>
      <c r="E352" s="2" t="s">
        <v>3</v>
      </c>
      <c r="F352" s="2" t="s">
        <v>52</v>
      </c>
      <c r="G352" s="2" t="s">
        <v>60</v>
      </c>
      <c r="H352" s="2" t="s">
        <v>54</v>
      </c>
      <c r="I352" s="3">
        <v>22.800014999999998</v>
      </c>
      <c r="J352" s="3">
        <v>67.125</v>
      </c>
      <c r="K352" s="3">
        <v>15.167124999999999</v>
      </c>
      <c r="L352" s="2">
        <v>38</v>
      </c>
      <c r="M352" s="2">
        <v>66</v>
      </c>
      <c r="N352" s="2">
        <f t="shared" si="7"/>
        <v>104</v>
      </c>
    </row>
    <row r="353" spans="1:14" x14ac:dyDescent="0.35">
      <c r="A353" s="2">
        <v>359</v>
      </c>
      <c r="B353" s="1">
        <v>44920</v>
      </c>
      <c r="C353" s="2" t="s">
        <v>13</v>
      </c>
      <c r="D353" s="2" t="s">
        <v>44</v>
      </c>
      <c r="E353" s="2" t="s">
        <v>59</v>
      </c>
      <c r="F353" s="2" t="s">
        <v>47</v>
      </c>
      <c r="G353" s="2" t="s">
        <v>60</v>
      </c>
      <c r="H353" s="2" t="s">
        <v>54</v>
      </c>
      <c r="I353" s="3">
        <v>30.6</v>
      </c>
      <c r="J353" s="3">
        <v>68.130400000000009</v>
      </c>
      <c r="K353" s="3">
        <v>10.391097</v>
      </c>
      <c r="L353" s="2">
        <v>38</v>
      </c>
      <c r="M353" s="2">
        <v>68</v>
      </c>
      <c r="N353" s="2">
        <f t="shared" si="7"/>
        <v>106</v>
      </c>
    </row>
    <row r="354" spans="1:14" x14ac:dyDescent="0.35">
      <c r="A354" s="2">
        <v>63</v>
      </c>
      <c r="B354" s="1">
        <v>44624</v>
      </c>
      <c r="C354" s="2" t="s">
        <v>14</v>
      </c>
      <c r="D354" s="2" t="s">
        <v>35</v>
      </c>
      <c r="E354" s="2" t="s">
        <v>59</v>
      </c>
      <c r="F354" s="2" t="s">
        <v>52</v>
      </c>
      <c r="G354" s="2" t="s">
        <v>5</v>
      </c>
      <c r="H354" s="2" t="s">
        <v>55</v>
      </c>
      <c r="I354" s="3">
        <v>30.112514999999998</v>
      </c>
      <c r="J354" s="3">
        <v>61.041699999999999</v>
      </c>
      <c r="K354" s="3">
        <v>13.624181999999999</v>
      </c>
      <c r="L354" s="2">
        <v>39</v>
      </c>
      <c r="M354" s="2">
        <v>51</v>
      </c>
      <c r="N354" s="2">
        <f t="shared" si="7"/>
        <v>90</v>
      </c>
    </row>
    <row r="355" spans="1:14" x14ac:dyDescent="0.35">
      <c r="A355" s="2">
        <v>302</v>
      </c>
      <c r="B355" s="1">
        <v>44863</v>
      </c>
      <c r="C355" s="2" t="s">
        <v>16</v>
      </c>
      <c r="D355" s="2" t="s">
        <v>42</v>
      </c>
      <c r="E355" s="2" t="s">
        <v>59</v>
      </c>
      <c r="F355" s="2" t="s">
        <v>53</v>
      </c>
      <c r="G355" s="2" t="s">
        <v>60</v>
      </c>
      <c r="H355" s="2" t="s">
        <v>56</v>
      </c>
      <c r="I355" s="3">
        <v>21.262499999999999</v>
      </c>
      <c r="J355" s="3">
        <v>88.25</v>
      </c>
      <c r="K355" s="3">
        <v>23.541857</v>
      </c>
      <c r="L355" s="2">
        <v>39</v>
      </c>
      <c r="M355" s="2">
        <v>67</v>
      </c>
      <c r="N355" s="2">
        <f t="shared" si="7"/>
        <v>106</v>
      </c>
    </row>
    <row r="356" spans="1:14" x14ac:dyDescent="0.35">
      <c r="A356" s="2">
        <v>330</v>
      </c>
      <c r="B356" s="1">
        <v>44891</v>
      </c>
      <c r="C356" s="2" t="s">
        <v>16</v>
      </c>
      <c r="D356" s="2" t="s">
        <v>43</v>
      </c>
      <c r="E356" s="2" t="s">
        <v>59</v>
      </c>
      <c r="F356" s="2" t="s">
        <v>53</v>
      </c>
      <c r="G356" s="2" t="s">
        <v>60</v>
      </c>
      <c r="H356" s="2" t="s">
        <v>54</v>
      </c>
      <c r="I356" s="3">
        <v>29.512485000000002</v>
      </c>
      <c r="J356" s="3">
        <v>68.166700000000006</v>
      </c>
      <c r="K356" s="3">
        <v>4.5841935999999999</v>
      </c>
      <c r="L356" s="2">
        <v>40</v>
      </c>
      <c r="M356" s="2">
        <v>55</v>
      </c>
      <c r="N356" s="2">
        <f t="shared" si="7"/>
        <v>95</v>
      </c>
    </row>
    <row r="357" spans="1:14" x14ac:dyDescent="0.35">
      <c r="A357" s="2">
        <v>15</v>
      </c>
      <c r="B357" s="1">
        <v>44576</v>
      </c>
      <c r="C357" s="2" t="s">
        <v>13</v>
      </c>
      <c r="D357" s="2" t="s">
        <v>33</v>
      </c>
      <c r="E357" s="2" t="s">
        <v>59</v>
      </c>
      <c r="F357" s="2" t="s">
        <v>53</v>
      </c>
      <c r="G357" s="2" t="s">
        <v>60</v>
      </c>
      <c r="H357" s="2" t="s">
        <v>55</v>
      </c>
      <c r="I357" s="3">
        <v>32.362515000000002</v>
      </c>
      <c r="J357" s="3">
        <v>49.875</v>
      </c>
      <c r="K357" s="3">
        <v>10.583520999999999</v>
      </c>
      <c r="L357" s="2">
        <v>40</v>
      </c>
      <c r="M357" s="2">
        <v>66</v>
      </c>
      <c r="N357" s="2">
        <f t="shared" si="7"/>
        <v>106</v>
      </c>
    </row>
    <row r="358" spans="1:14" x14ac:dyDescent="0.35">
      <c r="A358" s="2">
        <v>7</v>
      </c>
      <c r="B358" s="1">
        <v>44568</v>
      </c>
      <c r="C358" s="2" t="s">
        <v>13</v>
      </c>
      <c r="D358" s="2" t="s">
        <v>33</v>
      </c>
      <c r="E358" s="2" t="s">
        <v>59</v>
      </c>
      <c r="F358" s="2" t="s">
        <v>52</v>
      </c>
      <c r="G358" s="2" t="s">
        <v>5</v>
      </c>
      <c r="H358" s="2" t="s">
        <v>55</v>
      </c>
      <c r="I358" s="3">
        <v>32.999985000000002</v>
      </c>
      <c r="J358" s="3">
        <v>49.869599999999998</v>
      </c>
      <c r="K358" s="3">
        <v>11.304641999999999</v>
      </c>
      <c r="L358" s="2">
        <v>40</v>
      </c>
      <c r="M358" s="2">
        <v>67</v>
      </c>
      <c r="N358" s="2">
        <f t="shared" si="7"/>
        <v>107</v>
      </c>
    </row>
    <row r="359" spans="1:14" x14ac:dyDescent="0.35">
      <c r="A359" s="2">
        <v>365</v>
      </c>
      <c r="B359" s="1">
        <v>44926</v>
      </c>
      <c r="C359" s="2" t="s">
        <v>13</v>
      </c>
      <c r="D359" s="2" t="s">
        <v>44</v>
      </c>
      <c r="E359" s="2" t="s">
        <v>59</v>
      </c>
      <c r="F359" s="2" t="s">
        <v>53</v>
      </c>
      <c r="G359" s="2" t="s">
        <v>60</v>
      </c>
      <c r="H359" s="2" t="s">
        <v>54</v>
      </c>
      <c r="I359" s="3">
        <v>33.224985000000004</v>
      </c>
      <c r="J359" s="3">
        <v>61.583299999999994</v>
      </c>
      <c r="K359" s="3">
        <v>14.750318</v>
      </c>
      <c r="L359" s="2">
        <v>44</v>
      </c>
      <c r="M359" s="2">
        <v>58</v>
      </c>
      <c r="N359" s="2">
        <f t="shared" si="7"/>
        <v>102</v>
      </c>
    </row>
    <row r="360" spans="1:14" x14ac:dyDescent="0.35">
      <c r="A360" s="2">
        <v>98</v>
      </c>
      <c r="B360" s="1">
        <v>44659</v>
      </c>
      <c r="C360" s="2" t="s">
        <v>14</v>
      </c>
      <c r="D360" s="2" t="s">
        <v>36</v>
      </c>
      <c r="E360" s="2" t="s">
        <v>59</v>
      </c>
      <c r="F360" s="2" t="s">
        <v>52</v>
      </c>
      <c r="G360" s="2" t="s">
        <v>5</v>
      </c>
      <c r="H360" s="2" t="s">
        <v>55</v>
      </c>
      <c r="I360" s="3">
        <v>23.475014999999999</v>
      </c>
      <c r="J360" s="3">
        <v>83.625</v>
      </c>
      <c r="K360" s="3">
        <v>15.208463999999999</v>
      </c>
      <c r="L360" s="2">
        <v>45</v>
      </c>
      <c r="M360" s="2">
        <v>63</v>
      </c>
      <c r="N360" s="2">
        <f t="shared" si="7"/>
        <v>108</v>
      </c>
    </row>
    <row r="361" spans="1:14" x14ac:dyDescent="0.35">
      <c r="A361" s="2">
        <v>323</v>
      </c>
      <c r="B361" s="1">
        <v>44884</v>
      </c>
      <c r="C361" s="2" t="s">
        <v>16</v>
      </c>
      <c r="D361" s="2" t="s">
        <v>43</v>
      </c>
      <c r="E361" s="2" t="s">
        <v>59</v>
      </c>
      <c r="F361" s="2" t="s">
        <v>53</v>
      </c>
      <c r="G361" s="2" t="s">
        <v>60</v>
      </c>
      <c r="H361" s="2" t="s">
        <v>54</v>
      </c>
      <c r="I361" s="3">
        <v>27.112500000000001</v>
      </c>
      <c r="J361" s="3">
        <v>50.208299999999994</v>
      </c>
      <c r="K361" s="3">
        <v>15.041232000000001</v>
      </c>
      <c r="L361" s="2">
        <v>45</v>
      </c>
      <c r="M361" s="2">
        <v>71</v>
      </c>
      <c r="N361" s="2">
        <f t="shared" si="7"/>
        <v>116</v>
      </c>
    </row>
    <row r="362" spans="1:14" x14ac:dyDescent="0.35">
      <c r="A362" s="2">
        <v>1</v>
      </c>
      <c r="B362" s="1">
        <v>44562</v>
      </c>
      <c r="C362" s="2" t="s">
        <v>13</v>
      </c>
      <c r="D362" s="2" t="s">
        <v>33</v>
      </c>
      <c r="E362" s="2" t="s">
        <v>59</v>
      </c>
      <c r="F362" s="2" t="s">
        <v>53</v>
      </c>
      <c r="G362" s="2" t="s">
        <v>60</v>
      </c>
      <c r="H362" s="2" t="s">
        <v>55</v>
      </c>
      <c r="I362" s="3">
        <v>32.250015000000005</v>
      </c>
      <c r="J362" s="3">
        <v>80.583300000000008</v>
      </c>
      <c r="K362" s="3">
        <v>10.749881999999999</v>
      </c>
      <c r="L362" s="2">
        <v>46</v>
      </c>
      <c r="M362" s="2">
        <v>47</v>
      </c>
      <c r="N362" s="2">
        <f t="shared" si="7"/>
        <v>93</v>
      </c>
    </row>
    <row r="363" spans="1:14" x14ac:dyDescent="0.35">
      <c r="A363" s="2">
        <v>331</v>
      </c>
      <c r="B363" s="1">
        <v>44892</v>
      </c>
      <c r="C363" s="2" t="s">
        <v>16</v>
      </c>
      <c r="D363" s="2" t="s">
        <v>43</v>
      </c>
      <c r="E363" s="2" t="s">
        <v>59</v>
      </c>
      <c r="F363" s="2" t="s">
        <v>47</v>
      </c>
      <c r="G363" s="2" t="s">
        <v>60</v>
      </c>
      <c r="H363" s="2" t="s">
        <v>54</v>
      </c>
      <c r="I363" s="3">
        <v>30.037499999999998</v>
      </c>
      <c r="J363" s="3">
        <v>69.833299999999994</v>
      </c>
      <c r="K363" s="3">
        <v>13.999917999999999</v>
      </c>
      <c r="L363" s="2">
        <v>47</v>
      </c>
      <c r="M363" s="2">
        <v>49</v>
      </c>
      <c r="N363" s="2">
        <f t="shared" si="7"/>
        <v>96</v>
      </c>
    </row>
    <row r="364" spans="1:14" x14ac:dyDescent="0.35">
      <c r="A364" s="2">
        <v>99</v>
      </c>
      <c r="B364" s="1">
        <v>44660</v>
      </c>
      <c r="C364" s="2" t="s">
        <v>14</v>
      </c>
      <c r="D364" s="2" t="s">
        <v>36</v>
      </c>
      <c r="E364" s="2" t="s">
        <v>59</v>
      </c>
      <c r="F364" s="2" t="s">
        <v>53</v>
      </c>
      <c r="G364" s="2" t="s">
        <v>60</v>
      </c>
      <c r="H364" s="2" t="s">
        <v>55</v>
      </c>
      <c r="I364" s="3">
        <v>24.337485000000001</v>
      </c>
      <c r="J364" s="3">
        <v>87.75</v>
      </c>
      <c r="K364" s="3">
        <v>8.9165609999999997</v>
      </c>
      <c r="L364" s="2">
        <v>48</v>
      </c>
      <c r="M364" s="2">
        <v>62</v>
      </c>
      <c r="N364" s="2">
        <f t="shared" si="7"/>
        <v>110</v>
      </c>
    </row>
    <row r="365" spans="1:14" x14ac:dyDescent="0.35">
      <c r="A365" s="2">
        <v>14</v>
      </c>
      <c r="B365" s="1">
        <v>44575</v>
      </c>
      <c r="C365" s="2" t="s">
        <v>13</v>
      </c>
      <c r="D365" s="2" t="s">
        <v>33</v>
      </c>
      <c r="E365" s="2" t="s">
        <v>59</v>
      </c>
      <c r="F365" s="2" t="s">
        <v>52</v>
      </c>
      <c r="G365" s="2" t="s">
        <v>5</v>
      </c>
      <c r="H365" s="2" t="s">
        <v>54</v>
      </c>
      <c r="I365" s="3">
        <v>30.900015</v>
      </c>
      <c r="J365" s="3">
        <v>53.782600000000002</v>
      </c>
      <c r="K365" s="3">
        <v>8.4787160000000004</v>
      </c>
      <c r="L365" s="2">
        <v>48</v>
      </c>
      <c r="M365" s="2">
        <v>70</v>
      </c>
      <c r="N365" s="2">
        <f t="shared" si="7"/>
        <v>118</v>
      </c>
    </row>
    <row r="366" spans="1:14" x14ac:dyDescent="0.35">
      <c r="A366" s="2">
        <v>64</v>
      </c>
      <c r="B366" s="1">
        <v>44625</v>
      </c>
      <c r="C366" s="2" t="s">
        <v>14</v>
      </c>
      <c r="D366" s="2" t="s">
        <v>35</v>
      </c>
      <c r="E366" s="2" t="s">
        <v>59</v>
      </c>
      <c r="F366" s="2" t="s">
        <v>53</v>
      </c>
      <c r="G366" s="2" t="s">
        <v>60</v>
      </c>
      <c r="H366" s="2" t="s">
        <v>55</v>
      </c>
      <c r="I366" s="3">
        <v>31.912514999999999</v>
      </c>
      <c r="J366" s="3">
        <v>78.916699999999992</v>
      </c>
      <c r="K366" s="3">
        <v>16.875357000000001</v>
      </c>
      <c r="L366" s="2">
        <v>50</v>
      </c>
      <c r="M366" s="2">
        <v>48</v>
      </c>
      <c r="N366" s="2">
        <f t="shared" si="7"/>
        <v>98</v>
      </c>
    </row>
    <row r="367" spans="1:14" x14ac:dyDescent="0.35">
      <c r="A367" s="2">
        <v>2</v>
      </c>
      <c r="B367" s="1">
        <v>44563</v>
      </c>
      <c r="C367" s="2" t="s">
        <v>13</v>
      </c>
      <c r="D367" s="2" t="s">
        <v>33</v>
      </c>
      <c r="E367" s="2" t="s">
        <v>59</v>
      </c>
      <c r="F367" s="2" t="s">
        <v>47</v>
      </c>
      <c r="G367" s="2" t="s">
        <v>60</v>
      </c>
      <c r="H367" s="2" t="s">
        <v>55</v>
      </c>
      <c r="I367" s="3">
        <v>32.700015</v>
      </c>
      <c r="J367" s="3">
        <v>69.608699999999999</v>
      </c>
      <c r="K367" s="3">
        <v>16.652113</v>
      </c>
      <c r="L367" s="2">
        <v>61</v>
      </c>
      <c r="M367" s="2">
        <v>60</v>
      </c>
      <c r="N367" s="2">
        <f t="shared" si="7"/>
        <v>121</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464693A7D0D749A6C2EC975AAFAB20" ma:contentTypeVersion="10" ma:contentTypeDescription="Create a new document." ma:contentTypeScope="" ma:versionID="16f7ac4608c8e596456f10bd6b0eceab">
  <xsd:schema xmlns:xsd="http://www.w3.org/2001/XMLSchema" xmlns:xs="http://www.w3.org/2001/XMLSchema" xmlns:p="http://schemas.microsoft.com/office/2006/metadata/properties" xmlns:ns3="9dd86ec5-8b69-4e4d-b8e8-1dabe24aac26" targetNamespace="http://schemas.microsoft.com/office/2006/metadata/properties" ma:root="true" ma:fieldsID="c59e3cc0596f386215c9c1700cf7dbae" ns3:_="">
    <xsd:import namespace="9dd86ec5-8b69-4e4d-b8e8-1dabe24aac2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d86ec5-8b69-4e4d-b8e8-1dabe24aac2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dd86ec5-8b69-4e4d-b8e8-1dabe24aac26" xsi:nil="true"/>
  </documentManagement>
</p:properties>
</file>

<file path=customXml/itemProps1.xml><?xml version="1.0" encoding="utf-8"?>
<ds:datastoreItem xmlns:ds="http://schemas.openxmlformats.org/officeDocument/2006/customXml" ds:itemID="{3152F99D-63B1-4EBF-ABA2-EDBE58C0F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d86ec5-8b69-4e4d-b8e8-1dabe24aa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115433-9AF2-4E44-AC43-3FA92DA61536}">
  <ds:schemaRefs>
    <ds:schemaRef ds:uri="http://schemas.microsoft.com/sharepoint/v3/contenttype/forms"/>
  </ds:schemaRefs>
</ds:datastoreItem>
</file>

<file path=customXml/itemProps3.xml><?xml version="1.0" encoding="utf-8"?>
<ds:datastoreItem xmlns:ds="http://schemas.openxmlformats.org/officeDocument/2006/customXml" ds:itemID="{103DBB43-7476-4483-A9BD-7466CB686370}">
  <ds:schemaRefs>
    <ds:schemaRef ds:uri="http://purl.org/dc/terms/"/>
    <ds:schemaRef ds:uri="http://schemas.microsoft.com/office/2006/documentManagement/types"/>
    <ds:schemaRef ds:uri="http://purl.org/dc/elements/1.1/"/>
    <ds:schemaRef ds:uri="http://www.w3.org/XML/1998/namespace"/>
    <ds:schemaRef ds:uri="http://purl.org/dc/dcmitype/"/>
    <ds:schemaRef ds:uri="http://schemas.microsoft.com/office/2006/metadata/properties"/>
    <ds:schemaRef ds:uri="http://schemas.microsoft.com/office/infopath/2007/PartnerControls"/>
    <ds:schemaRef ds:uri="http://schemas.openxmlformats.org/package/2006/metadata/core-properties"/>
    <ds:schemaRef ds:uri="9dd86ec5-8b69-4e4d-b8e8-1dabe24aac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Description</vt:lpstr>
      <vt:lpstr>ePowerDynamic Data Set</vt: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 Senarathna</dc:creator>
  <cp:lastModifiedBy>ASTRID DIAS</cp:lastModifiedBy>
  <dcterms:created xsi:type="dcterms:W3CDTF">2024-07-12T04:13:47Z</dcterms:created>
  <dcterms:modified xsi:type="dcterms:W3CDTF">2024-08-05T08:44:26Z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0x010100FB464693A7D0D749A6C2EC975AAFAB20</vt:lpwstr>
  </property>
</Properties>
</file>